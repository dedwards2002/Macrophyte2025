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ominiqueedwards/Macrophyte2025/Nutrients/"/>
    </mc:Choice>
  </mc:AlternateContent>
  <xr:revisionPtr revIDLastSave="0" documentId="13_ncr:1_{6F0D094C-9E25-2148-97B7-2021EB022391}" xr6:coauthVersionLast="47" xr6:coauthVersionMax="47" xr10:uidLastSave="{00000000-0000-0000-0000-000000000000}"/>
  <bookViews>
    <workbookView xWindow="0" yWindow="500" windowWidth="28800" windowHeight="16460" activeTab="3" xr2:uid="{00000000-000D-0000-FFFF-FFFF00000000}"/>
  </bookViews>
  <sheets>
    <sheet name="Notes" sheetId="1" r:id="rId1"/>
    <sheet name="QAQC" sheetId="2" r:id="rId2"/>
    <sheet name="method checks" sheetId="3" r:id="rId3"/>
    <sheet name="Raw Data" sheetId="4" r:id="rId4"/>
    <sheet name="Calibration-S40 to en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hbh8vyAcc891eV51SevL7uJhXDsb02y3A3bW7kfbjo="/>
    </ext>
  </extLst>
</workbook>
</file>

<file path=xl/calcChain.xml><?xml version="1.0" encoding="utf-8"?>
<calcChain xmlns="http://schemas.openxmlformats.org/spreadsheetml/2006/main">
  <c r="AJ64" i="3" l="1"/>
  <c r="Y64" i="3"/>
  <c r="R64" i="3"/>
  <c r="M64" i="3"/>
  <c r="AJ62" i="3"/>
  <c r="Y62" i="3"/>
  <c r="R62" i="3"/>
  <c r="M62" i="3"/>
  <c r="AJ61" i="3"/>
  <c r="Y61" i="3"/>
  <c r="R61" i="3"/>
  <c r="R67" i="3" s="1"/>
  <c r="M61" i="3"/>
  <c r="M67" i="3" s="1"/>
  <c r="AJ42" i="3"/>
  <c r="Y42" i="3"/>
  <c r="R42" i="3"/>
  <c r="M42" i="3"/>
  <c r="AJ40" i="3"/>
  <c r="Y40" i="3"/>
  <c r="R40" i="3"/>
  <c r="M40" i="3"/>
  <c r="AJ39" i="3"/>
  <c r="AJ45" i="3" s="1"/>
  <c r="Y39" i="3"/>
  <c r="Y45" i="3" s="1"/>
  <c r="R39" i="3"/>
  <c r="R47" i="3" s="1"/>
  <c r="M39" i="3"/>
  <c r="M47" i="3" s="1"/>
  <c r="Q23" i="3"/>
  <c r="Q25" i="3" s="1"/>
  <c r="L23" i="3"/>
  <c r="L25" i="3" s="1"/>
  <c r="AJ21" i="3"/>
  <c r="Y21" i="3"/>
  <c r="R15" i="3"/>
  <c r="Q15" i="3"/>
  <c r="M15" i="3"/>
  <c r="L15" i="3"/>
  <c r="R13" i="3"/>
  <c r="Q13" i="3"/>
  <c r="M13" i="3"/>
  <c r="M14" i="3" s="1"/>
  <c r="L13" i="3"/>
  <c r="L16" i="3" s="1"/>
  <c r="R12" i="3"/>
  <c r="Q12" i="3"/>
  <c r="M12" i="3"/>
  <c r="L12" i="3"/>
  <c r="L21" i="3" s="1"/>
  <c r="AJ310" i="2"/>
  <c r="AI310" i="2"/>
  <c r="AH310" i="2"/>
  <c r="Y310" i="2"/>
  <c r="X310" i="2"/>
  <c r="W310" i="2"/>
  <c r="AJ309" i="2"/>
  <c r="AI309" i="2"/>
  <c r="AH309" i="2"/>
  <c r="X309" i="2"/>
  <c r="Y309" i="2" s="1"/>
  <c r="W309" i="2"/>
  <c r="AJ308" i="2"/>
  <c r="AI308" i="2"/>
  <c r="AH308" i="2"/>
  <c r="Y308" i="2"/>
  <c r="X308" i="2"/>
  <c r="W308" i="2"/>
  <c r="AI307" i="2"/>
  <c r="AJ307" i="2" s="1"/>
  <c r="AH307" i="2"/>
  <c r="X307" i="2"/>
  <c r="Y307" i="2" s="1"/>
  <c r="W307" i="2"/>
  <c r="AJ306" i="2"/>
  <c r="AI306" i="2"/>
  <c r="AH306" i="2"/>
  <c r="Y306" i="2"/>
  <c r="X306" i="2"/>
  <c r="W306" i="2"/>
  <c r="AI305" i="2"/>
  <c r="AJ305" i="2" s="1"/>
  <c r="AH305" i="2"/>
  <c r="Y305" i="2"/>
  <c r="X305" i="2"/>
  <c r="W305" i="2"/>
  <c r="AJ304" i="2"/>
  <c r="AI304" i="2"/>
  <c r="AH304" i="2"/>
  <c r="X304" i="2"/>
  <c r="Y304" i="2" s="1"/>
  <c r="W304" i="2"/>
  <c r="AI303" i="2"/>
  <c r="AJ303" i="2" s="1"/>
  <c r="AH303" i="2"/>
  <c r="X303" i="2"/>
  <c r="Y303" i="2" s="1"/>
  <c r="W303" i="2"/>
  <c r="AJ302" i="2"/>
  <c r="AI302" i="2"/>
  <c r="AH302" i="2"/>
  <c r="Y302" i="2"/>
  <c r="X302" i="2"/>
  <c r="W302" i="2"/>
  <c r="AI301" i="2"/>
  <c r="AJ301" i="2" s="1"/>
  <c r="AH301" i="2"/>
  <c r="Y301" i="2"/>
  <c r="X301" i="2"/>
  <c r="W301" i="2"/>
  <c r="AI300" i="2"/>
  <c r="AJ300" i="2" s="1"/>
  <c r="AH300" i="2"/>
  <c r="X300" i="2"/>
  <c r="Y300" i="2" s="1"/>
  <c r="W300" i="2"/>
  <c r="AI299" i="2"/>
  <c r="AJ299" i="2" s="1"/>
  <c r="AH299" i="2"/>
  <c r="X299" i="2"/>
  <c r="Y299" i="2" s="1"/>
  <c r="W299" i="2"/>
  <c r="AI298" i="2"/>
  <c r="AJ298" i="2" s="1"/>
  <c r="AH298" i="2"/>
  <c r="Y298" i="2"/>
  <c r="X298" i="2"/>
  <c r="W298" i="2"/>
  <c r="AI297" i="2"/>
  <c r="AJ297" i="2" s="1"/>
  <c r="AH297" i="2"/>
  <c r="X297" i="2"/>
  <c r="Y297" i="2" s="1"/>
  <c r="W297" i="2"/>
  <c r="AJ296" i="2"/>
  <c r="AI296" i="2"/>
  <c r="AH296" i="2"/>
  <c r="Y296" i="2"/>
  <c r="X296" i="2"/>
  <c r="W296" i="2"/>
  <c r="AI295" i="2"/>
  <c r="AJ295" i="2" s="1"/>
  <c r="AH295" i="2"/>
  <c r="X295" i="2"/>
  <c r="Y295" i="2" s="1"/>
  <c r="W295" i="2"/>
  <c r="AJ294" i="2"/>
  <c r="AI294" i="2"/>
  <c r="AH294" i="2"/>
  <c r="Y294" i="2"/>
  <c r="X294" i="2"/>
  <c r="W294" i="2"/>
  <c r="AI293" i="2"/>
  <c r="AJ293" i="2" s="1"/>
  <c r="AH293" i="2"/>
  <c r="X293" i="2"/>
  <c r="Y293" i="2" s="1"/>
  <c r="W293" i="2"/>
  <c r="AI292" i="2"/>
  <c r="AJ292" i="2" s="1"/>
  <c r="AH292" i="2"/>
  <c r="X292" i="2"/>
  <c r="Y292" i="2" s="1"/>
  <c r="W292" i="2"/>
  <c r="AI291" i="2"/>
  <c r="AJ291" i="2" s="1"/>
  <c r="AH291" i="2"/>
  <c r="X291" i="2"/>
  <c r="Y291" i="2" s="1"/>
  <c r="W291" i="2"/>
  <c r="AI290" i="2"/>
  <c r="AJ290" i="2" s="1"/>
  <c r="AH290" i="2"/>
  <c r="Y290" i="2"/>
  <c r="X290" i="2"/>
  <c r="W290" i="2"/>
  <c r="AJ289" i="2"/>
  <c r="AI289" i="2"/>
  <c r="AH289" i="2"/>
  <c r="Y289" i="2"/>
  <c r="X289" i="2"/>
  <c r="W289" i="2"/>
  <c r="AI288" i="2"/>
  <c r="AJ288" i="2" s="1"/>
  <c r="AH288" i="2"/>
  <c r="Y288" i="2"/>
  <c r="X288" i="2"/>
  <c r="W288" i="2"/>
  <c r="AJ287" i="2"/>
  <c r="AI287" i="2"/>
  <c r="AH287" i="2"/>
  <c r="X287" i="2"/>
  <c r="Y287" i="2" s="1"/>
  <c r="W287" i="2"/>
  <c r="AJ286" i="2"/>
  <c r="AI286" i="2"/>
  <c r="AH286" i="2"/>
  <c r="Y286" i="2"/>
  <c r="X286" i="2"/>
  <c r="W286" i="2"/>
  <c r="S286" i="2"/>
  <c r="AI285" i="2"/>
  <c r="AJ285" i="2" s="1"/>
  <c r="AH285" i="2"/>
  <c r="X285" i="2"/>
  <c r="Y285" i="2" s="1"/>
  <c r="W285" i="2"/>
  <c r="AI284" i="2"/>
  <c r="AJ284" i="2" s="1"/>
  <c r="AK284" i="2" s="1"/>
  <c r="AL284" i="2" s="1"/>
  <c r="AH284" i="2"/>
  <c r="Z284" i="2"/>
  <c r="AA284" i="2" s="1"/>
  <c r="X284" i="2"/>
  <c r="Y284" i="2" s="1"/>
  <c r="W284" i="2"/>
  <c r="AJ283" i="2"/>
  <c r="AK283" i="2" s="1"/>
  <c r="AL283" i="2" s="1"/>
  <c r="AI283" i="2"/>
  <c r="AH283" i="2"/>
  <c r="X283" i="2"/>
  <c r="Y283" i="2" s="1"/>
  <c r="Z283" i="2" s="1"/>
  <c r="AA283" i="2" s="1"/>
  <c r="W283" i="2"/>
  <c r="AJ282" i="2"/>
  <c r="AK282" i="2" s="1"/>
  <c r="AL282" i="2" s="1"/>
  <c r="AI282" i="2"/>
  <c r="AH282" i="2"/>
  <c r="Z282" i="2"/>
  <c r="AA282" i="2" s="1"/>
  <c r="Y282" i="2"/>
  <c r="X282" i="2"/>
  <c r="W282" i="2"/>
  <c r="AL281" i="2"/>
  <c r="AI281" i="2"/>
  <c r="AJ281" i="2" s="1"/>
  <c r="AK281" i="2" s="1"/>
  <c r="AH281" i="2"/>
  <c r="Z281" i="2"/>
  <c r="AA281" i="2" s="1"/>
  <c r="Y281" i="2"/>
  <c r="X281" i="2"/>
  <c r="W281" i="2"/>
  <c r="AI280" i="2"/>
  <c r="AJ280" i="2" s="1"/>
  <c r="AK280" i="2" s="1"/>
  <c r="AL280" i="2" s="1"/>
  <c r="AH280" i="2"/>
  <c r="AA280" i="2"/>
  <c r="Z280" i="2"/>
  <c r="X280" i="2"/>
  <c r="Y280" i="2" s="1"/>
  <c r="W280" i="2"/>
  <c r="AJ279" i="2"/>
  <c r="AK279" i="2" s="1"/>
  <c r="AL279" i="2" s="1"/>
  <c r="AI279" i="2"/>
  <c r="AH279" i="2"/>
  <c r="Y279" i="2"/>
  <c r="Z279" i="2" s="1"/>
  <c r="AA279" i="2" s="1"/>
  <c r="X279" i="2"/>
  <c r="W279" i="2"/>
  <c r="AJ278" i="2"/>
  <c r="AI278" i="2"/>
  <c r="AH278" i="2"/>
  <c r="X278" i="2"/>
  <c r="Y278" i="2" s="1"/>
  <c r="AB278" i="2" s="1"/>
  <c r="W278" i="2"/>
  <c r="AJ277" i="2"/>
  <c r="AI277" i="2"/>
  <c r="AH277" i="2"/>
  <c r="Y277" i="2"/>
  <c r="X277" i="2"/>
  <c r="W277" i="2"/>
  <c r="AI276" i="2"/>
  <c r="AJ276" i="2" s="1"/>
  <c r="AH276" i="2"/>
  <c r="X276" i="2"/>
  <c r="Y276" i="2" s="1"/>
  <c r="W276" i="2"/>
  <c r="AJ275" i="2"/>
  <c r="AI275" i="2"/>
  <c r="AH275" i="2"/>
  <c r="X275" i="2"/>
  <c r="Y275" i="2" s="1"/>
  <c r="W275" i="2"/>
  <c r="AI274" i="2"/>
  <c r="AJ274" i="2" s="1"/>
  <c r="AH274" i="2"/>
  <c r="Y274" i="2"/>
  <c r="X274" i="2"/>
  <c r="W274" i="2"/>
  <c r="AJ273" i="2"/>
  <c r="AI273" i="2"/>
  <c r="AH273" i="2"/>
  <c r="X273" i="2"/>
  <c r="Y273" i="2" s="1"/>
  <c r="W273" i="2"/>
  <c r="AI272" i="2"/>
  <c r="AJ272" i="2" s="1"/>
  <c r="AH272" i="2"/>
  <c r="X272" i="2"/>
  <c r="Y272" i="2" s="1"/>
  <c r="W272" i="2"/>
  <c r="AJ271" i="2"/>
  <c r="AI271" i="2"/>
  <c r="AH271" i="2"/>
  <c r="X271" i="2"/>
  <c r="Y271" i="2" s="1"/>
  <c r="W271" i="2"/>
  <c r="S271" i="2"/>
  <c r="AK270" i="2"/>
  <c r="AL270" i="2" s="1"/>
  <c r="AJ270" i="2"/>
  <c r="AI270" i="2"/>
  <c r="AH270" i="2"/>
  <c r="X270" i="2"/>
  <c r="Y270" i="2" s="1"/>
  <c r="Z270" i="2" s="1"/>
  <c r="AA270" i="2" s="1"/>
  <c r="W270" i="2"/>
  <c r="AI269" i="2"/>
  <c r="AJ269" i="2" s="1"/>
  <c r="AH269" i="2"/>
  <c r="Y269" i="2"/>
  <c r="X269" i="2"/>
  <c r="W269" i="2"/>
  <c r="AI268" i="2"/>
  <c r="AJ268" i="2" s="1"/>
  <c r="AH268" i="2"/>
  <c r="X268" i="2"/>
  <c r="Y268" i="2" s="1"/>
  <c r="W268" i="2"/>
  <c r="AI267" i="2"/>
  <c r="AJ267" i="2" s="1"/>
  <c r="AH267" i="2"/>
  <c r="Y267" i="2"/>
  <c r="X267" i="2"/>
  <c r="W267" i="2"/>
  <c r="AI266" i="2"/>
  <c r="AJ266" i="2" s="1"/>
  <c r="AH266" i="2"/>
  <c r="X266" i="2"/>
  <c r="Y266" i="2" s="1"/>
  <c r="W266" i="2"/>
  <c r="AI265" i="2"/>
  <c r="AJ265" i="2" s="1"/>
  <c r="AH265" i="2"/>
  <c r="X265" i="2"/>
  <c r="Y265" i="2" s="1"/>
  <c r="W265" i="2"/>
  <c r="AJ264" i="2"/>
  <c r="AI264" i="2"/>
  <c r="AH264" i="2"/>
  <c r="X264" i="2"/>
  <c r="Y264" i="2" s="1"/>
  <c r="W264" i="2"/>
  <c r="AI263" i="2"/>
  <c r="AJ263" i="2" s="1"/>
  <c r="AH263" i="2"/>
  <c r="Y263" i="2"/>
  <c r="X263" i="2"/>
  <c r="W263" i="2"/>
  <c r="AI262" i="2"/>
  <c r="AJ262" i="2" s="1"/>
  <c r="AH262" i="2"/>
  <c r="AC262" i="2"/>
  <c r="X262" i="2"/>
  <c r="Y262" i="2" s="1"/>
  <c r="AB262" i="2" s="1"/>
  <c r="W262" i="2"/>
  <c r="AI261" i="2"/>
  <c r="AJ261" i="2" s="1"/>
  <c r="AH261" i="2"/>
  <c r="Y261" i="2"/>
  <c r="X261" i="2"/>
  <c r="W261" i="2"/>
  <c r="AI260" i="2"/>
  <c r="AJ260" i="2" s="1"/>
  <c r="AH260" i="2"/>
  <c r="Y260" i="2"/>
  <c r="X260" i="2"/>
  <c r="W260" i="2"/>
  <c r="AI259" i="2"/>
  <c r="AJ259" i="2" s="1"/>
  <c r="AH259" i="2"/>
  <c r="X259" i="2"/>
  <c r="Y259" i="2" s="1"/>
  <c r="W259" i="2"/>
  <c r="AJ258" i="2"/>
  <c r="AI258" i="2"/>
  <c r="AH258" i="2"/>
  <c r="X258" i="2"/>
  <c r="Y258" i="2" s="1"/>
  <c r="W258" i="2"/>
  <c r="AI257" i="2"/>
  <c r="AJ257" i="2" s="1"/>
  <c r="AH257" i="2"/>
  <c r="Y257" i="2"/>
  <c r="X257" i="2"/>
  <c r="W257" i="2"/>
  <c r="AI256" i="2"/>
  <c r="AJ256" i="2" s="1"/>
  <c r="AK256" i="2" s="1"/>
  <c r="AL256" i="2" s="1"/>
  <c r="AH256" i="2"/>
  <c r="AA256" i="2"/>
  <c r="X256" i="2"/>
  <c r="Y256" i="2" s="1"/>
  <c r="Z256" i="2" s="1"/>
  <c r="W256" i="2"/>
  <c r="AI255" i="2"/>
  <c r="AJ255" i="2" s="1"/>
  <c r="AH255" i="2"/>
  <c r="Y255" i="2"/>
  <c r="X255" i="2"/>
  <c r="W255" i="2"/>
  <c r="AI254" i="2"/>
  <c r="AJ254" i="2" s="1"/>
  <c r="AH254" i="2"/>
  <c r="X254" i="2"/>
  <c r="Y254" i="2" s="1"/>
  <c r="W254" i="2"/>
  <c r="AI253" i="2"/>
  <c r="AJ253" i="2" s="1"/>
  <c r="AH253" i="2"/>
  <c r="Y253" i="2"/>
  <c r="X253" i="2"/>
  <c r="W253" i="2"/>
  <c r="AJ252" i="2"/>
  <c r="AI252" i="2"/>
  <c r="AH252" i="2"/>
  <c r="X252" i="2"/>
  <c r="Y252" i="2" s="1"/>
  <c r="W252" i="2"/>
  <c r="AI251" i="2"/>
  <c r="AJ251" i="2" s="1"/>
  <c r="AH251" i="2"/>
  <c r="X251" i="2"/>
  <c r="Y251" i="2" s="1"/>
  <c r="W251" i="2"/>
  <c r="AI250" i="2"/>
  <c r="AJ250" i="2" s="1"/>
  <c r="AH250" i="2"/>
  <c r="X250" i="2"/>
  <c r="Y250" i="2" s="1"/>
  <c r="W250" i="2"/>
  <c r="AI249" i="2"/>
  <c r="AJ249" i="2" s="1"/>
  <c r="AH249" i="2"/>
  <c r="Y249" i="2"/>
  <c r="X249" i="2"/>
  <c r="W249" i="2"/>
  <c r="AI248" i="2"/>
  <c r="AJ248" i="2" s="1"/>
  <c r="AH248" i="2"/>
  <c r="X248" i="2"/>
  <c r="Y248" i="2" s="1"/>
  <c r="W248" i="2"/>
  <c r="AI247" i="2"/>
  <c r="AJ247" i="2" s="1"/>
  <c r="AH247" i="2"/>
  <c r="Y247" i="2"/>
  <c r="X247" i="2"/>
  <c r="W247" i="2"/>
  <c r="AI246" i="2"/>
  <c r="AJ246" i="2" s="1"/>
  <c r="AH246" i="2"/>
  <c r="Y246" i="2"/>
  <c r="X246" i="2"/>
  <c r="W246" i="2"/>
  <c r="AI245" i="2"/>
  <c r="AJ245" i="2" s="1"/>
  <c r="AH245" i="2"/>
  <c r="X245" i="2"/>
  <c r="Y245" i="2" s="1"/>
  <c r="W245" i="2"/>
  <c r="AJ244" i="2"/>
  <c r="AI244" i="2"/>
  <c r="AH244" i="2"/>
  <c r="X244" i="2"/>
  <c r="Y244" i="2" s="1"/>
  <c r="W244" i="2"/>
  <c r="AI243" i="2"/>
  <c r="AJ243" i="2" s="1"/>
  <c r="AH243" i="2"/>
  <c r="Y243" i="2"/>
  <c r="X243" i="2"/>
  <c r="W243" i="2"/>
  <c r="AI242" i="2"/>
  <c r="AJ242" i="2" s="1"/>
  <c r="AH242" i="2"/>
  <c r="X242" i="2"/>
  <c r="Y242" i="2" s="1"/>
  <c r="W242" i="2"/>
  <c r="AI241" i="2"/>
  <c r="AJ241" i="2" s="1"/>
  <c r="AH241" i="2"/>
  <c r="X241" i="2"/>
  <c r="Y241" i="2" s="1"/>
  <c r="W241" i="2"/>
  <c r="S241" i="2"/>
  <c r="AI240" i="2"/>
  <c r="AJ240" i="2" s="1"/>
  <c r="AK240" i="2" s="1"/>
  <c r="AL240" i="2" s="1"/>
  <c r="AH240" i="2"/>
  <c r="AA240" i="2"/>
  <c r="X240" i="2"/>
  <c r="Y240" i="2" s="1"/>
  <c r="Z240" i="2" s="1"/>
  <c r="W240" i="2"/>
  <c r="AI239" i="2"/>
  <c r="AJ239" i="2" s="1"/>
  <c r="AH239" i="2"/>
  <c r="X239" i="2"/>
  <c r="Y239" i="2" s="1"/>
  <c r="W239" i="2"/>
  <c r="AI238" i="2"/>
  <c r="AJ238" i="2" s="1"/>
  <c r="AH238" i="2"/>
  <c r="Y238" i="2"/>
  <c r="X238" i="2"/>
  <c r="W238" i="2"/>
  <c r="AI237" i="2"/>
  <c r="AJ237" i="2" s="1"/>
  <c r="AH237" i="2"/>
  <c r="X237" i="2"/>
  <c r="Y237" i="2" s="1"/>
  <c r="W237" i="2"/>
  <c r="AJ236" i="2"/>
  <c r="AI236" i="2"/>
  <c r="AH236" i="2"/>
  <c r="X236" i="2"/>
  <c r="Y236" i="2" s="1"/>
  <c r="W236" i="2"/>
  <c r="AI235" i="2"/>
  <c r="AJ235" i="2" s="1"/>
  <c r="AH235" i="2"/>
  <c r="X235" i="2"/>
  <c r="Y235" i="2" s="1"/>
  <c r="W235" i="2"/>
  <c r="AI234" i="2"/>
  <c r="AJ234" i="2" s="1"/>
  <c r="AH234" i="2"/>
  <c r="Y234" i="2"/>
  <c r="X234" i="2"/>
  <c r="W234" i="2"/>
  <c r="AI233" i="2"/>
  <c r="AJ233" i="2" s="1"/>
  <c r="AH233" i="2"/>
  <c r="X233" i="2"/>
  <c r="Y233" i="2" s="1"/>
  <c r="W233" i="2"/>
  <c r="AI232" i="2"/>
  <c r="AJ232" i="2" s="1"/>
  <c r="AM232" i="2" s="1"/>
  <c r="AH232" i="2"/>
  <c r="X232" i="2"/>
  <c r="Y232" i="2" s="1"/>
  <c r="W232" i="2"/>
  <c r="AI231" i="2"/>
  <c r="AJ231" i="2" s="1"/>
  <c r="AH231" i="2"/>
  <c r="X231" i="2"/>
  <c r="Y231" i="2" s="1"/>
  <c r="W231" i="2"/>
  <c r="AJ230" i="2"/>
  <c r="AI230" i="2"/>
  <c r="AH230" i="2"/>
  <c r="X230" i="2"/>
  <c r="Y230" i="2" s="1"/>
  <c r="W230" i="2"/>
  <c r="AJ229" i="2"/>
  <c r="AI229" i="2"/>
  <c r="AH229" i="2"/>
  <c r="X229" i="2"/>
  <c r="Y229" i="2" s="1"/>
  <c r="W229" i="2"/>
  <c r="AI228" i="2"/>
  <c r="AJ228" i="2" s="1"/>
  <c r="AH228" i="2"/>
  <c r="Y228" i="2"/>
  <c r="X228" i="2"/>
  <c r="W228" i="2"/>
  <c r="AI227" i="2"/>
  <c r="AJ227" i="2" s="1"/>
  <c r="AH227" i="2"/>
  <c r="X227" i="2"/>
  <c r="Y227" i="2" s="1"/>
  <c r="W227" i="2"/>
  <c r="AL226" i="2"/>
  <c r="AI226" i="2"/>
  <c r="AJ226" i="2" s="1"/>
  <c r="AK226" i="2" s="1"/>
  <c r="AH226" i="2"/>
  <c r="X226" i="2"/>
  <c r="Y226" i="2" s="1"/>
  <c r="Z226" i="2" s="1"/>
  <c r="AA226" i="2" s="1"/>
  <c r="W226" i="2"/>
  <c r="AI225" i="2"/>
  <c r="AJ225" i="2" s="1"/>
  <c r="AH225" i="2"/>
  <c r="X225" i="2"/>
  <c r="Y225" i="2" s="1"/>
  <c r="W225" i="2"/>
  <c r="AI224" i="2"/>
  <c r="AJ224" i="2" s="1"/>
  <c r="AH224" i="2"/>
  <c r="X224" i="2"/>
  <c r="Y224" i="2" s="1"/>
  <c r="W224" i="2"/>
  <c r="AI223" i="2"/>
  <c r="AJ223" i="2" s="1"/>
  <c r="AH223" i="2"/>
  <c r="Y223" i="2"/>
  <c r="X223" i="2"/>
  <c r="W223" i="2"/>
  <c r="AJ222" i="2"/>
  <c r="AI222" i="2"/>
  <c r="AH222" i="2"/>
  <c r="X222" i="2"/>
  <c r="Y222" i="2" s="1"/>
  <c r="W222" i="2"/>
  <c r="AJ221" i="2"/>
  <c r="AI221" i="2"/>
  <c r="AH221" i="2"/>
  <c r="X221" i="2"/>
  <c r="Y221" i="2" s="1"/>
  <c r="W221" i="2"/>
  <c r="AI220" i="2"/>
  <c r="AJ220" i="2" s="1"/>
  <c r="AH220" i="2"/>
  <c r="Y220" i="2"/>
  <c r="X220" i="2"/>
  <c r="W220" i="2"/>
  <c r="AI219" i="2"/>
  <c r="AJ219" i="2" s="1"/>
  <c r="AH219" i="2"/>
  <c r="X219" i="2"/>
  <c r="Y219" i="2" s="1"/>
  <c r="W219" i="2"/>
  <c r="AI218" i="2"/>
  <c r="AJ218" i="2" s="1"/>
  <c r="AH218" i="2"/>
  <c r="X218" i="2"/>
  <c r="Y218" i="2" s="1"/>
  <c r="W218" i="2"/>
  <c r="AI217" i="2"/>
  <c r="AJ217" i="2" s="1"/>
  <c r="AH217" i="2"/>
  <c r="X217" i="2"/>
  <c r="Y217" i="2" s="1"/>
  <c r="W217" i="2"/>
  <c r="AJ216" i="2"/>
  <c r="AI216" i="2"/>
  <c r="AH216" i="2"/>
  <c r="Y216" i="2"/>
  <c r="X216" i="2"/>
  <c r="W216" i="2"/>
  <c r="AI215" i="2"/>
  <c r="AJ215" i="2" s="1"/>
  <c r="AH215" i="2"/>
  <c r="X215" i="2"/>
  <c r="Y215" i="2" s="1"/>
  <c r="W215" i="2"/>
  <c r="AJ214" i="2"/>
  <c r="AI214" i="2"/>
  <c r="AH214" i="2"/>
  <c r="X214" i="2"/>
  <c r="Y214" i="2" s="1"/>
  <c r="W214" i="2"/>
  <c r="AI213" i="2"/>
  <c r="AJ213" i="2" s="1"/>
  <c r="AH213" i="2"/>
  <c r="Y213" i="2"/>
  <c r="X213" i="2"/>
  <c r="W213" i="2"/>
  <c r="AJ212" i="2"/>
  <c r="AI212" i="2"/>
  <c r="AH212" i="2"/>
  <c r="X212" i="2"/>
  <c r="Y212" i="2" s="1"/>
  <c r="W212" i="2"/>
  <c r="AI211" i="2"/>
  <c r="AJ211" i="2" s="1"/>
  <c r="AH211" i="2"/>
  <c r="X211" i="2"/>
  <c r="Y211" i="2" s="1"/>
  <c r="W211" i="2"/>
  <c r="S211" i="2"/>
  <c r="AI210" i="2"/>
  <c r="AJ210" i="2" s="1"/>
  <c r="AK210" i="2" s="1"/>
  <c r="AL210" i="2" s="1"/>
  <c r="AH210" i="2"/>
  <c r="X210" i="2"/>
  <c r="Y210" i="2" s="1"/>
  <c r="Z210" i="2" s="1"/>
  <c r="AA210" i="2" s="1"/>
  <c r="W210" i="2"/>
  <c r="AJ209" i="2"/>
  <c r="AI209" i="2"/>
  <c r="AH209" i="2"/>
  <c r="X209" i="2"/>
  <c r="Y209" i="2" s="1"/>
  <c r="W209" i="2"/>
  <c r="AI208" i="2"/>
  <c r="AJ208" i="2" s="1"/>
  <c r="AH208" i="2"/>
  <c r="Y208" i="2"/>
  <c r="X208" i="2"/>
  <c r="W208" i="2"/>
  <c r="AI207" i="2"/>
  <c r="AJ207" i="2" s="1"/>
  <c r="AH207" i="2"/>
  <c r="X207" i="2"/>
  <c r="Y207" i="2" s="1"/>
  <c r="W207" i="2"/>
  <c r="AJ206" i="2"/>
  <c r="AI206" i="2"/>
  <c r="AH206" i="2"/>
  <c r="Y206" i="2"/>
  <c r="X206" i="2"/>
  <c r="W206" i="2"/>
  <c r="AI205" i="2"/>
  <c r="AJ205" i="2" s="1"/>
  <c r="AH205" i="2"/>
  <c r="Y205" i="2"/>
  <c r="X205" i="2"/>
  <c r="W205" i="2"/>
  <c r="AI204" i="2"/>
  <c r="AJ204" i="2" s="1"/>
  <c r="AH204" i="2"/>
  <c r="X204" i="2"/>
  <c r="Y204" i="2" s="1"/>
  <c r="W204" i="2"/>
  <c r="AI203" i="2"/>
  <c r="AJ203" i="2" s="1"/>
  <c r="AH203" i="2"/>
  <c r="X203" i="2"/>
  <c r="Y203" i="2" s="1"/>
  <c r="W203" i="2"/>
  <c r="AJ202" i="2"/>
  <c r="AI202" i="2"/>
  <c r="AH202" i="2"/>
  <c r="Y202" i="2"/>
  <c r="X202" i="2"/>
  <c r="W202" i="2"/>
  <c r="AI201" i="2"/>
  <c r="AJ201" i="2" s="1"/>
  <c r="AH201" i="2"/>
  <c r="X201" i="2"/>
  <c r="Y201" i="2" s="1"/>
  <c r="W201" i="2"/>
  <c r="AI200" i="2"/>
  <c r="AJ200" i="2" s="1"/>
  <c r="AH200" i="2"/>
  <c r="Y200" i="2"/>
  <c r="X200" i="2"/>
  <c r="W200" i="2"/>
  <c r="AI199" i="2"/>
  <c r="AJ199" i="2" s="1"/>
  <c r="AH199" i="2"/>
  <c r="Y199" i="2"/>
  <c r="X199" i="2"/>
  <c r="W199" i="2"/>
  <c r="AI198" i="2"/>
  <c r="AJ198" i="2" s="1"/>
  <c r="AH198" i="2"/>
  <c r="X198" i="2"/>
  <c r="Y198" i="2" s="1"/>
  <c r="W198" i="2"/>
  <c r="AJ197" i="2"/>
  <c r="AI197" i="2"/>
  <c r="AH197" i="2"/>
  <c r="X197" i="2"/>
  <c r="Y197" i="2" s="1"/>
  <c r="W197" i="2"/>
  <c r="AI196" i="2"/>
  <c r="AJ196" i="2" s="1"/>
  <c r="AK196" i="2" s="1"/>
  <c r="AL196" i="2" s="1"/>
  <c r="AH196" i="2"/>
  <c r="Y196" i="2"/>
  <c r="Z196" i="2" s="1"/>
  <c r="AA196" i="2" s="1"/>
  <c r="X196" i="2"/>
  <c r="W196" i="2"/>
  <c r="AI195" i="2"/>
  <c r="AJ195" i="2" s="1"/>
  <c r="AH195" i="2"/>
  <c r="X195" i="2"/>
  <c r="Y195" i="2" s="1"/>
  <c r="W195" i="2"/>
  <c r="AJ194" i="2"/>
  <c r="AO194" i="2" s="1"/>
  <c r="AP194" i="2" s="1"/>
  <c r="AI194" i="2"/>
  <c r="AH194" i="2"/>
  <c r="X194" i="2"/>
  <c r="Y194" i="2" s="1"/>
  <c r="W194" i="2"/>
  <c r="AJ193" i="2"/>
  <c r="AI193" i="2"/>
  <c r="AH193" i="2"/>
  <c r="X193" i="2"/>
  <c r="Y193" i="2" s="1"/>
  <c r="W193" i="2"/>
  <c r="AI192" i="2"/>
  <c r="AJ192" i="2" s="1"/>
  <c r="AH192" i="2"/>
  <c r="Y192" i="2"/>
  <c r="X192" i="2"/>
  <c r="W192" i="2"/>
  <c r="AJ191" i="2"/>
  <c r="AI191" i="2"/>
  <c r="AH191" i="2"/>
  <c r="X191" i="2"/>
  <c r="Y191" i="2" s="1"/>
  <c r="W191" i="2"/>
  <c r="AI190" i="2"/>
  <c r="AJ190" i="2" s="1"/>
  <c r="AH190" i="2"/>
  <c r="X190" i="2"/>
  <c r="Y190" i="2" s="1"/>
  <c r="W190" i="2"/>
  <c r="AI189" i="2"/>
  <c r="AJ189" i="2" s="1"/>
  <c r="AH189" i="2"/>
  <c r="X189" i="2"/>
  <c r="Y189" i="2" s="1"/>
  <c r="W189" i="2"/>
  <c r="AI188" i="2"/>
  <c r="AJ188" i="2" s="1"/>
  <c r="AM188" i="2" s="1"/>
  <c r="AN188" i="2" s="1"/>
  <c r="AH188" i="2"/>
  <c r="X188" i="2"/>
  <c r="Y188" i="2" s="1"/>
  <c r="W188" i="2"/>
  <c r="AJ187" i="2"/>
  <c r="AI187" i="2"/>
  <c r="AH187" i="2"/>
  <c r="X187" i="2"/>
  <c r="Y187" i="2" s="1"/>
  <c r="W187" i="2"/>
  <c r="AI186" i="2"/>
  <c r="AJ186" i="2" s="1"/>
  <c r="AH186" i="2"/>
  <c r="Y186" i="2"/>
  <c r="X186" i="2"/>
  <c r="W186" i="2"/>
  <c r="AI185" i="2"/>
  <c r="AJ185" i="2" s="1"/>
  <c r="AH185" i="2"/>
  <c r="Y185" i="2"/>
  <c r="X185" i="2"/>
  <c r="W185" i="2"/>
  <c r="AI184" i="2"/>
  <c r="AJ184" i="2" s="1"/>
  <c r="AH184" i="2"/>
  <c r="X184" i="2"/>
  <c r="Y184" i="2" s="1"/>
  <c r="W184" i="2"/>
  <c r="AJ183" i="2"/>
  <c r="AI183" i="2"/>
  <c r="AH183" i="2"/>
  <c r="X183" i="2"/>
  <c r="Y183" i="2" s="1"/>
  <c r="W183" i="2"/>
  <c r="AI182" i="2"/>
  <c r="AJ182" i="2" s="1"/>
  <c r="AH182" i="2"/>
  <c r="Y182" i="2"/>
  <c r="X182" i="2"/>
  <c r="W182" i="2"/>
  <c r="AI181" i="2"/>
  <c r="AJ181" i="2" s="1"/>
  <c r="AH181" i="2"/>
  <c r="X181" i="2"/>
  <c r="Y181" i="2" s="1"/>
  <c r="W181" i="2"/>
  <c r="S181" i="2"/>
  <c r="AI180" i="2"/>
  <c r="AJ180" i="2" s="1"/>
  <c r="AK180" i="2" s="1"/>
  <c r="AL180" i="2" s="1"/>
  <c r="AH180" i="2"/>
  <c r="X180" i="2"/>
  <c r="Y180" i="2" s="1"/>
  <c r="Z180" i="2" s="1"/>
  <c r="AA180" i="2" s="1"/>
  <c r="W180" i="2"/>
  <c r="AJ179" i="2"/>
  <c r="AI179" i="2"/>
  <c r="AH179" i="2"/>
  <c r="X179" i="2"/>
  <c r="Y179" i="2" s="1"/>
  <c r="W179" i="2"/>
  <c r="AI178" i="2"/>
  <c r="AJ178" i="2" s="1"/>
  <c r="AH178" i="2"/>
  <c r="X178" i="2"/>
  <c r="Y178" i="2" s="1"/>
  <c r="AD178" i="2" s="1"/>
  <c r="AE178" i="2" s="1"/>
  <c r="W178" i="2"/>
  <c r="AI177" i="2"/>
  <c r="AJ177" i="2" s="1"/>
  <c r="AH177" i="2"/>
  <c r="X177" i="2"/>
  <c r="Y177" i="2" s="1"/>
  <c r="W177" i="2"/>
  <c r="AI176" i="2"/>
  <c r="AJ176" i="2" s="1"/>
  <c r="AH176" i="2"/>
  <c r="X176" i="2"/>
  <c r="Y176" i="2" s="1"/>
  <c r="W176" i="2"/>
  <c r="AJ175" i="2"/>
  <c r="AI175" i="2"/>
  <c r="AH175" i="2"/>
  <c r="X175" i="2"/>
  <c r="Y175" i="2" s="1"/>
  <c r="W175" i="2"/>
  <c r="AI174" i="2"/>
  <c r="AJ174" i="2" s="1"/>
  <c r="AH174" i="2"/>
  <c r="X174" i="2"/>
  <c r="Y174" i="2" s="1"/>
  <c r="W174" i="2"/>
  <c r="AI173" i="2"/>
  <c r="AJ173" i="2" s="1"/>
  <c r="AH173" i="2"/>
  <c r="X173" i="2"/>
  <c r="Y173" i="2" s="1"/>
  <c r="W173" i="2"/>
  <c r="AJ172" i="2"/>
  <c r="AI172" i="2"/>
  <c r="AH172" i="2"/>
  <c r="Y172" i="2"/>
  <c r="X172" i="2"/>
  <c r="W172" i="2"/>
  <c r="AJ171" i="2"/>
  <c r="AI171" i="2"/>
  <c r="AH171" i="2"/>
  <c r="X171" i="2"/>
  <c r="Y171" i="2" s="1"/>
  <c r="AB172" i="2" s="1"/>
  <c r="AC172" i="2" s="1"/>
  <c r="W171" i="2"/>
  <c r="AI170" i="2"/>
  <c r="AJ170" i="2" s="1"/>
  <c r="AH170" i="2"/>
  <c r="Y170" i="2"/>
  <c r="X170" i="2"/>
  <c r="W170" i="2"/>
  <c r="AJ169" i="2"/>
  <c r="AI169" i="2"/>
  <c r="AH169" i="2"/>
  <c r="X169" i="2"/>
  <c r="Y169" i="2" s="1"/>
  <c r="W169" i="2"/>
  <c r="AJ168" i="2"/>
  <c r="AI168" i="2"/>
  <c r="AH168" i="2"/>
  <c r="Y168" i="2"/>
  <c r="X168" i="2"/>
  <c r="W168" i="2"/>
  <c r="AJ167" i="2"/>
  <c r="AI167" i="2"/>
  <c r="AH167" i="2"/>
  <c r="X167" i="2"/>
  <c r="Y167" i="2" s="1"/>
  <c r="W167" i="2"/>
  <c r="AI166" i="2"/>
  <c r="AJ166" i="2" s="1"/>
  <c r="AH166" i="2"/>
  <c r="Y166" i="2"/>
  <c r="X166" i="2"/>
  <c r="W166" i="2"/>
  <c r="AI165" i="2"/>
  <c r="AJ165" i="2" s="1"/>
  <c r="AK165" i="2" s="1"/>
  <c r="AL165" i="2" s="1"/>
  <c r="AH165" i="2"/>
  <c r="X165" i="2"/>
  <c r="Y165" i="2" s="1"/>
  <c r="Z165" i="2" s="1"/>
  <c r="AA165" i="2" s="1"/>
  <c r="W165" i="2"/>
  <c r="AI164" i="2"/>
  <c r="AJ164" i="2" s="1"/>
  <c r="AK164" i="2" s="1"/>
  <c r="AL164" i="2" s="1"/>
  <c r="AH164" i="2"/>
  <c r="Z164" i="2"/>
  <c r="AA164" i="2" s="1"/>
  <c r="X164" i="2"/>
  <c r="Y164" i="2" s="1"/>
  <c r="W164" i="2"/>
  <c r="AI163" i="2"/>
  <c r="AJ163" i="2" s="1"/>
  <c r="AK163" i="2" s="1"/>
  <c r="AL163" i="2" s="1"/>
  <c r="AH163" i="2"/>
  <c r="Y163" i="2"/>
  <c r="Z163" i="2" s="1"/>
  <c r="AA163" i="2" s="1"/>
  <c r="X163" i="2"/>
  <c r="W163" i="2"/>
  <c r="AK162" i="2"/>
  <c r="AL162" i="2" s="1"/>
  <c r="AJ162" i="2"/>
  <c r="AI162" i="2"/>
  <c r="AH162" i="2"/>
  <c r="Y162" i="2"/>
  <c r="Z162" i="2" s="1"/>
  <c r="AA162" i="2" s="1"/>
  <c r="X162" i="2"/>
  <c r="W162" i="2"/>
  <c r="AI161" i="2"/>
  <c r="AJ161" i="2" s="1"/>
  <c r="AK161" i="2" s="1"/>
  <c r="AL161" i="2" s="1"/>
  <c r="AH161" i="2"/>
  <c r="Y161" i="2"/>
  <c r="Z161" i="2" s="1"/>
  <c r="AA161" i="2" s="1"/>
  <c r="X161" i="2"/>
  <c r="W161" i="2"/>
  <c r="AJ160" i="2"/>
  <c r="AK160" i="2" s="1"/>
  <c r="AL160" i="2" s="1"/>
  <c r="AI160" i="2"/>
  <c r="AH160" i="2"/>
  <c r="Z160" i="2"/>
  <c r="AA160" i="2" s="1"/>
  <c r="X160" i="2"/>
  <c r="Y160" i="2" s="1"/>
  <c r="W160" i="2"/>
  <c r="AO159" i="2"/>
  <c r="AI159" i="2"/>
  <c r="AJ159" i="2" s="1"/>
  <c r="AP159" i="2" s="1"/>
  <c r="AH159" i="2"/>
  <c r="X159" i="2"/>
  <c r="Y159" i="2" s="1"/>
  <c r="W159" i="2"/>
  <c r="AJ158" i="2"/>
  <c r="AI158" i="2"/>
  <c r="AH158" i="2"/>
  <c r="X158" i="2"/>
  <c r="Y158" i="2" s="1"/>
  <c r="W158" i="2"/>
  <c r="AI157" i="2"/>
  <c r="AJ157" i="2" s="1"/>
  <c r="AH157" i="2"/>
  <c r="Y157" i="2"/>
  <c r="X157" i="2"/>
  <c r="W157" i="2"/>
  <c r="AI156" i="2"/>
  <c r="AJ156" i="2" s="1"/>
  <c r="AH156" i="2"/>
  <c r="X156" i="2"/>
  <c r="Y156" i="2" s="1"/>
  <c r="W156" i="2"/>
  <c r="AJ155" i="2"/>
  <c r="AI155" i="2"/>
  <c r="AH155" i="2"/>
  <c r="X155" i="2"/>
  <c r="Y155" i="2" s="1"/>
  <c r="W155" i="2"/>
  <c r="AJ154" i="2"/>
  <c r="AI154" i="2"/>
  <c r="AH154" i="2"/>
  <c r="X154" i="2"/>
  <c r="Y154" i="2" s="1"/>
  <c r="W154" i="2"/>
  <c r="AI153" i="2"/>
  <c r="AJ153" i="2" s="1"/>
  <c r="AH153" i="2"/>
  <c r="Y153" i="2"/>
  <c r="X153" i="2"/>
  <c r="W153" i="2"/>
  <c r="AI152" i="2"/>
  <c r="AJ152" i="2" s="1"/>
  <c r="AH152" i="2"/>
  <c r="X152" i="2"/>
  <c r="Y152" i="2" s="1"/>
  <c r="W152" i="2"/>
  <c r="AJ151" i="2"/>
  <c r="AI151" i="2"/>
  <c r="AH151" i="2"/>
  <c r="X151" i="2"/>
  <c r="Y151" i="2" s="1"/>
  <c r="W151" i="2"/>
  <c r="AI150" i="2"/>
  <c r="AJ150" i="2" s="1"/>
  <c r="AH150" i="2"/>
  <c r="Y150" i="2"/>
  <c r="X150" i="2"/>
  <c r="W150" i="2"/>
  <c r="AJ149" i="2"/>
  <c r="AI149" i="2"/>
  <c r="AH149" i="2"/>
  <c r="Y149" i="2"/>
  <c r="X149" i="2"/>
  <c r="W149" i="2"/>
  <c r="AJ148" i="2"/>
  <c r="AI148" i="2"/>
  <c r="AH148" i="2"/>
  <c r="X148" i="2"/>
  <c r="Y148" i="2" s="1"/>
  <c r="W148" i="2"/>
  <c r="AJ147" i="2"/>
  <c r="AI147" i="2"/>
  <c r="AH147" i="2"/>
  <c r="Y147" i="2"/>
  <c r="X147" i="2"/>
  <c r="W147" i="2"/>
  <c r="AI146" i="2"/>
  <c r="AJ146" i="2" s="1"/>
  <c r="AH146" i="2"/>
  <c r="Y146" i="2"/>
  <c r="X146" i="2"/>
  <c r="W146" i="2"/>
  <c r="S146" i="2"/>
  <c r="AI145" i="2"/>
  <c r="AJ145" i="2" s="1"/>
  <c r="AK145" i="2" s="1"/>
  <c r="AL145" i="2" s="1"/>
  <c r="AH145" i="2"/>
  <c r="Y145" i="2"/>
  <c r="Z145" i="2" s="1"/>
  <c r="AA145" i="2" s="1"/>
  <c r="X145" i="2"/>
  <c r="W145" i="2"/>
  <c r="AI144" i="2"/>
  <c r="AJ144" i="2" s="1"/>
  <c r="AH144" i="2"/>
  <c r="X144" i="2"/>
  <c r="Y144" i="2" s="1"/>
  <c r="W144" i="2"/>
  <c r="AJ143" i="2"/>
  <c r="AI143" i="2"/>
  <c r="AH143" i="2"/>
  <c r="Y143" i="2"/>
  <c r="X143" i="2"/>
  <c r="W143" i="2"/>
  <c r="AJ142" i="2"/>
  <c r="AI142" i="2"/>
  <c r="AH142" i="2"/>
  <c r="X142" i="2"/>
  <c r="Y142" i="2" s="1"/>
  <c r="AD143" i="2" s="1"/>
  <c r="AE143" i="2" s="1"/>
  <c r="W142" i="2"/>
  <c r="AJ141" i="2"/>
  <c r="AI141" i="2"/>
  <c r="AH141" i="2"/>
  <c r="Y141" i="2"/>
  <c r="X141" i="2"/>
  <c r="W141" i="2"/>
  <c r="AJ140" i="2"/>
  <c r="AI140" i="2"/>
  <c r="AH140" i="2"/>
  <c r="X140" i="2"/>
  <c r="Y140" i="2" s="1"/>
  <c r="W140" i="2"/>
  <c r="AJ139" i="2"/>
  <c r="AI139" i="2"/>
  <c r="AH139" i="2"/>
  <c r="Y139" i="2"/>
  <c r="X139" i="2"/>
  <c r="W139" i="2"/>
  <c r="AI138" i="2"/>
  <c r="AJ138" i="2" s="1"/>
  <c r="AH138" i="2"/>
  <c r="X138" i="2"/>
  <c r="Y138" i="2" s="1"/>
  <c r="W138" i="2"/>
  <c r="AI137" i="2"/>
  <c r="AJ137" i="2" s="1"/>
  <c r="AH137" i="2"/>
  <c r="X137" i="2"/>
  <c r="Y137" i="2" s="1"/>
  <c r="AB137" i="2" s="1"/>
  <c r="W137" i="2"/>
  <c r="AJ136" i="2"/>
  <c r="AI136" i="2"/>
  <c r="AH136" i="2"/>
  <c r="Y136" i="2"/>
  <c r="X136" i="2"/>
  <c r="W136" i="2"/>
  <c r="AJ135" i="2"/>
  <c r="AI135" i="2"/>
  <c r="AH135" i="2"/>
  <c r="X135" i="2"/>
  <c r="Y135" i="2" s="1"/>
  <c r="W135" i="2"/>
  <c r="AI134" i="2"/>
  <c r="AJ134" i="2" s="1"/>
  <c r="AH134" i="2"/>
  <c r="Y134" i="2"/>
  <c r="X134" i="2"/>
  <c r="W134" i="2"/>
  <c r="AI133" i="2"/>
  <c r="AJ133" i="2" s="1"/>
  <c r="AH133" i="2"/>
  <c r="Y133" i="2"/>
  <c r="X133" i="2"/>
  <c r="W133" i="2"/>
  <c r="AI132" i="2"/>
  <c r="AJ132" i="2" s="1"/>
  <c r="AH132" i="2"/>
  <c r="Y132" i="2"/>
  <c r="X132" i="2"/>
  <c r="W132" i="2"/>
  <c r="AI131" i="2"/>
  <c r="AJ131" i="2" s="1"/>
  <c r="AK131" i="2" s="1"/>
  <c r="AL131" i="2" s="1"/>
  <c r="AH131" i="2"/>
  <c r="X131" i="2"/>
  <c r="Y131" i="2" s="1"/>
  <c r="Z131" i="2" s="1"/>
  <c r="AA131" i="2" s="1"/>
  <c r="W131" i="2"/>
  <c r="AJ130" i="2"/>
  <c r="AI130" i="2"/>
  <c r="AH130" i="2"/>
  <c r="Y130" i="2"/>
  <c r="X130" i="2"/>
  <c r="W130" i="2"/>
  <c r="AJ129" i="2"/>
  <c r="AO129" i="2" s="1"/>
  <c r="AP129" i="2" s="1"/>
  <c r="AI129" i="2"/>
  <c r="AH129" i="2"/>
  <c r="Y129" i="2"/>
  <c r="AD129" i="2" s="1"/>
  <c r="X129" i="2"/>
  <c r="W129" i="2"/>
  <c r="AI128" i="2"/>
  <c r="AJ128" i="2" s="1"/>
  <c r="AH128" i="2"/>
  <c r="Y128" i="2"/>
  <c r="X128" i="2"/>
  <c r="W128" i="2"/>
  <c r="AI127" i="2"/>
  <c r="AJ127" i="2" s="1"/>
  <c r="AH127" i="2"/>
  <c r="Y127" i="2"/>
  <c r="X127" i="2"/>
  <c r="W127" i="2"/>
  <c r="AI126" i="2"/>
  <c r="AJ126" i="2" s="1"/>
  <c r="AH126" i="2"/>
  <c r="X126" i="2"/>
  <c r="Y126" i="2" s="1"/>
  <c r="W126" i="2"/>
  <c r="AJ125" i="2"/>
  <c r="AI125" i="2"/>
  <c r="AH125" i="2"/>
  <c r="X125" i="2"/>
  <c r="Y125" i="2" s="1"/>
  <c r="W125" i="2"/>
  <c r="AJ124" i="2"/>
  <c r="AI124" i="2"/>
  <c r="AH124" i="2"/>
  <c r="Y124" i="2"/>
  <c r="X124" i="2"/>
  <c r="W124" i="2"/>
  <c r="AJ123" i="2"/>
  <c r="AI123" i="2"/>
  <c r="AH123" i="2"/>
  <c r="Y123" i="2"/>
  <c r="AB123" i="2" s="1"/>
  <c r="X123" i="2"/>
  <c r="W123" i="2"/>
  <c r="AI122" i="2"/>
  <c r="AJ122" i="2" s="1"/>
  <c r="AH122" i="2"/>
  <c r="Y122" i="2"/>
  <c r="X122" i="2"/>
  <c r="W122" i="2"/>
  <c r="AI121" i="2"/>
  <c r="AJ121" i="2" s="1"/>
  <c r="AH121" i="2"/>
  <c r="Y121" i="2"/>
  <c r="X121" i="2"/>
  <c r="W121" i="2"/>
  <c r="AI120" i="2"/>
  <c r="AJ120" i="2" s="1"/>
  <c r="AH120" i="2"/>
  <c r="X120" i="2"/>
  <c r="Y120" i="2" s="1"/>
  <c r="W120" i="2"/>
  <c r="AJ119" i="2"/>
  <c r="AI119" i="2"/>
  <c r="AH119" i="2"/>
  <c r="X119" i="2"/>
  <c r="Y119" i="2" s="1"/>
  <c r="W119" i="2"/>
  <c r="AJ118" i="2"/>
  <c r="AI118" i="2"/>
  <c r="AH118" i="2"/>
  <c r="Y118" i="2"/>
  <c r="X118" i="2"/>
  <c r="W118" i="2"/>
  <c r="AJ117" i="2"/>
  <c r="AI117" i="2"/>
  <c r="AH117" i="2"/>
  <c r="X117" i="2"/>
  <c r="Y117" i="2" s="1"/>
  <c r="W117" i="2"/>
  <c r="AI116" i="2"/>
  <c r="AJ116" i="2" s="1"/>
  <c r="AH116" i="2"/>
  <c r="Y116" i="2"/>
  <c r="X116" i="2"/>
  <c r="W116" i="2"/>
  <c r="S116" i="2"/>
  <c r="AL115" i="2"/>
  <c r="AI115" i="2"/>
  <c r="AJ115" i="2" s="1"/>
  <c r="AK115" i="2" s="1"/>
  <c r="AH115" i="2"/>
  <c r="Y115" i="2"/>
  <c r="Z115" i="2" s="1"/>
  <c r="AA115" i="2" s="1"/>
  <c r="X115" i="2"/>
  <c r="W115" i="2"/>
  <c r="AI114" i="2"/>
  <c r="AJ114" i="2" s="1"/>
  <c r="AH114" i="2"/>
  <c r="Y114" i="2"/>
  <c r="X114" i="2"/>
  <c r="W114" i="2"/>
  <c r="AJ113" i="2"/>
  <c r="AI113" i="2"/>
  <c r="AH113" i="2"/>
  <c r="X113" i="2"/>
  <c r="Y113" i="2" s="1"/>
  <c r="W113" i="2"/>
  <c r="AJ112" i="2"/>
  <c r="AI112" i="2"/>
  <c r="AH112" i="2"/>
  <c r="X112" i="2"/>
  <c r="Y112" i="2" s="1"/>
  <c r="W112" i="2"/>
  <c r="AJ111" i="2"/>
  <c r="AH111" i="2"/>
  <c r="AI111" i="2" s="1"/>
  <c r="W111" i="2"/>
  <c r="X111" i="2" s="1"/>
  <c r="Y111" i="2" s="1"/>
  <c r="AI110" i="2"/>
  <c r="AJ110" i="2" s="1"/>
  <c r="AH110" i="2"/>
  <c r="X110" i="2"/>
  <c r="Y110" i="2" s="1"/>
  <c r="W110" i="2"/>
  <c r="AH109" i="2"/>
  <c r="AI109" i="2" s="1"/>
  <c r="AJ109" i="2" s="1"/>
  <c r="X109" i="2"/>
  <c r="Y109" i="2" s="1"/>
  <c r="W109" i="2"/>
  <c r="AH108" i="2"/>
  <c r="AI108" i="2" s="1"/>
  <c r="AJ108" i="2" s="1"/>
  <c r="X108" i="2"/>
  <c r="Y108" i="2" s="1"/>
  <c r="W108" i="2"/>
  <c r="AI107" i="2"/>
  <c r="AJ107" i="2" s="1"/>
  <c r="AH107" i="2"/>
  <c r="Y107" i="2"/>
  <c r="X107" i="2"/>
  <c r="W107" i="2"/>
  <c r="AI106" i="2"/>
  <c r="AJ106" i="2" s="1"/>
  <c r="AH106" i="2"/>
  <c r="W106" i="2"/>
  <c r="X106" i="2" s="1"/>
  <c r="Y106" i="2" s="1"/>
  <c r="AH105" i="2"/>
  <c r="AI105" i="2" s="1"/>
  <c r="AJ105" i="2" s="1"/>
  <c r="X105" i="2"/>
  <c r="Y105" i="2" s="1"/>
  <c r="W105" i="2"/>
  <c r="AJ104" i="2"/>
  <c r="AH104" i="2"/>
  <c r="AI104" i="2" s="1"/>
  <c r="W104" i="2"/>
  <c r="X104" i="2" s="1"/>
  <c r="Y104" i="2" s="1"/>
  <c r="AI103" i="2"/>
  <c r="AJ103" i="2" s="1"/>
  <c r="AH103" i="2"/>
  <c r="Y103" i="2"/>
  <c r="X103" i="2"/>
  <c r="W103" i="2"/>
  <c r="AI102" i="2"/>
  <c r="AJ102" i="2" s="1"/>
  <c r="AH102" i="2"/>
  <c r="W102" i="2"/>
  <c r="X102" i="2" s="1"/>
  <c r="Y102" i="2" s="1"/>
  <c r="AH101" i="2"/>
  <c r="AI101" i="2" s="1"/>
  <c r="AJ101" i="2" s="1"/>
  <c r="AK101" i="2" s="1"/>
  <c r="AL101" i="2" s="1"/>
  <c r="X101" i="2"/>
  <c r="Y101" i="2" s="1"/>
  <c r="Z101" i="2" s="1"/>
  <c r="AA101" i="2" s="1"/>
  <c r="W101" i="2"/>
  <c r="AH100" i="2"/>
  <c r="AI100" i="2" s="1"/>
  <c r="AJ100" i="2" s="1"/>
  <c r="X100" i="2"/>
  <c r="Y100" i="2" s="1"/>
  <c r="W100" i="2"/>
  <c r="AJ99" i="2"/>
  <c r="AH99" i="2"/>
  <c r="AI99" i="2" s="1"/>
  <c r="W99" i="2"/>
  <c r="X99" i="2" s="1"/>
  <c r="Y99" i="2" s="1"/>
  <c r="AI98" i="2"/>
  <c r="AJ98" i="2" s="1"/>
  <c r="AH98" i="2"/>
  <c r="X98" i="2"/>
  <c r="Y98" i="2" s="1"/>
  <c r="W98" i="2"/>
  <c r="AH97" i="2"/>
  <c r="AI97" i="2" s="1"/>
  <c r="AJ97" i="2" s="1"/>
  <c r="X97" i="2"/>
  <c r="Y97" i="2" s="1"/>
  <c r="W97" i="2"/>
  <c r="AH96" i="2"/>
  <c r="AI96" i="2" s="1"/>
  <c r="AJ96" i="2" s="1"/>
  <c r="X96" i="2"/>
  <c r="Y96" i="2" s="1"/>
  <c r="W96" i="2"/>
  <c r="AJ95" i="2"/>
  <c r="AH95" i="2"/>
  <c r="AI95" i="2" s="1"/>
  <c r="Y95" i="2"/>
  <c r="W95" i="2"/>
  <c r="X95" i="2" s="1"/>
  <c r="AH94" i="2"/>
  <c r="AI94" i="2" s="1"/>
  <c r="AJ94" i="2" s="1"/>
  <c r="X94" i="2"/>
  <c r="Y94" i="2" s="1"/>
  <c r="AB94" i="2" s="1"/>
  <c r="W94" i="2"/>
  <c r="AJ93" i="2"/>
  <c r="AH93" i="2"/>
  <c r="AI93" i="2" s="1"/>
  <c r="Y93" i="2"/>
  <c r="W93" i="2"/>
  <c r="X93" i="2" s="1"/>
  <c r="AI92" i="2"/>
  <c r="AJ92" i="2" s="1"/>
  <c r="AH92" i="2"/>
  <c r="X92" i="2"/>
  <c r="Y92" i="2" s="1"/>
  <c r="W92" i="2"/>
  <c r="AJ91" i="2"/>
  <c r="AH91" i="2"/>
  <c r="AI91" i="2" s="1"/>
  <c r="X91" i="2"/>
  <c r="Y91" i="2" s="1"/>
  <c r="W91" i="2"/>
  <c r="AH90" i="2"/>
  <c r="AI90" i="2" s="1"/>
  <c r="AJ90" i="2" s="1"/>
  <c r="X90" i="2"/>
  <c r="Y90" i="2" s="1"/>
  <c r="W90" i="2"/>
  <c r="AJ89" i="2"/>
  <c r="AH89" i="2"/>
  <c r="AI89" i="2" s="1"/>
  <c r="W89" i="2"/>
  <c r="X89" i="2" s="1"/>
  <c r="Y89" i="2" s="1"/>
  <c r="AI88" i="2"/>
  <c r="AJ88" i="2" s="1"/>
  <c r="AH88" i="2"/>
  <c r="X88" i="2"/>
  <c r="Y88" i="2" s="1"/>
  <c r="W88" i="2"/>
  <c r="AH87" i="2"/>
  <c r="AI87" i="2" s="1"/>
  <c r="AJ87" i="2" s="1"/>
  <c r="X87" i="2"/>
  <c r="Y87" i="2" s="1"/>
  <c r="W87" i="2"/>
  <c r="S87" i="2"/>
  <c r="AI86" i="2"/>
  <c r="AJ86" i="2" s="1"/>
  <c r="AK86" i="2" s="1"/>
  <c r="AL86" i="2" s="1"/>
  <c r="AH86" i="2"/>
  <c r="X86" i="2"/>
  <c r="Y86" i="2" s="1"/>
  <c r="Z86" i="2" s="1"/>
  <c r="AA86" i="2" s="1"/>
  <c r="W86" i="2"/>
  <c r="AH85" i="2"/>
  <c r="AI85" i="2" s="1"/>
  <c r="AJ85" i="2" s="1"/>
  <c r="W85" i="2"/>
  <c r="X85" i="2" s="1"/>
  <c r="Y85" i="2" s="1"/>
  <c r="AI84" i="2"/>
  <c r="AJ84" i="2" s="1"/>
  <c r="AH84" i="2"/>
  <c r="W84" i="2"/>
  <c r="X84" i="2" s="1"/>
  <c r="Y84" i="2" s="1"/>
  <c r="AH83" i="2"/>
  <c r="AI83" i="2" s="1"/>
  <c r="AJ83" i="2" s="1"/>
  <c r="X83" i="2"/>
  <c r="Y83" i="2" s="1"/>
  <c r="W83" i="2"/>
  <c r="AJ82" i="2"/>
  <c r="AI82" i="2"/>
  <c r="AH82" i="2"/>
  <c r="X82" i="2"/>
  <c r="Y82" i="2" s="1"/>
  <c r="W82" i="2"/>
  <c r="AH81" i="2"/>
  <c r="AI81" i="2" s="1"/>
  <c r="AJ81" i="2" s="1"/>
  <c r="W81" i="2"/>
  <c r="X81" i="2" s="1"/>
  <c r="Y81" i="2" s="1"/>
  <c r="AI80" i="2"/>
  <c r="AJ80" i="2" s="1"/>
  <c r="AH80" i="2"/>
  <c r="W80" i="2"/>
  <c r="X80" i="2" s="1"/>
  <c r="Y80" i="2" s="1"/>
  <c r="AH79" i="2"/>
  <c r="AI79" i="2" s="1"/>
  <c r="AJ79" i="2" s="1"/>
  <c r="W79" i="2"/>
  <c r="X79" i="2" s="1"/>
  <c r="Y79" i="2" s="1"/>
  <c r="AH78" i="2"/>
  <c r="AI78" i="2" s="1"/>
  <c r="AJ78" i="2" s="1"/>
  <c r="Y78" i="2"/>
  <c r="W78" i="2"/>
  <c r="X78" i="2" s="1"/>
  <c r="AH77" i="2"/>
  <c r="AI77" i="2" s="1"/>
  <c r="AJ77" i="2" s="1"/>
  <c r="W77" i="2"/>
  <c r="X77" i="2" s="1"/>
  <c r="Y77" i="2" s="1"/>
  <c r="AJ76" i="2"/>
  <c r="AI76" i="2"/>
  <c r="AH76" i="2"/>
  <c r="X76" i="2"/>
  <c r="Y76" i="2" s="1"/>
  <c r="W76" i="2"/>
  <c r="AH75" i="2"/>
  <c r="AI75" i="2" s="1"/>
  <c r="AJ75" i="2" s="1"/>
  <c r="W75" i="2"/>
  <c r="X75" i="2" s="1"/>
  <c r="Y75" i="2" s="1"/>
  <c r="AI74" i="2"/>
  <c r="AJ74" i="2" s="1"/>
  <c r="AH74" i="2"/>
  <c r="W74" i="2"/>
  <c r="X74" i="2" s="1"/>
  <c r="Y74" i="2" s="1"/>
  <c r="AH73" i="2"/>
  <c r="AI73" i="2" s="1"/>
  <c r="AJ73" i="2" s="1"/>
  <c r="AK73" i="2" s="1"/>
  <c r="AL73" i="2" s="1"/>
  <c r="W73" i="2"/>
  <c r="X73" i="2" s="1"/>
  <c r="Y73" i="2" s="1"/>
  <c r="Z73" i="2" s="1"/>
  <c r="AA73" i="2" s="1"/>
  <c r="AI72" i="2"/>
  <c r="AJ72" i="2" s="1"/>
  <c r="AH72" i="2"/>
  <c r="W72" i="2"/>
  <c r="X72" i="2" s="1"/>
  <c r="Y72" i="2" s="1"/>
  <c r="AH71" i="2"/>
  <c r="AI71" i="2" s="1"/>
  <c r="AJ71" i="2" s="1"/>
  <c r="X71" i="2"/>
  <c r="Y71" i="2" s="1"/>
  <c r="W71" i="2"/>
  <c r="AJ70" i="2"/>
  <c r="AI70" i="2"/>
  <c r="AH70" i="2"/>
  <c r="Y70" i="2"/>
  <c r="X70" i="2"/>
  <c r="W70" i="2"/>
  <c r="AH69" i="2"/>
  <c r="AI69" i="2" s="1"/>
  <c r="AJ69" i="2" s="1"/>
  <c r="W69" i="2"/>
  <c r="X69" i="2" s="1"/>
  <c r="Y69" i="2" s="1"/>
  <c r="AI68" i="2"/>
  <c r="AJ68" i="2" s="1"/>
  <c r="AH68" i="2"/>
  <c r="W68" i="2"/>
  <c r="X68" i="2" s="1"/>
  <c r="Y68" i="2" s="1"/>
  <c r="AH67" i="2"/>
  <c r="AI67" i="2" s="1"/>
  <c r="AJ67" i="2" s="1"/>
  <c r="X67" i="2"/>
  <c r="Y67" i="2" s="1"/>
  <c r="W67" i="2"/>
  <c r="AJ66" i="2"/>
  <c r="AI66" i="2"/>
  <c r="AH66" i="2"/>
  <c r="X66" i="2"/>
  <c r="Y66" i="2" s="1"/>
  <c r="W66" i="2"/>
  <c r="AJ65" i="2"/>
  <c r="AM65" i="2" s="1"/>
  <c r="AN65" i="2" s="1"/>
  <c r="AI65" i="2"/>
  <c r="AH65" i="2"/>
  <c r="X65" i="2"/>
  <c r="Y65" i="2" s="1"/>
  <c r="W65" i="2"/>
  <c r="AJ64" i="2"/>
  <c r="AI64" i="2"/>
  <c r="AH64" i="2"/>
  <c r="W64" i="2"/>
  <c r="X64" i="2" s="1"/>
  <c r="Y64" i="2" s="1"/>
  <c r="AH63" i="2"/>
  <c r="AI63" i="2" s="1"/>
  <c r="AJ63" i="2" s="1"/>
  <c r="W63" i="2"/>
  <c r="X63" i="2" s="1"/>
  <c r="Y63" i="2" s="1"/>
  <c r="AH62" i="2"/>
  <c r="AI62" i="2" s="1"/>
  <c r="AJ62" i="2" s="1"/>
  <c r="W62" i="2"/>
  <c r="X62" i="2" s="1"/>
  <c r="Y62" i="2" s="1"/>
  <c r="AI61" i="2"/>
  <c r="AJ61" i="2" s="1"/>
  <c r="AH61" i="2"/>
  <c r="W61" i="2"/>
  <c r="X61" i="2" s="1"/>
  <c r="Y61" i="2" s="1"/>
  <c r="AH60" i="2"/>
  <c r="AI60" i="2" s="1"/>
  <c r="AJ60" i="2" s="1"/>
  <c r="W60" i="2"/>
  <c r="X60" i="2" s="1"/>
  <c r="Y60" i="2" s="1"/>
  <c r="AJ53" i="2"/>
  <c r="AI53" i="2"/>
  <c r="AH53" i="2"/>
  <c r="W53" i="2"/>
  <c r="X53" i="2" s="1"/>
  <c r="Y53" i="2" s="1"/>
  <c r="AH52" i="2"/>
  <c r="AI52" i="2" s="1"/>
  <c r="AJ52" i="2" s="1"/>
  <c r="W52" i="2"/>
  <c r="X52" i="2" s="1"/>
  <c r="Y52" i="2" s="1"/>
  <c r="AI51" i="2"/>
  <c r="AJ51" i="2" s="1"/>
  <c r="AH51" i="2"/>
  <c r="W51" i="2"/>
  <c r="X51" i="2" s="1"/>
  <c r="Y51" i="2" s="1"/>
  <c r="AH50" i="2"/>
  <c r="AI50" i="2" s="1"/>
  <c r="AJ50" i="2" s="1"/>
  <c r="W50" i="2"/>
  <c r="X50" i="2" s="1"/>
  <c r="Y50" i="2" s="1"/>
  <c r="AJ49" i="2"/>
  <c r="AI49" i="2"/>
  <c r="AH49" i="2"/>
  <c r="W49" i="2"/>
  <c r="X49" i="2" s="1"/>
  <c r="Y49" i="2" s="1"/>
  <c r="AH48" i="2"/>
  <c r="AI48" i="2" s="1"/>
  <c r="AJ48" i="2" s="1"/>
  <c r="Y48" i="2"/>
  <c r="W48" i="2"/>
  <c r="X48" i="2" s="1"/>
  <c r="AH47" i="2"/>
  <c r="AI47" i="2" s="1"/>
  <c r="AJ47" i="2" s="1"/>
  <c r="W47" i="2"/>
  <c r="X47" i="2" s="1"/>
  <c r="Y47" i="2" s="1"/>
  <c r="AH46" i="2"/>
  <c r="AI46" i="2" s="1"/>
  <c r="AJ46" i="2" s="1"/>
  <c r="X46" i="2"/>
  <c r="Y46" i="2" s="1"/>
  <c r="W46" i="2"/>
  <c r="AI45" i="2"/>
  <c r="AJ45" i="2" s="1"/>
  <c r="AH45" i="2"/>
  <c r="W45" i="2"/>
  <c r="X45" i="2" s="1"/>
  <c r="Y45" i="2" s="1"/>
  <c r="AI44" i="2"/>
  <c r="AJ44" i="2" s="1"/>
  <c r="AH44" i="2"/>
  <c r="W44" i="2"/>
  <c r="X44" i="2" s="1"/>
  <c r="Y44" i="2" s="1"/>
  <c r="AH43" i="2"/>
  <c r="AI43" i="2" s="1"/>
  <c r="AJ43" i="2" s="1"/>
  <c r="X43" i="2"/>
  <c r="Y43" i="2" s="1"/>
  <c r="W43" i="2"/>
  <c r="AH42" i="2"/>
  <c r="AI42" i="2" s="1"/>
  <c r="AJ42" i="2" s="1"/>
  <c r="W42" i="2"/>
  <c r="X42" i="2" s="1"/>
  <c r="Y42" i="2" s="1"/>
  <c r="AJ41" i="2"/>
  <c r="AI41" i="2"/>
  <c r="AH41" i="2"/>
  <c r="W41" i="2"/>
  <c r="X41" i="2" s="1"/>
  <c r="Y41" i="2" s="1"/>
  <c r="AH40" i="2"/>
  <c r="AI40" i="2" s="1"/>
  <c r="AJ40" i="2" s="1"/>
  <c r="Y40" i="2"/>
  <c r="W40" i="2"/>
  <c r="X40" i="2" s="1"/>
  <c r="AH39" i="2"/>
  <c r="AI39" i="2" s="1"/>
  <c r="AJ39" i="2" s="1"/>
  <c r="W39" i="2"/>
  <c r="X39" i="2" s="1"/>
  <c r="Y39" i="2" s="1"/>
  <c r="AH38" i="2"/>
  <c r="AI38" i="2" s="1"/>
  <c r="AJ38" i="2" s="1"/>
  <c r="X38" i="2"/>
  <c r="Y38" i="2" s="1"/>
  <c r="W38" i="2"/>
  <c r="AI37" i="2"/>
  <c r="AJ37" i="2" s="1"/>
  <c r="AH37" i="2"/>
  <c r="W37" i="2"/>
  <c r="X37" i="2" s="1"/>
  <c r="Y37" i="2" s="1"/>
  <c r="AI36" i="2"/>
  <c r="AJ36" i="2" s="1"/>
  <c r="AH36" i="2"/>
  <c r="W36" i="2"/>
  <c r="X36" i="2" s="1"/>
  <c r="Y36" i="2" s="1"/>
  <c r="S36" i="2"/>
  <c r="AI26" i="2"/>
  <c r="AJ26" i="2" s="1"/>
  <c r="AH26" i="2"/>
  <c r="Y26" i="2"/>
  <c r="X26" i="2"/>
  <c r="W26" i="2"/>
  <c r="AH25" i="2"/>
  <c r="AI25" i="2" s="1"/>
  <c r="AJ25" i="2" s="1"/>
  <c r="W25" i="2"/>
  <c r="X25" i="2" s="1"/>
  <c r="Y25" i="2" s="1"/>
  <c r="AH24" i="2"/>
  <c r="AI24" i="2" s="1"/>
  <c r="AJ24" i="2" s="1"/>
  <c r="W24" i="2"/>
  <c r="X24" i="2" s="1"/>
  <c r="Y24" i="2" s="1"/>
  <c r="AH23" i="2"/>
  <c r="AI23" i="2" s="1"/>
  <c r="AJ23" i="2" s="1"/>
  <c r="W23" i="2"/>
  <c r="X23" i="2" s="1"/>
  <c r="Y23" i="2" s="1"/>
  <c r="AH22" i="2"/>
  <c r="AI22" i="2" s="1"/>
  <c r="AJ22" i="2" s="1"/>
  <c r="Y22" i="2"/>
  <c r="X22" i="2"/>
  <c r="W22" i="2"/>
  <c r="AH21" i="2"/>
  <c r="AI21" i="2" s="1"/>
  <c r="AJ21" i="2" s="1"/>
  <c r="W21" i="2"/>
  <c r="X21" i="2" s="1"/>
  <c r="Y21" i="2" s="1"/>
  <c r="AH20" i="2"/>
  <c r="AI20" i="2" s="1"/>
  <c r="AJ20" i="2" s="1"/>
  <c r="W20" i="2"/>
  <c r="X20" i="2" s="1"/>
  <c r="Y20" i="2" s="1"/>
  <c r="AH19" i="2"/>
  <c r="AI19" i="2" s="1"/>
  <c r="AJ19" i="2" s="1"/>
  <c r="W19" i="2"/>
  <c r="X19" i="2" s="1"/>
  <c r="Y19" i="2" s="1"/>
  <c r="AH18" i="2"/>
  <c r="AI18" i="2" s="1"/>
  <c r="AJ18" i="2" s="1"/>
  <c r="X18" i="2"/>
  <c r="Y18" i="2" s="1"/>
  <c r="W18" i="2"/>
  <c r="AI17" i="2"/>
  <c r="AJ17" i="2" s="1"/>
  <c r="AH17" i="2"/>
  <c r="W17" i="2"/>
  <c r="X17" i="2" s="1"/>
  <c r="Y17" i="2" s="1"/>
  <c r="AH16" i="2"/>
  <c r="AI16" i="2" s="1"/>
  <c r="AJ16" i="2" s="1"/>
  <c r="Y16" i="2"/>
  <c r="X16" i="2"/>
  <c r="W16" i="2"/>
  <c r="AH15" i="2"/>
  <c r="AI15" i="2" s="1"/>
  <c r="AJ15" i="2" s="1"/>
  <c r="W15" i="2"/>
  <c r="X15" i="2" s="1"/>
  <c r="Y15" i="2" s="1"/>
  <c r="AJ14" i="2"/>
  <c r="AI14" i="2"/>
  <c r="AH14" i="2"/>
  <c r="X14" i="2"/>
  <c r="Y14" i="2" s="1"/>
  <c r="W14" i="2"/>
  <c r="AI13" i="2"/>
  <c r="AJ13" i="2" s="1"/>
  <c r="AH13" i="2"/>
  <c r="W13" i="2"/>
  <c r="X13" i="2" s="1"/>
  <c r="Y13" i="2" s="1"/>
  <c r="AH12" i="2"/>
  <c r="AI12" i="2" s="1"/>
  <c r="AJ12" i="2" s="1"/>
  <c r="X12" i="2"/>
  <c r="Y12" i="2" s="1"/>
  <c r="W12" i="2"/>
  <c r="AH11" i="2"/>
  <c r="AI11" i="2" s="1"/>
  <c r="AJ11" i="2" s="1"/>
  <c r="W11" i="2"/>
  <c r="X11" i="2" s="1"/>
  <c r="Y11" i="2" s="1"/>
  <c r="AI10" i="2"/>
  <c r="AJ10" i="2" s="1"/>
  <c r="AH10" i="2"/>
  <c r="Y10" i="2"/>
  <c r="X10" i="2"/>
  <c r="W10" i="2"/>
  <c r="AH9" i="2"/>
  <c r="AI9" i="2" s="1"/>
  <c r="AJ9" i="2" s="1"/>
  <c r="W9" i="2"/>
  <c r="X9" i="2" s="1"/>
  <c r="Y9" i="2" s="1"/>
  <c r="AH8" i="2"/>
  <c r="AI8" i="2" s="1"/>
  <c r="AJ8" i="2" s="1"/>
  <c r="W8" i="2"/>
  <c r="X8" i="2" s="1"/>
  <c r="Y8" i="2" s="1"/>
  <c r="AH7" i="2"/>
  <c r="AI7" i="2" s="1"/>
  <c r="AJ7" i="2" s="1"/>
  <c r="W7" i="2"/>
  <c r="X7" i="2" s="1"/>
  <c r="Y7" i="2" s="1"/>
  <c r="S7" i="2"/>
  <c r="AH6" i="2"/>
  <c r="AI6" i="2" s="1"/>
  <c r="AJ6" i="2" s="1"/>
  <c r="W6" i="2"/>
  <c r="X6" i="2" s="1"/>
  <c r="Y6" i="2" s="1"/>
  <c r="AH5" i="2"/>
  <c r="AI5" i="2" s="1"/>
  <c r="AJ5" i="2" s="1"/>
  <c r="W5" i="2"/>
  <c r="X5" i="2" s="1"/>
  <c r="Y5" i="2" s="1"/>
  <c r="S5" i="2"/>
  <c r="AH4" i="2"/>
  <c r="AI4" i="2" s="1"/>
  <c r="AJ4" i="2" s="1"/>
  <c r="W4" i="2"/>
  <c r="X4" i="2" s="1"/>
  <c r="Y4" i="2" s="1"/>
  <c r="AJ3" i="2"/>
  <c r="AH3" i="2"/>
  <c r="AI3" i="2" s="1"/>
  <c r="W3" i="2"/>
  <c r="X3" i="2" s="1"/>
  <c r="Y3" i="2" s="1"/>
  <c r="AM79" i="2" l="1"/>
  <c r="AN79" i="2" s="1"/>
  <c r="AB65" i="2"/>
  <c r="AC65" i="2" s="1"/>
  <c r="AM248" i="2"/>
  <c r="AN248" i="2" s="1"/>
  <c r="AB107" i="2"/>
  <c r="AC107" i="2" s="1"/>
  <c r="AD194" i="2"/>
  <c r="AE194" i="2" s="1"/>
  <c r="AB79" i="2"/>
  <c r="AC79" i="2" s="1"/>
  <c r="AM137" i="2"/>
  <c r="AN137" i="2"/>
  <c r="AO143" i="2"/>
  <c r="AP143" i="2" s="1"/>
  <c r="AB218" i="2"/>
  <c r="AC218" i="2" s="1"/>
  <c r="AD238" i="2"/>
  <c r="AE238" i="2" s="1"/>
  <c r="AO178" i="2"/>
  <c r="AP178" i="2" s="1"/>
  <c r="AM107" i="2"/>
  <c r="AN107" i="2"/>
  <c r="AD208" i="2"/>
  <c r="AE208" i="2" s="1"/>
  <c r="AO254" i="2"/>
  <c r="AP254" i="2" s="1"/>
  <c r="AN262" i="2"/>
  <c r="AD159" i="2"/>
  <c r="AE159" i="2" s="1"/>
  <c r="AC94" i="2"/>
  <c r="AD113" i="2"/>
  <c r="AE113" i="2" s="1"/>
  <c r="AM123" i="2"/>
  <c r="AN123" i="2" s="1"/>
  <c r="AM94" i="2"/>
  <c r="AN94" i="2" s="1"/>
  <c r="AO113" i="2"/>
  <c r="AP113" i="2"/>
  <c r="AM153" i="2"/>
  <c r="AN153" i="2" s="1"/>
  <c r="AB188" i="2"/>
  <c r="AC188" i="2" s="1"/>
  <c r="AO208" i="2"/>
  <c r="AP208" i="2" s="1"/>
  <c r="AC137" i="2"/>
  <c r="AC202" i="2"/>
  <c r="AB202" i="2"/>
  <c r="AO268" i="2"/>
  <c r="AP268" i="2" s="1"/>
  <c r="AB153" i="2"/>
  <c r="AC153" i="2" s="1"/>
  <c r="AN172" i="2"/>
  <c r="M21" i="3"/>
  <c r="AM172" i="2"/>
  <c r="AO224" i="2"/>
  <c r="AP224" i="2" s="1"/>
  <c r="AB248" i="2"/>
  <c r="AC248" i="2"/>
  <c r="AD254" i="2"/>
  <c r="AE254" i="2" s="1"/>
  <c r="AM278" i="2"/>
  <c r="AN278" i="2" s="1"/>
  <c r="AB232" i="2"/>
  <c r="AC232" i="2" s="1"/>
  <c r="M44" i="3"/>
  <c r="M41" i="3"/>
  <c r="M43" i="3"/>
  <c r="M48" i="3"/>
  <c r="L24" i="3"/>
  <c r="L26" i="3" s="1"/>
  <c r="L27" i="3" s="1"/>
  <c r="M16" i="3"/>
  <c r="R44" i="3"/>
  <c r="R41" i="3"/>
  <c r="R43" i="3"/>
  <c r="R48" i="3"/>
  <c r="AE129" i="2"/>
  <c r="AM262" i="2"/>
  <c r="AC278" i="2"/>
  <c r="L17" i="3"/>
  <c r="AM202" i="2"/>
  <c r="AN202" i="2" s="1"/>
  <c r="AD224" i="2"/>
  <c r="AO238" i="2"/>
  <c r="AP238" i="2"/>
  <c r="M17" i="3"/>
  <c r="AC123" i="2"/>
  <c r="AE224" i="2"/>
  <c r="AN232" i="2"/>
  <c r="L14" i="3"/>
  <c r="M65" i="3"/>
  <c r="M63" i="3"/>
  <c r="M66" i="3"/>
  <c r="R65" i="3"/>
  <c r="R63" i="3"/>
  <c r="R66" i="3"/>
  <c r="Q16" i="3"/>
  <c r="Q14" i="3"/>
  <c r="Y43" i="3"/>
  <c r="Y41" i="3"/>
  <c r="Y48" i="3"/>
  <c r="Y66" i="3"/>
  <c r="Y65" i="3"/>
  <c r="Y63" i="3"/>
  <c r="R16" i="3"/>
  <c r="R14" i="3"/>
  <c r="AJ43" i="3"/>
  <c r="AJ41" i="3"/>
  <c r="AJ48" i="3"/>
  <c r="AJ66" i="3"/>
  <c r="AJ65" i="3"/>
  <c r="AJ63" i="3"/>
  <c r="Y44" i="3"/>
  <c r="AJ44" i="3"/>
  <c r="Q21" i="3"/>
  <c r="Q17" i="3"/>
  <c r="M45" i="3"/>
  <c r="Y70" i="3"/>
  <c r="AM218" i="2"/>
  <c r="AN218" i="2" s="1"/>
  <c r="AD268" i="2"/>
  <c r="AE268" i="2" s="1"/>
  <c r="R21" i="3"/>
  <c r="R17" i="3"/>
  <c r="Q24" i="3"/>
  <c r="Q26" i="3" s="1"/>
  <c r="Q27" i="3" s="1"/>
  <c r="R45" i="3"/>
  <c r="AJ70" i="3"/>
  <c r="Y67" i="3"/>
  <c r="AJ67" i="3"/>
  <c r="M69" i="3"/>
  <c r="R69" i="3"/>
  <c r="M70" i="3"/>
  <c r="R70" i="3"/>
</calcChain>
</file>

<file path=xl/sharedStrings.xml><?xml version="1.0" encoding="utf-8"?>
<sst xmlns="http://schemas.openxmlformats.org/spreadsheetml/2006/main" count="4675" uniqueCount="387">
  <si>
    <t>Notes on this run:</t>
  </si>
  <si>
    <t>Includes DXE dilution samples, Sunapee, and May-December reservoir samples.</t>
  </si>
  <si>
    <t>NOTE: DXE samples with visible algae need to be rerun.</t>
  </si>
  <si>
    <t>Bolded columns in QAQC have edited formulas from normal.</t>
  </si>
  <si>
    <t>Applied end of run curve to everything from S40 to the end, because checks aren't coming out correctly post-restarting the lachat.</t>
  </si>
  <si>
    <t>Detection Date</t>
  </si>
  <si>
    <t>Detection Time</t>
  </si>
  <si>
    <t>Run File Name</t>
  </si>
  <si>
    <t>Sample ID</t>
  </si>
  <si>
    <t>Cup Number</t>
  </si>
  <si>
    <t>Sample Type</t>
  </si>
  <si>
    <t>Auto Dilution Factor</t>
  </si>
  <si>
    <t>Manual Dilution Factor</t>
  </si>
  <si>
    <t>Analyte Name</t>
  </si>
  <si>
    <t>Concentration Units</t>
  </si>
  <si>
    <t>Peak Height</t>
  </si>
  <si>
    <t>Peak Area</t>
  </si>
  <si>
    <t>Peak Concentration</t>
  </si>
  <si>
    <t>Column efficiency</t>
  </si>
  <si>
    <t>DILUTION FACTOR</t>
  </si>
  <si>
    <t>Analyst QUALITY CODE PO4-P:</t>
  </si>
  <si>
    <t>Analyst NOTES:</t>
  </si>
  <si>
    <t>PO4-P-- determined concentration</t>
  </si>
  <si>
    <t>PO4-P-- revised calibration</t>
  </si>
  <si>
    <t>PO4-P-- dilution corrected</t>
  </si>
  <si>
    <t>PO4-P- % Error in check stds</t>
  </si>
  <si>
    <t>PO4-P- DQO (&lt;=20%)</t>
  </si>
  <si>
    <t>PO4-P- RPD of duplicates</t>
  </si>
  <si>
    <t>PO4-P- DQO (&lt;=20% if conc&gt;LOQ)</t>
  </si>
  <si>
    <t>PO4-P- PR of spikes</t>
  </si>
  <si>
    <t>PO4-P- DQO (80-120%) if conc&gt;LOQ</t>
  </si>
  <si>
    <t>Analyst QUALITY CODE NO3-N:</t>
  </si>
  <si>
    <t>NO3-N-- determined concentration</t>
  </si>
  <si>
    <t>NO3-N-- revised calibration</t>
  </si>
  <si>
    <t>NO3-N-- dilution corrected</t>
  </si>
  <si>
    <t>NO3-N- % Error in check stds</t>
  </si>
  <si>
    <t>NO3-N- DQO (&lt;=20%)</t>
  </si>
  <si>
    <t>NO3-N- RPD of duplicates</t>
  </si>
  <si>
    <t>NO3-N- DQO (&lt;=20% if conc&gt;LOQ)</t>
  </si>
  <si>
    <t>NO3-N- PR of spikes</t>
  </si>
  <si>
    <t>NO3-N- DQO (80-120%) if conc&gt;LOQ</t>
  </si>
  <si>
    <t>original order</t>
  </si>
  <si>
    <t>STANDARDS:</t>
  </si>
  <si>
    <t>OM_3-4-2026_10-18-36AM.OMN</t>
  </si>
  <si>
    <t>dye</t>
  </si>
  <si>
    <t>S16</t>
  </si>
  <si>
    <t>Unknown</t>
  </si>
  <si>
    <t>TP</t>
  </si>
  <si>
    <t>ug P/L</t>
  </si>
  <si>
    <t>TN</t>
  </si>
  <si>
    <t>ug N/L</t>
  </si>
  <si>
    <t>NO2</t>
  </si>
  <si>
    <t>S1</t>
  </si>
  <si>
    <t>NO3</t>
  </si>
  <si>
    <t>S2</t>
  </si>
  <si>
    <t>water</t>
  </si>
  <si>
    <t>S3</t>
  </si>
  <si>
    <t>bisulfate carrier</t>
  </si>
  <si>
    <t>S4</t>
  </si>
  <si>
    <t>cal std 150</t>
  </si>
  <si>
    <t>Calibration Standard</t>
  </si>
  <si>
    <t>cal std 100</t>
  </si>
  <si>
    <t>cal std 50</t>
  </si>
  <si>
    <t>cal std 25</t>
  </si>
  <si>
    <t>cal std 10</t>
  </si>
  <si>
    <t>cal std 5</t>
  </si>
  <si>
    <t>off- excluded from curve</t>
  </si>
  <si>
    <t>cal std 0</t>
  </si>
  <si>
    <t>METHOD CHECKS:</t>
  </si>
  <si>
    <t>water blank</t>
  </si>
  <si>
    <t>digest check</t>
  </si>
  <si>
    <t>spk blank</t>
  </si>
  <si>
    <t>prepped with next day's digestion</t>
  </si>
  <si>
    <t>SAMPLES:</t>
  </si>
  <si>
    <t>S5</t>
  </si>
  <si>
    <t>Duplicate Set</t>
  </si>
  <si>
    <t>DUP S5</t>
  </si>
  <si>
    <t>slightly messy integration</t>
  </si>
  <si>
    <t>S6</t>
  </si>
  <si>
    <t>S7</t>
  </si>
  <si>
    <t>S8</t>
  </si>
  <si>
    <t>S9</t>
  </si>
  <si>
    <t>peak cut off- use data from rerun in batch 7</t>
  </si>
  <si>
    <t>S10</t>
  </si>
  <si>
    <t>Spike Set</t>
  </si>
  <si>
    <t>SPK S10</t>
  </si>
  <si>
    <t>air</t>
  </si>
  <si>
    <t>CHECK25</t>
  </si>
  <si>
    <t>Check Standard</t>
  </si>
  <si>
    <t>S11</t>
  </si>
  <si>
    <t>S12</t>
  </si>
  <si>
    <t>S13</t>
  </si>
  <si>
    <t>S14</t>
  </si>
  <si>
    <t>S15</t>
  </si>
  <si>
    <t>DUP S15</t>
  </si>
  <si>
    <t>S17</t>
  </si>
  <si>
    <t>S18</t>
  </si>
  <si>
    <t>S19</t>
  </si>
  <si>
    <t>S20</t>
  </si>
  <si>
    <t>bisulfate</t>
  </si>
  <si>
    <t>S21</t>
  </si>
  <si>
    <t>S22</t>
  </si>
  <si>
    <t>S23</t>
  </si>
  <si>
    <t>S24</t>
  </si>
  <si>
    <t>S25</t>
  </si>
  <si>
    <t>DUP 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</si>
  <si>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</si>
  <si>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</si>
  <si>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</si>
  <si>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</si>
  <si>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</si>
  <si>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</si>
  <si>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</si>
  <si>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</si>
  <si>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</si>
  <si>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</si>
  <si>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DUP S35</t>
  </si>
  <si>
    <t>S36</t>
  </si>
  <si>
    <t>S37</t>
  </si>
  <si>
    <t>S38</t>
  </si>
  <si>
    <t>out of range- use data from dilution in batch 7</t>
  </si>
  <si>
    <t>S39</t>
  </si>
  <si>
    <t>OM_3-4-2026_12-38-43PM.OMN</t>
  </si>
  <si>
    <t>S40</t>
  </si>
  <si>
    <t>SPIKE S40</t>
  </si>
  <si>
    <t>BISULFATE</t>
  </si>
  <si>
    <t>CHECK 25</t>
  </si>
  <si>
    <t>S41</t>
  </si>
  <si>
    <t>S42</t>
  </si>
  <si>
    <t>S43</t>
  </si>
  <si>
    <t>S44</t>
  </si>
  <si>
    <t>S45</t>
  </si>
  <si>
    <t>DUP S45</t>
  </si>
  <si>
    <t>S46</t>
  </si>
  <si>
    <t>S47</t>
  </si>
  <si>
    <t>S48</t>
  </si>
  <si>
    <t>S49</t>
  </si>
  <si>
    <t>S50</t>
  </si>
  <si>
    <t>SPIKE S50</t>
  </si>
  <si>
    <t>BLANK</t>
  </si>
  <si>
    <t>S51</t>
  </si>
  <si>
    <t>S52</t>
  </si>
  <si>
    <t>S53</t>
  </si>
  <si>
    <t>S54</t>
  </si>
  <si>
    <t>S55</t>
  </si>
  <si>
    <t>DUP S55</t>
  </si>
  <si>
    <t>S56</t>
  </si>
  <si>
    <t>S57</t>
  </si>
  <si>
    <t>S58</t>
  </si>
  <si>
    <t>S59</t>
  </si>
  <si>
    <t>S60</t>
  </si>
  <si>
    <t>SPIKE S60</t>
  </si>
  <si>
    <t>double-spiked?</t>
  </si>
  <si>
    <t>S61</t>
  </si>
  <si>
    <t>out of range- use data from dilution</t>
  </si>
  <si>
    <t>S62</t>
  </si>
  <si>
    <t>S63</t>
  </si>
  <si>
    <t>S64</t>
  </si>
  <si>
    <t>S65</t>
  </si>
  <si>
    <t>DUP S65</t>
  </si>
  <si>
    <t>air spike- expect lower areas</t>
  </si>
  <si>
    <t>expect lower areas</t>
  </si>
  <si>
    <t>S66</t>
  </si>
  <si>
    <t>S67</t>
  </si>
  <si>
    <t>S68</t>
  </si>
  <si>
    <t>S69</t>
  </si>
  <si>
    <t>S70</t>
  </si>
  <si>
    <t>SPIKE S70</t>
  </si>
  <si>
    <t>CHECK 150</t>
  </si>
  <si>
    <t>CHECK 100</t>
  </si>
  <si>
    <t>CHECK 50</t>
  </si>
  <si>
    <t>CHECK 10</t>
  </si>
  <si>
    <t>CHECK 5</t>
  </si>
  <si>
    <t>CHECK 0</t>
  </si>
  <si>
    <t>S71</t>
  </si>
  <si>
    <t>S72</t>
  </si>
  <si>
    <t>S73</t>
  </si>
  <si>
    <t>S74</t>
  </si>
  <si>
    <t>S75</t>
  </si>
  <si>
    <t>DUP S75</t>
  </si>
  <si>
    <t>S76</t>
  </si>
  <si>
    <t>S77</t>
  </si>
  <si>
    <t>S78</t>
  </si>
  <si>
    <t>S79</t>
  </si>
  <si>
    <t>S80</t>
  </si>
  <si>
    <t>SPIKE S80</t>
  </si>
  <si>
    <t>S81</t>
  </si>
  <si>
    <t>S82</t>
  </si>
  <si>
    <t>S83</t>
  </si>
  <si>
    <t>S84</t>
  </si>
  <si>
    <t>S85</t>
  </si>
  <si>
    <t>DUP S85</t>
  </si>
  <si>
    <t>S86</t>
  </si>
  <si>
    <t>S87</t>
  </si>
  <si>
    <t>peak cut off- use data from rerun</t>
  </si>
  <si>
    <t>S88</t>
  </si>
  <si>
    <t>S89</t>
  </si>
  <si>
    <t>S90</t>
  </si>
  <si>
    <t>weird peak shape</t>
  </si>
  <si>
    <t>air spikes at end of peak</t>
  </si>
  <si>
    <t>SPIKE S90</t>
  </si>
  <si>
    <t>weird peak shape on original sample</t>
  </si>
  <si>
    <t>air spikes at end of original sample peak</t>
  </si>
  <si>
    <t>S91</t>
  </si>
  <si>
    <t>S92</t>
  </si>
  <si>
    <t>S93</t>
  </si>
  <si>
    <t>S94</t>
  </si>
  <si>
    <t>S95</t>
  </si>
  <si>
    <t>lots of spikes- use data from dup</t>
  </si>
  <si>
    <t>DUP S95</t>
  </si>
  <si>
    <t>S96</t>
  </si>
  <si>
    <t>S97</t>
  </si>
  <si>
    <t>S98</t>
  </si>
  <si>
    <t>S99</t>
  </si>
  <si>
    <t>S100</t>
  </si>
  <si>
    <t>SPIKE S100</t>
  </si>
  <si>
    <t>S101</t>
  </si>
  <si>
    <t>S102</t>
  </si>
  <si>
    <t>S103</t>
  </si>
  <si>
    <t>S104</t>
  </si>
  <si>
    <t>S105</t>
  </si>
  <si>
    <t>DUP S105</t>
  </si>
  <si>
    <t>S106</t>
  </si>
  <si>
    <t>S107</t>
  </si>
  <si>
    <t>S108</t>
  </si>
  <si>
    <t>S109</t>
  </si>
  <si>
    <t>S110</t>
  </si>
  <si>
    <t>SPIKE S110</t>
  </si>
  <si>
    <t>S111</t>
  </si>
  <si>
    <t>S112</t>
  </si>
  <si>
    <t>S113</t>
  </si>
  <si>
    <t>S114</t>
  </si>
  <si>
    <t>S115</t>
  </si>
  <si>
    <t>DUP S115</t>
  </si>
  <si>
    <t>S116</t>
  </si>
  <si>
    <t>S117</t>
  </si>
  <si>
    <t>S118</t>
  </si>
  <si>
    <t>S119</t>
  </si>
  <si>
    <t>S120</t>
  </si>
  <si>
    <t>SPIKE S120</t>
  </si>
  <si>
    <t>S121</t>
  </si>
  <si>
    <t>S122</t>
  </si>
  <si>
    <t>S123</t>
  </si>
  <si>
    <t>S124</t>
  </si>
  <si>
    <t>S125</t>
  </si>
  <si>
    <t>DUP S125</t>
  </si>
  <si>
    <t>S126</t>
  </si>
  <si>
    <t>S127</t>
  </si>
  <si>
    <t>messy- use data from rerun</t>
  </si>
  <si>
    <t>S128</t>
  </si>
  <si>
    <t>S129</t>
  </si>
  <si>
    <t>S130</t>
  </si>
  <si>
    <t>SPIKE S130</t>
  </si>
  <si>
    <t>S131</t>
  </si>
  <si>
    <t>S132</t>
  </si>
  <si>
    <t>S133</t>
  </si>
  <si>
    <t>S134</t>
  </si>
  <si>
    <t>S135</t>
  </si>
  <si>
    <t>DUP S135</t>
  </si>
  <si>
    <t>bad- rerun is closer to original</t>
  </si>
  <si>
    <t>S136</t>
  </si>
  <si>
    <t>S137</t>
  </si>
  <si>
    <t>S138</t>
  </si>
  <si>
    <t>S139</t>
  </si>
  <si>
    <t>S140</t>
  </si>
  <si>
    <t>SPIKE140</t>
  </si>
  <si>
    <t>S141</t>
  </si>
  <si>
    <t>S142</t>
  </si>
  <si>
    <t>S143</t>
  </si>
  <si>
    <t>S144</t>
  </si>
  <si>
    <t>S145</t>
  </si>
  <si>
    <t>S145DUP</t>
  </si>
  <si>
    <t>excluded from standard curve</t>
  </si>
  <si>
    <t>S40DIL</t>
  </si>
  <si>
    <t>diluted for N</t>
  </si>
  <si>
    <t>S61DIL</t>
  </si>
  <si>
    <t>S91DIL</t>
  </si>
  <si>
    <t>S81DIL</t>
  </si>
  <si>
    <t>diluted for P</t>
  </si>
  <si>
    <t>S100DIL</t>
  </si>
  <si>
    <t>S114DIL</t>
  </si>
  <si>
    <t>S128DIL</t>
  </si>
  <si>
    <t>S125DIL</t>
  </si>
  <si>
    <t>S64RR</t>
  </si>
  <si>
    <t>S70RR</t>
  </si>
  <si>
    <t>S90RR</t>
  </si>
  <si>
    <t>S113RR</t>
  </si>
  <si>
    <t>S136RR</t>
  </si>
  <si>
    <t>S137RR</t>
  </si>
  <si>
    <t>S59RR</t>
  </si>
  <si>
    <t>S68RR</t>
  </si>
  <si>
    <t>S74RR</t>
  </si>
  <si>
    <t>S87RR</t>
  </si>
  <si>
    <t>S95RR</t>
  </si>
  <si>
    <t>S109RR</t>
  </si>
  <si>
    <t>S127RR</t>
  </si>
  <si>
    <t>S135DUPRR</t>
  </si>
  <si>
    <t>S141RR</t>
  </si>
  <si>
    <t>DILUTION BY OXIDATION REAGENT</t>
  </si>
  <si>
    <t>PO4-P-- blank corrected</t>
  </si>
  <si>
    <t>NO3-N-- blank corrected</t>
  </si>
  <si>
    <t>BLANKS-digested type I reagent grade water</t>
  </si>
  <si>
    <t>Known Conc</t>
  </si>
  <si>
    <t>Mean</t>
  </si>
  <si>
    <t>Std Dev</t>
  </si>
  <si>
    <t>CV or %RSD</t>
  </si>
  <si>
    <t>T value</t>
  </si>
  <si>
    <t>MDL</t>
  </si>
  <si>
    <t>LOQ</t>
  </si>
  <si>
    <t>Error as %</t>
  </si>
  <si>
    <t>Known/MDL</t>
  </si>
  <si>
    <t>Mean PR</t>
  </si>
  <si>
    <t>S/N</t>
  </si>
  <si>
    <t>MEANS</t>
  </si>
  <si>
    <t>Different from 0?</t>
  </si>
  <si>
    <t>one sample T-test</t>
  </si>
  <si>
    <t>p value</t>
  </si>
  <si>
    <t>count</t>
  </si>
  <si>
    <t>std error of mean</t>
  </si>
  <si>
    <t>df</t>
  </si>
  <si>
    <t>t</t>
  </si>
  <si>
    <t>DIGESTION CHECK - is organic material completely converted to inorganic?</t>
  </si>
  <si>
    <t>SPIKED BLANKS- used for MDL determination (250 ul spiking soln 1000/10000 into 10 ml sample)</t>
  </si>
  <si>
    <t>Output from R:</t>
  </si>
  <si>
    <t>Call:</t>
  </si>
  <si>
    <t>lm(formula = x ~ poly(y, 2, raw = TRUE), data = data1, weights = 1/x)</t>
  </si>
  <si>
    <t>Weighted Residuals:</t>
  </si>
  <si>
    <t xml:space="preserve">       1        2        3        4        5        6        7 </t>
  </si>
  <si>
    <t xml:space="preserve">        1         2         3         4         5         6 </t>
  </si>
  <si>
    <t xml:space="preserve"> 0.19585 -0.42934 -0.64886  2.07653  0.19881 -1.13711  0.02949 </t>
  </si>
  <si>
    <t>Coefficients extracted:</t>
  </si>
  <si>
    <t xml:space="preserve"> 0.097423 -0.189299  0.005276  0.068237  0.125252 -0.026673 </t>
  </si>
  <si>
    <t>a</t>
  </si>
  <si>
    <t>Coefficients:</t>
  </si>
  <si>
    <t>b</t>
  </si>
  <si>
    <t xml:space="preserve">                        Estimate Std. Error t value Pr(&gt;|t|)    </t>
  </si>
  <si>
    <t>c</t>
  </si>
  <si>
    <t>(Intercept)             -99.6559     4.5934 -21.695 2.67e-05 ***</t>
  </si>
  <si>
    <t>(Intercept)             -14.1767     0.3618 -39.184 3.66e-05 ***</t>
  </si>
  <si>
    <t>poly(y, 2, raw = TRUE)1  79.2321     3.6608  21.643 2.70e-05 ***</t>
  </si>
  <si>
    <t>poly(y, 2, raw = TRUE)1  31.3525     0.7803  40.180 3.39e-05 ***</t>
  </si>
  <si>
    <t xml:space="preserve">poly(y, 2, raw = TRUE)2  -0.8422     0.1476  -5.704  0.00467 ** </t>
  </si>
  <si>
    <t xml:space="preserve">poly(y, 2, raw = TRUE)2  -0.3627     0.1590  -2.282    0.107    </t>
  </si>
  <si>
    <t>---</t>
  </si>
  <si>
    <t>Signif. codes:  0 ‘***’ 0.001 ‘**’ 0.01 ‘*’ 0.05 ‘.’ 0.1 ‘ ’ 1</t>
  </si>
  <si>
    <t>Residual standard error: 1.254 on 4 degrees of freedom</t>
  </si>
  <si>
    <t>Residual standard error: 0.1488 on 3 degrees of freedom</t>
  </si>
  <si>
    <t xml:space="preserve">Multiple R-squared:  0.9981,    Adjusted R-squared:  0.9972 </t>
  </si>
  <si>
    <t xml:space="preserve">Multiple R-squared:  0.9998,    Adjusted R-squared:  0.9997 </t>
  </si>
  <si>
    <t>F-statistic:  1074 on 2 and 4 DF,  p-value: 3.455e-06</t>
  </si>
  <si>
    <t>F-statistic:  7315 on 2 and 3 DF,  p-value: 2.935e-06</t>
  </si>
  <si>
    <t xml:space="preserve">Sample Name </t>
  </si>
  <si>
    <t>707 9/15/25</t>
  </si>
  <si>
    <t>B4 6/18/25</t>
  </si>
  <si>
    <t>B3 6/18/25</t>
  </si>
  <si>
    <t>C4 9/29/25</t>
  </si>
  <si>
    <t>D3 9/29/25</t>
  </si>
  <si>
    <t>R1 7/31/25</t>
  </si>
  <si>
    <t>D1 9/29/25</t>
  </si>
  <si>
    <t>D4 9/29/25</t>
  </si>
  <si>
    <t>707 8/07/25</t>
  </si>
  <si>
    <t>C2 9/1/25</t>
  </si>
  <si>
    <t>D1 6/18/25</t>
  </si>
  <si>
    <t>C1 8/21/25</t>
  </si>
  <si>
    <t>R1 7/3/25</t>
  </si>
  <si>
    <t>D3 8/21/25</t>
  </si>
  <si>
    <t>D3 6/18/25</t>
  </si>
  <si>
    <t>B1 6/18/25</t>
  </si>
  <si>
    <t>C3 9/29/25</t>
  </si>
  <si>
    <t>D4 6/18/25</t>
  </si>
  <si>
    <t>C4 6/18/25</t>
  </si>
  <si>
    <t>D2 7/03/25</t>
  </si>
  <si>
    <t>D1 7/31/25</t>
  </si>
  <si>
    <t>D1 7/03/25</t>
  </si>
  <si>
    <t>A3 6/18/25</t>
  </si>
  <si>
    <t>R1 9/29/25</t>
  </si>
  <si>
    <t>D2 6/18/25</t>
  </si>
  <si>
    <t>B2 6/18/25</t>
  </si>
  <si>
    <t>C1 6/18/25</t>
  </si>
  <si>
    <t>R1 10/27/25</t>
  </si>
  <si>
    <t>C2 6/18/25</t>
  </si>
  <si>
    <t>A1 6/18/25</t>
  </si>
  <si>
    <t>D3 7/03/25</t>
  </si>
  <si>
    <t>D4 7/03/25</t>
  </si>
  <si>
    <t>D2 7/31/25</t>
  </si>
  <si>
    <t>C1 9/29/25</t>
  </si>
  <si>
    <t>A2 6/18/25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</si>
</sst>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4" fontId="3" fillId="0" borderId="0" xfId="0" applyNumberFormat="1" applyFont="1"/>
    <xf numFmtId="14" fontId="5" fillId="0" borderId="0" xfId="0" applyNumberFormat="1" applyFont="1"/>
    <xf numFmtId="19" fontId="5" fillId="0" borderId="0" xfId="0" applyNumberFormat="1" applyFont="1"/>
    <xf numFmtId="164" fontId="5" fillId="0" borderId="0" xfId="0" applyNumberFormat="1" applyFont="1"/>
    <xf numFmtId="1" fontId="4" fillId="0" borderId="0" xfId="0" applyNumberFormat="1" applyFont="1"/>
    <xf numFmtId="0" fontId="5" fillId="0" borderId="0" xfId="0" applyFont="1"/>
    <xf numFmtId="1" fontId="3" fillId="0" borderId="0" xfId="0" applyNumberFormat="1" applyFont="1"/>
    <xf numFmtId="14" fontId="3" fillId="0" borderId="0" xfId="0" applyNumberFormat="1" applyFont="1"/>
    <xf numFmtId="165" fontId="5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</row>
    <row r="4" spans="1:2" x14ac:dyDescent="0.2">
      <c r="B4" s="2" t="s">
        <v>2</v>
      </c>
    </row>
    <row r="5" spans="1:2" x14ac:dyDescent="0.2">
      <c r="A5" s="1" t="s">
        <v>3</v>
      </c>
    </row>
    <row r="6" spans="1:2" x14ac:dyDescent="0.2">
      <c r="A6" s="1" t="s">
        <v>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00"/>
  <sheetViews>
    <sheetView workbookViewId="0"/>
  </sheetViews>
  <sheetFormatPr baseColWidth="10" defaultColWidth="14.5" defaultRowHeight="15" customHeight="1" x14ac:dyDescent="0.2"/>
  <cols>
    <col min="1" max="1" width="11.83203125" customWidth="1"/>
    <col min="2" max="2" width="21.5" customWidth="1"/>
    <col min="3" max="3" width="24.83203125" customWidth="1"/>
    <col min="4" max="4" width="13.5" customWidth="1"/>
    <col min="5" max="64" width="8.6640625" customWidth="1"/>
  </cols>
  <sheetData>
    <row r="1" spans="1:64" ht="8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3" t="s">
        <v>31</v>
      </c>
      <c r="AG1" s="3" t="s">
        <v>21</v>
      </c>
      <c r="AH1" s="3" t="s">
        <v>32</v>
      </c>
      <c r="AI1" s="4" t="s">
        <v>33</v>
      </c>
      <c r="AJ1" s="4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3"/>
      <c r="AR1" s="5" t="s">
        <v>41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x14ac:dyDescent="0.2">
      <c r="A2" s="1" t="s">
        <v>42</v>
      </c>
      <c r="S2" s="6"/>
      <c r="T2" s="6"/>
      <c r="U2" s="6"/>
      <c r="V2" s="6"/>
      <c r="W2" s="6"/>
      <c r="X2" s="7"/>
      <c r="Y2" s="8"/>
      <c r="Z2" s="6"/>
      <c r="AA2" s="6"/>
      <c r="AB2" s="6"/>
      <c r="AC2" s="6"/>
      <c r="AD2" s="6"/>
      <c r="AE2" s="6"/>
      <c r="AF2" s="6"/>
      <c r="AG2" s="6"/>
      <c r="AH2" s="6"/>
      <c r="AI2" s="8"/>
      <c r="AJ2" s="8"/>
      <c r="AK2" s="9"/>
      <c r="AL2" s="6"/>
      <c r="AM2" s="9"/>
      <c r="AN2" s="6"/>
      <c r="AO2" s="9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</row>
    <row r="3" spans="1:64" x14ac:dyDescent="0.2">
      <c r="A3" s="10">
        <v>46085</v>
      </c>
      <c r="B3" s="11">
        <v>0.43225694444444446</v>
      </c>
      <c r="C3" s="1" t="s">
        <v>43</v>
      </c>
      <c r="D3" s="1" t="s">
        <v>44</v>
      </c>
      <c r="E3" s="1" t="s">
        <v>45</v>
      </c>
      <c r="F3" s="1" t="s">
        <v>46</v>
      </c>
      <c r="G3" s="1">
        <v>1</v>
      </c>
      <c r="H3" s="1">
        <v>1</v>
      </c>
      <c r="I3" s="1" t="s">
        <v>47</v>
      </c>
      <c r="J3" s="1" t="s">
        <v>48</v>
      </c>
      <c r="K3" s="1">
        <v>0.17199999999999999</v>
      </c>
      <c r="L3" s="1">
        <v>1.79</v>
      </c>
      <c r="M3" s="1">
        <v>34.200000000000003</v>
      </c>
      <c r="N3" s="1" t="s">
        <v>49</v>
      </c>
      <c r="O3" s="1" t="s">
        <v>50</v>
      </c>
      <c r="P3" s="1">
        <v>-1.0699999999999999E-2</v>
      </c>
      <c r="Q3" s="1">
        <v>-0.121</v>
      </c>
      <c r="R3" s="1">
        <v>-116</v>
      </c>
      <c r="S3" s="6"/>
      <c r="T3" s="6">
        <v>1</v>
      </c>
      <c r="U3" s="6">
        <v>1</v>
      </c>
      <c r="V3" s="6"/>
      <c r="W3" s="12">
        <f t="shared" ref="W3:W26" si="0">M3*H3</f>
        <v>34.200000000000003</v>
      </c>
      <c r="X3" s="7">
        <f t="shared" ref="X3:X26" si="1">W3</f>
        <v>34.200000000000003</v>
      </c>
      <c r="Y3" s="7">
        <f t="shared" ref="Y3:Y26" si="2">IF(T3=1,X3,(X3*T3))</f>
        <v>34.200000000000003</v>
      </c>
      <c r="Z3" s="6"/>
      <c r="AA3" s="6"/>
      <c r="AB3" s="6"/>
      <c r="AC3" s="6"/>
      <c r="AD3" s="6"/>
      <c r="AE3" s="6"/>
      <c r="AF3" s="6">
        <v>1</v>
      </c>
      <c r="AG3" s="6"/>
      <c r="AH3" s="6">
        <f t="shared" ref="AH3:AH26" si="3">R3*H3</f>
        <v>-116</v>
      </c>
      <c r="AI3" s="13">
        <f t="shared" ref="AI3:AI26" si="4">AH3</f>
        <v>-116</v>
      </c>
      <c r="AJ3" s="13">
        <f t="shared" ref="AJ3:AJ26" si="5">IF(T3=1,AI3,(AI3*T3))</f>
        <v>-116</v>
      </c>
      <c r="AK3" s="9"/>
      <c r="AL3" s="6"/>
      <c r="AM3" s="9"/>
      <c r="AN3" s="6"/>
      <c r="AO3" s="9"/>
      <c r="AP3" s="6"/>
      <c r="AQ3" s="6"/>
      <c r="AR3" s="6">
        <v>1</v>
      </c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</row>
    <row r="4" spans="1:64" x14ac:dyDescent="0.2">
      <c r="A4" s="10">
        <v>46085</v>
      </c>
      <c r="B4" s="11">
        <v>0.43318287037037034</v>
      </c>
      <c r="C4" s="1" t="s">
        <v>43</v>
      </c>
      <c r="D4" s="1" t="s">
        <v>44</v>
      </c>
      <c r="E4" s="1" t="s">
        <v>45</v>
      </c>
      <c r="F4" s="1" t="s">
        <v>46</v>
      </c>
      <c r="G4" s="1">
        <v>1</v>
      </c>
      <c r="H4" s="1">
        <v>1</v>
      </c>
      <c r="I4" s="1" t="s">
        <v>47</v>
      </c>
      <c r="J4" s="1" t="s">
        <v>48</v>
      </c>
      <c r="K4" s="1">
        <v>0.13500000000000001</v>
      </c>
      <c r="L4" s="1">
        <v>1.37</v>
      </c>
      <c r="M4" s="1">
        <v>21.6</v>
      </c>
      <c r="N4" s="1" t="s">
        <v>49</v>
      </c>
      <c r="O4" s="1" t="s">
        <v>50</v>
      </c>
      <c r="P4" s="1">
        <v>2.5100000000000001E-2</v>
      </c>
      <c r="Q4" s="1">
        <v>3.2599999999999997E-2</v>
      </c>
      <c r="R4" s="1">
        <v>-100</v>
      </c>
      <c r="S4" s="6"/>
      <c r="T4" s="6">
        <v>1</v>
      </c>
      <c r="U4" s="6">
        <v>1</v>
      </c>
      <c r="V4" s="6"/>
      <c r="W4" s="12">
        <f t="shared" si="0"/>
        <v>21.6</v>
      </c>
      <c r="X4" s="7">
        <f t="shared" si="1"/>
        <v>21.6</v>
      </c>
      <c r="Y4" s="7">
        <f t="shared" si="2"/>
        <v>21.6</v>
      </c>
      <c r="Z4" s="6"/>
      <c r="AA4" s="6"/>
      <c r="AB4" s="6"/>
      <c r="AC4" s="6"/>
      <c r="AD4" s="6"/>
      <c r="AE4" s="6"/>
      <c r="AF4" s="6">
        <v>1</v>
      </c>
      <c r="AG4" s="6"/>
      <c r="AH4" s="6">
        <f t="shared" si="3"/>
        <v>-100</v>
      </c>
      <c r="AI4" s="13">
        <f t="shared" si="4"/>
        <v>-100</v>
      </c>
      <c r="AJ4" s="13">
        <f t="shared" si="5"/>
        <v>-100</v>
      </c>
      <c r="AK4" s="9"/>
      <c r="AL4" s="6"/>
      <c r="AM4" s="9"/>
      <c r="AN4" s="6"/>
      <c r="AO4" s="9"/>
      <c r="AP4" s="6"/>
      <c r="AQ4" s="6"/>
      <c r="AR4" s="6">
        <v>2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4" x14ac:dyDescent="0.2">
      <c r="A5" s="10">
        <v>46085</v>
      </c>
      <c r="B5" s="11">
        <v>0.43407407407407406</v>
      </c>
      <c r="C5" s="1" t="s">
        <v>43</v>
      </c>
      <c r="D5" s="1" t="s">
        <v>51</v>
      </c>
      <c r="E5" s="1" t="s">
        <v>52</v>
      </c>
      <c r="F5" s="1" t="s">
        <v>46</v>
      </c>
      <c r="G5" s="1">
        <v>1</v>
      </c>
      <c r="H5" s="1">
        <v>1</v>
      </c>
      <c r="I5" s="1" t="s">
        <v>47</v>
      </c>
      <c r="J5" s="1" t="s">
        <v>48</v>
      </c>
      <c r="K5" s="1">
        <v>0.14000000000000001</v>
      </c>
      <c r="L5" s="1">
        <v>1.41</v>
      </c>
      <c r="M5" s="1">
        <v>22.8</v>
      </c>
      <c r="N5" s="1" t="s">
        <v>49</v>
      </c>
      <c r="O5" s="1" t="s">
        <v>50</v>
      </c>
      <c r="P5" s="1">
        <v>1.89</v>
      </c>
      <c r="Q5" s="1">
        <v>20.6</v>
      </c>
      <c r="R5" s="1">
        <v>2030</v>
      </c>
      <c r="S5" s="6">
        <f>100*(Q6/Q5)</f>
        <v>99.514563106796103</v>
      </c>
      <c r="T5" s="6">
        <v>1</v>
      </c>
      <c r="U5" s="6">
        <v>1</v>
      </c>
      <c r="V5" s="6"/>
      <c r="W5" s="12">
        <f t="shared" si="0"/>
        <v>22.8</v>
      </c>
      <c r="X5" s="7">
        <f t="shared" si="1"/>
        <v>22.8</v>
      </c>
      <c r="Y5" s="7">
        <f t="shared" si="2"/>
        <v>22.8</v>
      </c>
      <c r="Z5" s="6"/>
      <c r="AA5" s="6"/>
      <c r="AB5" s="6"/>
      <c r="AC5" s="6"/>
      <c r="AD5" s="6"/>
      <c r="AE5" s="6"/>
      <c r="AF5" s="6">
        <v>1</v>
      </c>
      <c r="AG5" s="6"/>
      <c r="AH5" s="6">
        <f t="shared" si="3"/>
        <v>2030</v>
      </c>
      <c r="AI5" s="13">
        <f t="shared" si="4"/>
        <v>2030</v>
      </c>
      <c r="AJ5" s="13">
        <f t="shared" si="5"/>
        <v>2030</v>
      </c>
      <c r="AK5" s="9"/>
      <c r="AL5" s="6"/>
      <c r="AM5" s="9"/>
      <c r="AN5" s="6"/>
      <c r="AO5" s="9"/>
      <c r="AP5" s="6"/>
      <c r="AQ5" s="6"/>
      <c r="AR5" s="6">
        <v>3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spans="1:64" x14ac:dyDescent="0.2">
      <c r="A6" s="10">
        <v>46085</v>
      </c>
      <c r="B6" s="11">
        <v>0.43495370370370373</v>
      </c>
      <c r="C6" s="1" t="s">
        <v>43</v>
      </c>
      <c r="D6" s="1" t="s">
        <v>53</v>
      </c>
      <c r="E6" s="1" t="s">
        <v>54</v>
      </c>
      <c r="F6" s="1" t="s">
        <v>46</v>
      </c>
      <c r="G6" s="1">
        <v>1</v>
      </c>
      <c r="H6" s="1">
        <v>1</v>
      </c>
      <c r="I6" s="1" t="s">
        <v>47</v>
      </c>
      <c r="J6" s="1" t="s">
        <v>48</v>
      </c>
      <c r="K6" s="1">
        <v>0.13900000000000001</v>
      </c>
      <c r="L6" s="1">
        <v>1.39</v>
      </c>
      <c r="M6" s="1">
        <v>22.1</v>
      </c>
      <c r="N6" s="1" t="s">
        <v>49</v>
      </c>
      <c r="O6" s="1" t="s">
        <v>50</v>
      </c>
      <c r="P6" s="1">
        <v>1.92</v>
      </c>
      <c r="Q6" s="1">
        <v>20.5</v>
      </c>
      <c r="R6" s="1">
        <v>2030</v>
      </c>
      <c r="S6" s="6"/>
      <c r="T6" s="6">
        <v>1</v>
      </c>
      <c r="U6" s="6">
        <v>1</v>
      </c>
      <c r="V6" s="6"/>
      <c r="W6" s="12">
        <f t="shared" si="0"/>
        <v>22.1</v>
      </c>
      <c r="X6" s="7">
        <f t="shared" si="1"/>
        <v>22.1</v>
      </c>
      <c r="Y6" s="7">
        <f t="shared" si="2"/>
        <v>22.1</v>
      </c>
      <c r="Z6" s="6"/>
      <c r="AA6" s="6"/>
      <c r="AB6" s="6"/>
      <c r="AC6" s="6"/>
      <c r="AD6" s="6"/>
      <c r="AE6" s="6"/>
      <c r="AF6" s="6">
        <v>1</v>
      </c>
      <c r="AG6" s="6"/>
      <c r="AH6" s="6">
        <f t="shared" si="3"/>
        <v>2030</v>
      </c>
      <c r="AI6" s="13">
        <f t="shared" si="4"/>
        <v>2030</v>
      </c>
      <c r="AJ6" s="13">
        <f t="shared" si="5"/>
        <v>2030</v>
      </c>
      <c r="AK6" s="9"/>
      <c r="AL6" s="6"/>
      <c r="AM6" s="9"/>
      <c r="AN6" s="6"/>
      <c r="AO6" s="9"/>
      <c r="AP6" s="6"/>
      <c r="AQ6" s="6"/>
      <c r="AR6" s="6">
        <v>4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spans="1:64" x14ac:dyDescent="0.2">
      <c r="A7" s="10">
        <v>46085</v>
      </c>
      <c r="B7" s="11">
        <v>0.43583333333333335</v>
      </c>
      <c r="C7" s="1" t="s">
        <v>43</v>
      </c>
      <c r="D7" s="1" t="s">
        <v>51</v>
      </c>
      <c r="E7" s="1" t="s">
        <v>52</v>
      </c>
      <c r="F7" s="1" t="s">
        <v>46</v>
      </c>
      <c r="G7" s="1">
        <v>1</v>
      </c>
      <c r="H7" s="1">
        <v>1</v>
      </c>
      <c r="I7" s="1" t="s">
        <v>47</v>
      </c>
      <c r="J7" s="1" t="s">
        <v>48</v>
      </c>
      <c r="K7" s="1">
        <v>0.13800000000000001</v>
      </c>
      <c r="L7" s="1">
        <v>1.4</v>
      </c>
      <c r="M7" s="1">
        <v>22.6</v>
      </c>
      <c r="N7" s="1" t="s">
        <v>49</v>
      </c>
      <c r="O7" s="1" t="s">
        <v>50</v>
      </c>
      <c r="P7" s="1">
        <v>1.83</v>
      </c>
      <c r="Q7" s="1">
        <v>20</v>
      </c>
      <c r="R7" s="1">
        <v>1970</v>
      </c>
      <c r="S7" s="6">
        <f>100*(Q8/Q7)</f>
        <v>105.50000000000001</v>
      </c>
      <c r="T7" s="6">
        <v>1</v>
      </c>
      <c r="U7" s="6">
        <v>1</v>
      </c>
      <c r="V7" s="6"/>
      <c r="W7" s="12">
        <f t="shared" si="0"/>
        <v>22.6</v>
      </c>
      <c r="X7" s="7">
        <f t="shared" si="1"/>
        <v>22.6</v>
      </c>
      <c r="Y7" s="7">
        <f t="shared" si="2"/>
        <v>22.6</v>
      </c>
      <c r="Z7" s="6"/>
      <c r="AA7" s="6"/>
      <c r="AB7" s="6"/>
      <c r="AC7" s="6"/>
      <c r="AD7" s="6"/>
      <c r="AE7" s="6"/>
      <c r="AF7" s="6">
        <v>1</v>
      </c>
      <c r="AG7" s="6"/>
      <c r="AH7" s="6">
        <f t="shared" si="3"/>
        <v>1970</v>
      </c>
      <c r="AI7" s="13">
        <f t="shared" si="4"/>
        <v>1970</v>
      </c>
      <c r="AJ7" s="13">
        <f t="shared" si="5"/>
        <v>1970</v>
      </c>
      <c r="AK7" s="9"/>
      <c r="AL7" s="6"/>
      <c r="AM7" s="9"/>
      <c r="AN7" s="6"/>
      <c r="AO7" s="9"/>
      <c r="AP7" s="6"/>
      <c r="AQ7" s="6"/>
      <c r="AR7" s="6">
        <v>5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1:64" x14ac:dyDescent="0.2">
      <c r="A8" s="10">
        <v>46085</v>
      </c>
      <c r="B8" s="11">
        <v>0.43671296296296297</v>
      </c>
      <c r="C8" s="1" t="s">
        <v>43</v>
      </c>
      <c r="D8" s="1" t="s">
        <v>53</v>
      </c>
      <c r="E8" s="1" t="s">
        <v>54</v>
      </c>
      <c r="F8" s="1" t="s">
        <v>46</v>
      </c>
      <c r="G8" s="1">
        <v>1</v>
      </c>
      <c r="H8" s="1">
        <v>1</v>
      </c>
      <c r="I8" s="1" t="s">
        <v>47</v>
      </c>
      <c r="J8" s="1" t="s">
        <v>48</v>
      </c>
      <c r="K8" s="1">
        <v>0.14299999999999999</v>
      </c>
      <c r="L8" s="1">
        <v>1.49</v>
      </c>
      <c r="M8" s="1">
        <v>25.1</v>
      </c>
      <c r="N8" s="1" t="s">
        <v>49</v>
      </c>
      <c r="O8" s="1" t="s">
        <v>50</v>
      </c>
      <c r="P8" s="1">
        <v>1.98</v>
      </c>
      <c r="Q8" s="1">
        <v>21.1</v>
      </c>
      <c r="R8" s="1">
        <v>2090</v>
      </c>
      <c r="S8" s="6"/>
      <c r="T8" s="6">
        <v>1</v>
      </c>
      <c r="U8" s="6">
        <v>1</v>
      </c>
      <c r="V8" s="6"/>
      <c r="W8" s="12">
        <f t="shared" si="0"/>
        <v>25.1</v>
      </c>
      <c r="X8" s="7">
        <f t="shared" si="1"/>
        <v>25.1</v>
      </c>
      <c r="Y8" s="7">
        <f t="shared" si="2"/>
        <v>25.1</v>
      </c>
      <c r="Z8" s="6"/>
      <c r="AA8" s="6"/>
      <c r="AB8" s="6"/>
      <c r="AC8" s="6"/>
      <c r="AD8" s="6"/>
      <c r="AE8" s="6"/>
      <c r="AF8" s="6">
        <v>1</v>
      </c>
      <c r="AG8" s="6"/>
      <c r="AH8" s="6">
        <f t="shared" si="3"/>
        <v>2090</v>
      </c>
      <c r="AI8" s="13">
        <f t="shared" si="4"/>
        <v>2090</v>
      </c>
      <c r="AJ8" s="13">
        <f t="shared" si="5"/>
        <v>2090</v>
      </c>
      <c r="AK8" s="9"/>
      <c r="AL8" s="6"/>
      <c r="AM8" s="9"/>
      <c r="AN8" s="6"/>
      <c r="AO8" s="9"/>
      <c r="AP8" s="6"/>
      <c r="AQ8" s="6"/>
      <c r="AR8" s="6">
        <v>6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x14ac:dyDescent="0.2">
      <c r="A9" s="10">
        <v>46085</v>
      </c>
      <c r="B9" s="11">
        <v>0.43760416666666668</v>
      </c>
      <c r="C9" s="1" t="s">
        <v>43</v>
      </c>
      <c r="D9" s="1" t="s">
        <v>55</v>
      </c>
      <c r="E9" s="1" t="s">
        <v>56</v>
      </c>
      <c r="F9" s="1" t="s">
        <v>46</v>
      </c>
      <c r="G9" s="1">
        <v>1</v>
      </c>
      <c r="H9" s="1">
        <v>1</v>
      </c>
      <c r="I9" s="1" t="s">
        <v>47</v>
      </c>
      <c r="J9" s="1" t="s">
        <v>48</v>
      </c>
      <c r="K9" s="1">
        <v>0.14099999999999999</v>
      </c>
      <c r="L9" s="1">
        <v>1.43</v>
      </c>
      <c r="M9" s="1">
        <v>23.2</v>
      </c>
      <c r="N9" s="1" t="s">
        <v>49</v>
      </c>
      <c r="O9" s="1" t="s">
        <v>50</v>
      </c>
      <c r="P9" s="1">
        <v>1.12E-2</v>
      </c>
      <c r="Q9" s="1">
        <v>0.35499999999999998</v>
      </c>
      <c r="R9" s="1">
        <v>-66</v>
      </c>
      <c r="S9" s="6"/>
      <c r="T9" s="6">
        <v>1</v>
      </c>
      <c r="U9" s="6">
        <v>1</v>
      </c>
      <c r="V9" s="6"/>
      <c r="W9" s="12">
        <f t="shared" si="0"/>
        <v>23.2</v>
      </c>
      <c r="X9" s="7">
        <f t="shared" si="1"/>
        <v>23.2</v>
      </c>
      <c r="Y9" s="7">
        <f t="shared" si="2"/>
        <v>23.2</v>
      </c>
      <c r="Z9" s="6"/>
      <c r="AA9" s="6"/>
      <c r="AB9" s="6"/>
      <c r="AC9" s="6"/>
      <c r="AD9" s="6"/>
      <c r="AE9" s="6"/>
      <c r="AF9" s="6">
        <v>1</v>
      </c>
      <c r="AG9" s="6"/>
      <c r="AH9" s="6">
        <f t="shared" si="3"/>
        <v>-66</v>
      </c>
      <c r="AI9" s="13">
        <f t="shared" si="4"/>
        <v>-66</v>
      </c>
      <c r="AJ9" s="13">
        <f t="shared" si="5"/>
        <v>-66</v>
      </c>
      <c r="AK9" s="9"/>
      <c r="AL9" s="6"/>
      <c r="AM9" s="9"/>
      <c r="AN9" s="6"/>
      <c r="AO9" s="9"/>
      <c r="AP9" s="6"/>
      <c r="AQ9" s="6"/>
      <c r="AR9" s="6">
        <v>7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1:64" x14ac:dyDescent="0.2">
      <c r="A10" s="10">
        <v>46085</v>
      </c>
      <c r="B10" s="11">
        <v>0.4384953703703704</v>
      </c>
      <c r="C10" s="1" t="s">
        <v>43</v>
      </c>
      <c r="D10" s="1" t="s">
        <v>55</v>
      </c>
      <c r="E10" s="1" t="s">
        <v>56</v>
      </c>
      <c r="F10" s="1" t="s">
        <v>46</v>
      </c>
      <c r="G10" s="1">
        <v>1</v>
      </c>
      <c r="H10" s="1">
        <v>1</v>
      </c>
      <c r="I10" s="1" t="s">
        <v>47</v>
      </c>
      <c r="J10" s="1" t="s">
        <v>48</v>
      </c>
      <c r="K10" s="1">
        <v>0.14099999999999999</v>
      </c>
      <c r="L10" s="1">
        <v>1.46</v>
      </c>
      <c r="M10" s="1">
        <v>24.4</v>
      </c>
      <c r="N10" s="1" t="s">
        <v>49</v>
      </c>
      <c r="O10" s="1" t="s">
        <v>50</v>
      </c>
      <c r="P10" s="1">
        <v>3.0599999999999999E-2</v>
      </c>
      <c r="Q10" s="1">
        <v>5.1999999999999998E-2</v>
      </c>
      <c r="R10" s="1">
        <v>-98</v>
      </c>
      <c r="S10" s="6"/>
      <c r="T10" s="6">
        <v>1</v>
      </c>
      <c r="U10" s="6">
        <v>1</v>
      </c>
      <c r="V10" s="6"/>
      <c r="W10" s="12">
        <f t="shared" si="0"/>
        <v>24.4</v>
      </c>
      <c r="X10" s="7">
        <f t="shared" si="1"/>
        <v>24.4</v>
      </c>
      <c r="Y10" s="7">
        <f t="shared" si="2"/>
        <v>24.4</v>
      </c>
      <c r="Z10" s="6"/>
      <c r="AA10" s="6"/>
      <c r="AB10" s="6"/>
      <c r="AC10" s="6"/>
      <c r="AD10" s="6"/>
      <c r="AE10" s="6"/>
      <c r="AF10" s="6">
        <v>1</v>
      </c>
      <c r="AG10" s="6"/>
      <c r="AH10" s="6">
        <f t="shared" si="3"/>
        <v>-98</v>
      </c>
      <c r="AI10" s="13">
        <f t="shared" si="4"/>
        <v>-98</v>
      </c>
      <c r="AJ10" s="13">
        <f t="shared" si="5"/>
        <v>-98</v>
      </c>
      <c r="AK10" s="9"/>
      <c r="AL10" s="6"/>
      <c r="AM10" s="9"/>
      <c r="AN10" s="6"/>
      <c r="AO10" s="9"/>
      <c r="AP10" s="6"/>
      <c r="AQ10" s="6"/>
      <c r="AR10" s="6">
        <v>8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1:64" x14ac:dyDescent="0.2">
      <c r="A11" s="10">
        <v>46085</v>
      </c>
      <c r="B11" s="11">
        <v>0.43939814814814815</v>
      </c>
      <c r="C11" s="1" t="s">
        <v>43</v>
      </c>
      <c r="D11" s="1" t="s">
        <v>57</v>
      </c>
      <c r="E11" s="1" t="s">
        <v>58</v>
      </c>
      <c r="F11" s="1" t="s">
        <v>46</v>
      </c>
      <c r="G11" s="1">
        <v>1</v>
      </c>
      <c r="H11" s="1">
        <v>1</v>
      </c>
      <c r="I11" s="1" t="s">
        <v>47</v>
      </c>
      <c r="J11" s="1" t="s">
        <v>48</v>
      </c>
      <c r="K11" s="1">
        <v>1.04E-2</v>
      </c>
      <c r="L11" s="1">
        <v>9.7799999999999998E-2</v>
      </c>
      <c r="M11" s="1">
        <v>-16.899999999999999</v>
      </c>
      <c r="N11" s="1" t="s">
        <v>49</v>
      </c>
      <c r="O11" s="1" t="s">
        <v>50</v>
      </c>
      <c r="P11" s="1">
        <v>-2.8000000000000001E-2</v>
      </c>
      <c r="Q11" s="1">
        <v>-0.17799999999999999</v>
      </c>
      <c r="R11" s="1">
        <v>-122</v>
      </c>
      <c r="S11" s="6"/>
      <c r="T11" s="6">
        <v>1</v>
      </c>
      <c r="U11" s="6">
        <v>1</v>
      </c>
      <c r="V11" s="6"/>
      <c r="W11" s="12">
        <f t="shared" si="0"/>
        <v>-16.899999999999999</v>
      </c>
      <c r="X11" s="7">
        <f t="shared" si="1"/>
        <v>-16.899999999999999</v>
      </c>
      <c r="Y11" s="7">
        <f t="shared" si="2"/>
        <v>-16.899999999999999</v>
      </c>
      <c r="Z11" s="6"/>
      <c r="AA11" s="6"/>
      <c r="AB11" s="6"/>
      <c r="AC11" s="6"/>
      <c r="AD11" s="6"/>
      <c r="AE11" s="6"/>
      <c r="AF11" s="6">
        <v>1</v>
      </c>
      <c r="AG11" s="6"/>
      <c r="AH11" s="6">
        <f t="shared" si="3"/>
        <v>-122</v>
      </c>
      <c r="AI11" s="13">
        <f t="shared" si="4"/>
        <v>-122</v>
      </c>
      <c r="AJ11" s="13">
        <f t="shared" si="5"/>
        <v>-122</v>
      </c>
      <c r="AK11" s="9"/>
      <c r="AL11" s="6"/>
      <c r="AM11" s="9"/>
      <c r="AN11" s="6"/>
      <c r="AO11" s="9"/>
      <c r="AP11" s="6"/>
      <c r="AQ11" s="6"/>
      <c r="AR11" s="6">
        <v>9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1:64" x14ac:dyDescent="0.2">
      <c r="A12" s="10">
        <v>46085</v>
      </c>
      <c r="B12" s="11">
        <v>0.44027777777777777</v>
      </c>
      <c r="C12" s="1" t="s">
        <v>43</v>
      </c>
      <c r="D12" s="1" t="s">
        <v>57</v>
      </c>
      <c r="E12" s="1" t="s">
        <v>58</v>
      </c>
      <c r="F12" s="1" t="s">
        <v>46</v>
      </c>
      <c r="G12" s="1">
        <v>1</v>
      </c>
      <c r="H12" s="1">
        <v>1</v>
      </c>
      <c r="I12" s="1" t="s">
        <v>47</v>
      </c>
      <c r="J12" s="1" t="s">
        <v>48</v>
      </c>
      <c r="K12" s="1">
        <v>1.1299999999999999E-2</v>
      </c>
      <c r="L12" s="1">
        <v>0.11</v>
      </c>
      <c r="M12" s="1">
        <v>-16.600000000000001</v>
      </c>
      <c r="N12" s="1" t="s">
        <v>49</v>
      </c>
      <c r="O12" s="1" t="s">
        <v>50</v>
      </c>
      <c r="P12" s="1">
        <v>-2.1600000000000001E-2</v>
      </c>
      <c r="Q12" s="1">
        <v>-0.16500000000000001</v>
      </c>
      <c r="R12" s="1">
        <v>-121</v>
      </c>
      <c r="S12" s="6"/>
      <c r="T12" s="6">
        <v>1</v>
      </c>
      <c r="U12" s="6">
        <v>1</v>
      </c>
      <c r="V12" s="6"/>
      <c r="W12" s="12">
        <f t="shared" si="0"/>
        <v>-16.600000000000001</v>
      </c>
      <c r="X12" s="7">
        <f t="shared" si="1"/>
        <v>-16.600000000000001</v>
      </c>
      <c r="Y12" s="7">
        <f t="shared" si="2"/>
        <v>-16.600000000000001</v>
      </c>
      <c r="Z12" s="6"/>
      <c r="AA12" s="6"/>
      <c r="AB12" s="6"/>
      <c r="AC12" s="6"/>
      <c r="AD12" s="6"/>
      <c r="AE12" s="6"/>
      <c r="AF12" s="6">
        <v>1</v>
      </c>
      <c r="AG12" s="6"/>
      <c r="AH12" s="6">
        <f t="shared" si="3"/>
        <v>-121</v>
      </c>
      <c r="AI12" s="13">
        <f t="shared" si="4"/>
        <v>-121</v>
      </c>
      <c r="AJ12" s="13">
        <f t="shared" si="5"/>
        <v>-121</v>
      </c>
      <c r="AK12" s="9"/>
      <c r="AL12" s="6"/>
      <c r="AM12" s="9"/>
      <c r="AN12" s="6"/>
      <c r="AO12" s="9"/>
      <c r="AP12" s="6"/>
      <c r="AQ12" s="6"/>
      <c r="AR12" s="6">
        <v>10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 spans="1:64" x14ac:dyDescent="0.2">
      <c r="A13" s="10">
        <v>46085</v>
      </c>
      <c r="B13" s="11">
        <v>0.44118055555555558</v>
      </c>
      <c r="C13" s="1" t="s">
        <v>43</v>
      </c>
      <c r="D13" s="1" t="s">
        <v>59</v>
      </c>
      <c r="E13" s="1">
        <v>1</v>
      </c>
      <c r="F13" s="1" t="s">
        <v>60</v>
      </c>
      <c r="G13" s="1">
        <v>1</v>
      </c>
      <c r="H13" s="1">
        <v>1</v>
      </c>
      <c r="I13" s="1" t="s">
        <v>47</v>
      </c>
      <c r="J13" s="1" t="s">
        <v>48</v>
      </c>
      <c r="K13" s="1">
        <v>0.29399999999999998</v>
      </c>
      <c r="L13" s="1">
        <v>4.7300000000000004</v>
      </c>
      <c r="M13" s="1">
        <v>150</v>
      </c>
      <c r="N13" s="1" t="s">
        <v>49</v>
      </c>
      <c r="O13" s="1" t="s">
        <v>50</v>
      </c>
      <c r="P13" s="1">
        <v>1.93</v>
      </c>
      <c r="Q13" s="1">
        <v>20.2</v>
      </c>
      <c r="R13" s="1">
        <v>1500</v>
      </c>
      <c r="S13" s="6"/>
      <c r="T13" s="6">
        <v>1</v>
      </c>
      <c r="U13" s="6">
        <v>1</v>
      </c>
      <c r="V13" s="6"/>
      <c r="W13" s="12">
        <f t="shared" si="0"/>
        <v>150</v>
      </c>
      <c r="X13" s="7">
        <f t="shared" si="1"/>
        <v>150</v>
      </c>
      <c r="Y13" s="7">
        <f t="shared" si="2"/>
        <v>150</v>
      </c>
      <c r="Z13" s="6"/>
      <c r="AA13" s="6"/>
      <c r="AB13" s="6"/>
      <c r="AC13" s="6"/>
      <c r="AD13" s="6"/>
      <c r="AE13" s="6"/>
      <c r="AF13" s="6">
        <v>1</v>
      </c>
      <c r="AG13" s="6"/>
      <c r="AH13" s="6">
        <f t="shared" si="3"/>
        <v>1500</v>
      </c>
      <c r="AI13" s="13">
        <f t="shared" si="4"/>
        <v>1500</v>
      </c>
      <c r="AJ13" s="13">
        <f t="shared" si="5"/>
        <v>1500</v>
      </c>
      <c r="AK13" s="9"/>
      <c r="AL13" s="6"/>
      <c r="AM13" s="9"/>
      <c r="AN13" s="6"/>
      <c r="AO13" s="9"/>
      <c r="AP13" s="6"/>
      <c r="AQ13" s="6"/>
      <c r="AR13" s="6">
        <v>11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 spans="1:64" x14ac:dyDescent="0.2">
      <c r="A14" s="10">
        <v>46085</v>
      </c>
      <c r="B14" s="11">
        <v>0.44208333333333333</v>
      </c>
      <c r="C14" s="1" t="s">
        <v>43</v>
      </c>
      <c r="D14" s="1" t="s">
        <v>59</v>
      </c>
      <c r="E14" s="1">
        <v>1</v>
      </c>
      <c r="F14" s="1" t="s">
        <v>60</v>
      </c>
      <c r="G14" s="1">
        <v>1</v>
      </c>
      <c r="H14" s="1">
        <v>1</v>
      </c>
      <c r="I14" s="1" t="s">
        <v>47</v>
      </c>
      <c r="J14" s="1" t="s">
        <v>48</v>
      </c>
      <c r="K14" s="1">
        <v>0.29399999999999998</v>
      </c>
      <c r="L14" s="1">
        <v>4.68</v>
      </c>
      <c r="M14" s="1">
        <v>150</v>
      </c>
      <c r="N14" s="1" t="s">
        <v>49</v>
      </c>
      <c r="O14" s="1" t="s">
        <v>50</v>
      </c>
      <c r="P14" s="1">
        <v>1.96</v>
      </c>
      <c r="Q14" s="1">
        <v>20.6</v>
      </c>
      <c r="R14" s="1">
        <v>1500</v>
      </c>
      <c r="S14" s="6"/>
      <c r="T14" s="6">
        <v>1</v>
      </c>
      <c r="U14" s="6">
        <v>1</v>
      </c>
      <c r="V14" s="6"/>
      <c r="W14" s="12">
        <f t="shared" si="0"/>
        <v>150</v>
      </c>
      <c r="X14" s="7">
        <f t="shared" si="1"/>
        <v>150</v>
      </c>
      <c r="Y14" s="7">
        <f t="shared" si="2"/>
        <v>150</v>
      </c>
      <c r="Z14" s="6"/>
      <c r="AA14" s="6"/>
      <c r="AB14" s="6"/>
      <c r="AC14" s="6"/>
      <c r="AD14" s="6"/>
      <c r="AE14" s="6"/>
      <c r="AF14" s="6">
        <v>1</v>
      </c>
      <c r="AG14" s="6"/>
      <c r="AH14" s="6">
        <f t="shared" si="3"/>
        <v>1500</v>
      </c>
      <c r="AI14" s="13">
        <f t="shared" si="4"/>
        <v>1500</v>
      </c>
      <c r="AJ14" s="13">
        <f t="shared" si="5"/>
        <v>1500</v>
      </c>
      <c r="AK14" s="9"/>
      <c r="AL14" s="6"/>
      <c r="AM14" s="9"/>
      <c r="AN14" s="6"/>
      <c r="AO14" s="9"/>
      <c r="AP14" s="6"/>
      <c r="AQ14" s="6"/>
      <c r="AR14" s="6">
        <v>12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 spans="1:64" x14ac:dyDescent="0.2">
      <c r="A15" s="10">
        <v>46085</v>
      </c>
      <c r="B15" s="11">
        <v>0.44297453703703704</v>
      </c>
      <c r="C15" s="1" t="s">
        <v>43</v>
      </c>
      <c r="D15" s="1" t="s">
        <v>61</v>
      </c>
      <c r="E15" s="1">
        <v>3</v>
      </c>
      <c r="F15" s="1" t="s">
        <v>60</v>
      </c>
      <c r="G15" s="1">
        <v>1</v>
      </c>
      <c r="H15" s="1">
        <v>1</v>
      </c>
      <c r="I15" s="1" t="s">
        <v>47</v>
      </c>
      <c r="J15" s="1" t="s">
        <v>48</v>
      </c>
      <c r="K15" s="1">
        <v>0.20200000000000001</v>
      </c>
      <c r="L15" s="1">
        <v>3.3</v>
      </c>
      <c r="M15" s="1">
        <v>100</v>
      </c>
      <c r="N15" s="1" t="s">
        <v>49</v>
      </c>
      <c r="O15" s="1" t="s">
        <v>50</v>
      </c>
      <c r="P15" s="1">
        <v>1.32</v>
      </c>
      <c r="Q15" s="1">
        <v>14</v>
      </c>
      <c r="R15" s="1">
        <v>1000</v>
      </c>
      <c r="S15" s="6"/>
      <c r="T15" s="6">
        <v>1</v>
      </c>
      <c r="U15" s="6">
        <v>1</v>
      </c>
      <c r="V15" s="6"/>
      <c r="W15" s="12">
        <f t="shared" si="0"/>
        <v>100</v>
      </c>
      <c r="X15" s="7">
        <f t="shared" si="1"/>
        <v>100</v>
      </c>
      <c r="Y15" s="7">
        <f t="shared" si="2"/>
        <v>100</v>
      </c>
      <c r="Z15" s="6"/>
      <c r="AA15" s="6"/>
      <c r="AB15" s="6"/>
      <c r="AC15" s="6"/>
      <c r="AD15" s="6"/>
      <c r="AE15" s="6"/>
      <c r="AF15" s="6">
        <v>1</v>
      </c>
      <c r="AG15" s="6"/>
      <c r="AH15" s="6">
        <f t="shared" si="3"/>
        <v>1000</v>
      </c>
      <c r="AI15" s="13">
        <f t="shared" si="4"/>
        <v>1000</v>
      </c>
      <c r="AJ15" s="13">
        <f t="shared" si="5"/>
        <v>1000</v>
      </c>
      <c r="AK15" s="9"/>
      <c r="AL15" s="6"/>
      <c r="AM15" s="9"/>
      <c r="AN15" s="6"/>
      <c r="AO15" s="9"/>
      <c r="AP15" s="6"/>
      <c r="AQ15" s="6"/>
      <c r="AR15" s="6">
        <v>13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 spans="1:64" x14ac:dyDescent="0.2">
      <c r="A16" s="10">
        <v>46085</v>
      </c>
      <c r="B16" s="11">
        <v>0.44386574074074076</v>
      </c>
      <c r="C16" s="1" t="s">
        <v>43</v>
      </c>
      <c r="D16" s="1" t="s">
        <v>61</v>
      </c>
      <c r="E16" s="1">
        <v>3</v>
      </c>
      <c r="F16" s="1" t="s">
        <v>60</v>
      </c>
      <c r="G16" s="1">
        <v>1</v>
      </c>
      <c r="H16" s="1">
        <v>1</v>
      </c>
      <c r="I16" s="1" t="s">
        <v>47</v>
      </c>
      <c r="J16" s="1" t="s">
        <v>48</v>
      </c>
      <c r="K16" s="1">
        <v>0.20200000000000001</v>
      </c>
      <c r="L16" s="1">
        <v>3.32</v>
      </c>
      <c r="M16" s="1">
        <v>100</v>
      </c>
      <c r="N16" s="1" t="s">
        <v>49</v>
      </c>
      <c r="O16" s="1" t="s">
        <v>50</v>
      </c>
      <c r="P16" s="1">
        <v>1.3</v>
      </c>
      <c r="Q16" s="1">
        <v>13.8</v>
      </c>
      <c r="R16" s="1">
        <v>1000</v>
      </c>
      <c r="S16" s="6"/>
      <c r="T16" s="6">
        <v>1</v>
      </c>
      <c r="U16" s="6">
        <v>1</v>
      </c>
      <c r="V16" s="6"/>
      <c r="W16" s="12">
        <f t="shared" si="0"/>
        <v>100</v>
      </c>
      <c r="X16" s="7">
        <f t="shared" si="1"/>
        <v>100</v>
      </c>
      <c r="Y16" s="7">
        <f t="shared" si="2"/>
        <v>100</v>
      </c>
      <c r="Z16" s="6"/>
      <c r="AA16" s="6"/>
      <c r="AB16" s="6"/>
      <c r="AC16" s="6"/>
      <c r="AD16" s="6"/>
      <c r="AE16" s="6"/>
      <c r="AF16" s="6">
        <v>1</v>
      </c>
      <c r="AG16" s="6"/>
      <c r="AH16" s="6">
        <f t="shared" si="3"/>
        <v>1000</v>
      </c>
      <c r="AI16" s="13">
        <f t="shared" si="4"/>
        <v>1000</v>
      </c>
      <c r="AJ16" s="13">
        <f t="shared" si="5"/>
        <v>1000</v>
      </c>
      <c r="AK16" s="9"/>
      <c r="AL16" s="6"/>
      <c r="AM16" s="9"/>
      <c r="AN16" s="6"/>
      <c r="AO16" s="9"/>
      <c r="AP16" s="6"/>
      <c r="AQ16" s="6"/>
      <c r="AR16" s="6">
        <v>14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spans="1:64" x14ac:dyDescent="0.2">
      <c r="A17" s="10">
        <v>46085</v>
      </c>
      <c r="B17" s="11">
        <v>0.44475694444444447</v>
      </c>
      <c r="C17" s="1" t="s">
        <v>43</v>
      </c>
      <c r="D17" s="1" t="s">
        <v>62</v>
      </c>
      <c r="E17" s="1">
        <v>5</v>
      </c>
      <c r="F17" s="1" t="s">
        <v>60</v>
      </c>
      <c r="G17" s="1">
        <v>1</v>
      </c>
      <c r="H17" s="1">
        <v>1</v>
      </c>
      <c r="I17" s="1" t="s">
        <v>47</v>
      </c>
      <c r="J17" s="1" t="s">
        <v>48</v>
      </c>
      <c r="K17" s="1">
        <v>0.10199999999999999</v>
      </c>
      <c r="L17" s="1">
        <v>1.79</v>
      </c>
      <c r="M17" s="1">
        <v>50</v>
      </c>
      <c r="N17" s="1" t="s">
        <v>49</v>
      </c>
      <c r="O17" s="1" t="s">
        <v>50</v>
      </c>
      <c r="P17" s="1">
        <v>0.65</v>
      </c>
      <c r="Q17" s="1">
        <v>7.12</v>
      </c>
      <c r="R17" s="1">
        <v>500</v>
      </c>
      <c r="S17" s="6"/>
      <c r="T17" s="6">
        <v>1</v>
      </c>
      <c r="U17" s="6">
        <v>1</v>
      </c>
      <c r="V17" s="6"/>
      <c r="W17" s="12">
        <f t="shared" si="0"/>
        <v>50</v>
      </c>
      <c r="X17" s="7">
        <f t="shared" si="1"/>
        <v>50</v>
      </c>
      <c r="Y17" s="7">
        <f t="shared" si="2"/>
        <v>50</v>
      </c>
      <c r="Z17" s="6"/>
      <c r="AA17" s="6"/>
      <c r="AB17" s="6"/>
      <c r="AC17" s="6"/>
      <c r="AD17" s="6"/>
      <c r="AE17" s="6"/>
      <c r="AF17" s="6">
        <v>1</v>
      </c>
      <c r="AG17" s="6"/>
      <c r="AH17" s="6">
        <f t="shared" si="3"/>
        <v>500</v>
      </c>
      <c r="AI17" s="13">
        <f t="shared" si="4"/>
        <v>500</v>
      </c>
      <c r="AJ17" s="13">
        <f t="shared" si="5"/>
        <v>500</v>
      </c>
      <c r="AK17" s="9"/>
      <c r="AL17" s="6"/>
      <c r="AM17" s="9"/>
      <c r="AN17" s="6"/>
      <c r="AO17" s="9"/>
      <c r="AP17" s="6"/>
      <c r="AQ17" s="6"/>
      <c r="AR17" s="6">
        <v>15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spans="1:64" x14ac:dyDescent="0.2">
      <c r="A18" s="10">
        <v>46085</v>
      </c>
      <c r="B18" s="11">
        <v>0.44564814814814813</v>
      </c>
      <c r="C18" s="1" t="s">
        <v>43</v>
      </c>
      <c r="D18" s="1" t="s">
        <v>62</v>
      </c>
      <c r="E18" s="1">
        <v>5</v>
      </c>
      <c r="F18" s="1" t="s">
        <v>60</v>
      </c>
      <c r="G18" s="1">
        <v>1</v>
      </c>
      <c r="H18" s="1">
        <v>1</v>
      </c>
      <c r="I18" s="1" t="s">
        <v>47</v>
      </c>
      <c r="J18" s="1" t="s">
        <v>48</v>
      </c>
      <c r="K18" s="1">
        <v>0.10100000000000001</v>
      </c>
      <c r="L18" s="1">
        <v>1.83</v>
      </c>
      <c r="M18" s="1">
        <v>50</v>
      </c>
      <c r="N18" s="1" t="s">
        <v>49</v>
      </c>
      <c r="O18" s="1" t="s">
        <v>50</v>
      </c>
      <c r="P18" s="1">
        <v>0.69</v>
      </c>
      <c r="Q18" s="1">
        <v>7.41</v>
      </c>
      <c r="R18" s="1">
        <v>500</v>
      </c>
      <c r="S18" s="6"/>
      <c r="T18" s="6">
        <v>1</v>
      </c>
      <c r="U18" s="6">
        <v>1</v>
      </c>
      <c r="V18" s="6"/>
      <c r="W18" s="12">
        <f t="shared" si="0"/>
        <v>50</v>
      </c>
      <c r="X18" s="7">
        <f t="shared" si="1"/>
        <v>50</v>
      </c>
      <c r="Y18" s="7">
        <f t="shared" si="2"/>
        <v>50</v>
      </c>
      <c r="Z18" s="6"/>
      <c r="AA18" s="6"/>
      <c r="AB18" s="6"/>
      <c r="AC18" s="6"/>
      <c r="AD18" s="6"/>
      <c r="AE18" s="6"/>
      <c r="AF18" s="6">
        <v>1</v>
      </c>
      <c r="AG18" s="6"/>
      <c r="AH18" s="6">
        <f t="shared" si="3"/>
        <v>500</v>
      </c>
      <c r="AI18" s="13">
        <f t="shared" si="4"/>
        <v>500</v>
      </c>
      <c r="AJ18" s="13">
        <f t="shared" si="5"/>
        <v>500</v>
      </c>
      <c r="AK18" s="9"/>
      <c r="AL18" s="6"/>
      <c r="AM18" s="9"/>
      <c r="AN18" s="6"/>
      <c r="AO18" s="9"/>
      <c r="AP18" s="6"/>
      <c r="AQ18" s="6"/>
      <c r="AR18" s="6">
        <v>16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spans="1:64" x14ac:dyDescent="0.2">
      <c r="A19" s="10">
        <v>46085</v>
      </c>
      <c r="B19" s="11">
        <v>0.4465277777777778</v>
      </c>
      <c r="C19" s="1" t="s">
        <v>43</v>
      </c>
      <c r="D19" s="1" t="s">
        <v>63</v>
      </c>
      <c r="E19" s="1">
        <v>7</v>
      </c>
      <c r="F19" s="1" t="s">
        <v>60</v>
      </c>
      <c r="G19" s="1">
        <v>1</v>
      </c>
      <c r="H19" s="1">
        <v>1</v>
      </c>
      <c r="I19" s="1" t="s">
        <v>47</v>
      </c>
      <c r="J19" s="1" t="s">
        <v>48</v>
      </c>
      <c r="K19" s="1">
        <v>5.4100000000000002E-2</v>
      </c>
      <c r="L19" s="1">
        <v>1.1499999999999999</v>
      </c>
      <c r="M19" s="1">
        <v>25</v>
      </c>
      <c r="N19" s="1" t="s">
        <v>49</v>
      </c>
      <c r="O19" s="1" t="s">
        <v>50</v>
      </c>
      <c r="P19" s="1">
        <v>0.38800000000000001</v>
      </c>
      <c r="Q19" s="1">
        <v>4.24</v>
      </c>
      <c r="R19" s="1">
        <v>250</v>
      </c>
      <c r="S19" s="6"/>
      <c r="T19" s="6">
        <v>1</v>
      </c>
      <c r="U19" s="6">
        <v>1</v>
      </c>
      <c r="V19" s="6"/>
      <c r="W19" s="12">
        <f t="shared" si="0"/>
        <v>25</v>
      </c>
      <c r="X19" s="7">
        <f t="shared" si="1"/>
        <v>25</v>
      </c>
      <c r="Y19" s="7">
        <f t="shared" si="2"/>
        <v>25</v>
      </c>
      <c r="Z19" s="6"/>
      <c r="AA19" s="6"/>
      <c r="AB19" s="6"/>
      <c r="AC19" s="6"/>
      <c r="AD19" s="6"/>
      <c r="AE19" s="6"/>
      <c r="AF19" s="6">
        <v>1</v>
      </c>
      <c r="AG19" s="6"/>
      <c r="AH19" s="6">
        <f t="shared" si="3"/>
        <v>250</v>
      </c>
      <c r="AI19" s="13">
        <f t="shared" si="4"/>
        <v>250</v>
      </c>
      <c r="AJ19" s="13">
        <f t="shared" si="5"/>
        <v>250</v>
      </c>
      <c r="AK19" s="9"/>
      <c r="AL19" s="6"/>
      <c r="AM19" s="9"/>
      <c r="AN19" s="6"/>
      <c r="AO19" s="9"/>
      <c r="AP19" s="6"/>
      <c r="AQ19" s="6"/>
      <c r="AR19" s="6">
        <v>17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spans="1:64" x14ac:dyDescent="0.2">
      <c r="A20" s="10">
        <v>46085</v>
      </c>
      <c r="B20" s="11">
        <v>0.44741898148148146</v>
      </c>
      <c r="C20" s="1" t="s">
        <v>43</v>
      </c>
      <c r="D20" s="1" t="s">
        <v>63</v>
      </c>
      <c r="E20" s="1">
        <v>7</v>
      </c>
      <c r="F20" s="1" t="s">
        <v>60</v>
      </c>
      <c r="G20" s="1">
        <v>1</v>
      </c>
      <c r="H20" s="1">
        <v>1</v>
      </c>
      <c r="I20" s="1" t="s">
        <v>47</v>
      </c>
      <c r="J20" s="1" t="s">
        <v>48</v>
      </c>
      <c r="K20" s="1">
        <v>5.4399999999999997E-2</v>
      </c>
      <c r="L20" s="1">
        <v>1.1100000000000001</v>
      </c>
      <c r="M20" s="1">
        <v>25</v>
      </c>
      <c r="N20" s="1" t="s">
        <v>49</v>
      </c>
      <c r="O20" s="1" t="s">
        <v>50</v>
      </c>
      <c r="P20" s="1">
        <v>0.40899999999999997</v>
      </c>
      <c r="Q20" s="1">
        <v>4.3499999999999996</v>
      </c>
      <c r="R20" s="1">
        <v>250</v>
      </c>
      <c r="S20" s="6"/>
      <c r="T20" s="6">
        <v>1</v>
      </c>
      <c r="U20" s="6">
        <v>1</v>
      </c>
      <c r="V20" s="6"/>
      <c r="W20" s="12">
        <f t="shared" si="0"/>
        <v>25</v>
      </c>
      <c r="X20" s="7">
        <f t="shared" si="1"/>
        <v>25</v>
      </c>
      <c r="Y20" s="7">
        <f t="shared" si="2"/>
        <v>25</v>
      </c>
      <c r="Z20" s="6"/>
      <c r="AA20" s="6"/>
      <c r="AB20" s="6"/>
      <c r="AC20" s="6"/>
      <c r="AD20" s="6"/>
      <c r="AE20" s="6"/>
      <c r="AF20" s="6">
        <v>1</v>
      </c>
      <c r="AG20" s="6"/>
      <c r="AH20" s="6">
        <f t="shared" si="3"/>
        <v>250</v>
      </c>
      <c r="AI20" s="13">
        <f t="shared" si="4"/>
        <v>250</v>
      </c>
      <c r="AJ20" s="13">
        <f t="shared" si="5"/>
        <v>250</v>
      </c>
      <c r="AK20" s="9"/>
      <c r="AL20" s="6"/>
      <c r="AM20" s="9"/>
      <c r="AN20" s="6"/>
      <c r="AO20" s="9"/>
      <c r="AP20" s="6"/>
      <c r="AQ20" s="6"/>
      <c r="AR20" s="6">
        <v>18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64" ht="15.75" customHeight="1" x14ac:dyDescent="0.2">
      <c r="A21" s="10">
        <v>46085</v>
      </c>
      <c r="B21" s="11">
        <v>0.44829861111111113</v>
      </c>
      <c r="C21" s="1" t="s">
        <v>43</v>
      </c>
      <c r="D21" s="1" t="s">
        <v>64</v>
      </c>
      <c r="E21" s="1">
        <v>9</v>
      </c>
      <c r="F21" s="1" t="s">
        <v>60</v>
      </c>
      <c r="G21" s="1">
        <v>1</v>
      </c>
      <c r="H21" s="1">
        <v>1</v>
      </c>
      <c r="I21" s="1" t="s">
        <v>47</v>
      </c>
      <c r="J21" s="1" t="s">
        <v>48</v>
      </c>
      <c r="K21" s="1">
        <v>3.0099999999999998E-2</v>
      </c>
      <c r="L21" s="1">
        <v>0.73399999999999999</v>
      </c>
      <c r="M21" s="1">
        <v>10</v>
      </c>
      <c r="N21" s="1" t="s">
        <v>49</v>
      </c>
      <c r="O21" s="1" t="s">
        <v>50</v>
      </c>
      <c r="P21" s="1">
        <v>0.21099999999999999</v>
      </c>
      <c r="Q21" s="1">
        <v>2.38</v>
      </c>
      <c r="R21" s="1">
        <v>100</v>
      </c>
      <c r="S21" s="6"/>
      <c r="T21" s="6">
        <v>1</v>
      </c>
      <c r="U21" s="6">
        <v>1</v>
      </c>
      <c r="V21" s="6"/>
      <c r="W21" s="12">
        <f t="shared" si="0"/>
        <v>10</v>
      </c>
      <c r="X21" s="7">
        <f t="shared" si="1"/>
        <v>10</v>
      </c>
      <c r="Y21" s="7">
        <f t="shared" si="2"/>
        <v>10</v>
      </c>
      <c r="Z21" s="6"/>
      <c r="AA21" s="6"/>
      <c r="AB21" s="6"/>
      <c r="AC21" s="6"/>
      <c r="AD21" s="6"/>
      <c r="AE21" s="6"/>
      <c r="AF21" s="6">
        <v>1</v>
      </c>
      <c r="AG21" s="6"/>
      <c r="AH21" s="6">
        <f t="shared" si="3"/>
        <v>100</v>
      </c>
      <c r="AI21" s="13">
        <f t="shared" si="4"/>
        <v>100</v>
      </c>
      <c r="AJ21" s="13">
        <f t="shared" si="5"/>
        <v>100</v>
      </c>
      <c r="AK21" s="9"/>
      <c r="AL21" s="6"/>
      <c r="AM21" s="9"/>
      <c r="AN21" s="6"/>
      <c r="AO21" s="9"/>
      <c r="AP21" s="6"/>
      <c r="AQ21" s="6"/>
      <c r="AR21" s="6">
        <v>19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64" ht="15.75" customHeight="1" x14ac:dyDescent="0.2">
      <c r="A22" s="10">
        <v>46085</v>
      </c>
      <c r="B22" s="11">
        <v>0.44918981481481479</v>
      </c>
      <c r="C22" s="1" t="s">
        <v>43</v>
      </c>
      <c r="D22" s="1" t="s">
        <v>64</v>
      </c>
      <c r="E22" s="1">
        <v>9</v>
      </c>
      <c r="F22" s="1" t="s">
        <v>60</v>
      </c>
      <c r="G22" s="1">
        <v>1</v>
      </c>
      <c r="H22" s="1">
        <v>1</v>
      </c>
      <c r="I22" s="1" t="s">
        <v>47</v>
      </c>
      <c r="J22" s="1" t="s">
        <v>48</v>
      </c>
      <c r="K22" s="1">
        <v>2.9399999999999999E-2</v>
      </c>
      <c r="L22" s="1">
        <v>0.74099999999999999</v>
      </c>
      <c r="M22" s="1">
        <v>10</v>
      </c>
      <c r="N22" s="1" t="s">
        <v>49</v>
      </c>
      <c r="O22" s="1" t="s">
        <v>50</v>
      </c>
      <c r="P22" s="1">
        <v>0.21099999999999999</v>
      </c>
      <c r="Q22" s="1">
        <v>2.54</v>
      </c>
      <c r="R22" s="1">
        <v>100</v>
      </c>
      <c r="S22" s="6"/>
      <c r="T22" s="6">
        <v>1</v>
      </c>
      <c r="U22" s="6">
        <v>1</v>
      </c>
      <c r="V22" s="6"/>
      <c r="W22" s="12">
        <f t="shared" si="0"/>
        <v>10</v>
      </c>
      <c r="X22" s="7">
        <f t="shared" si="1"/>
        <v>10</v>
      </c>
      <c r="Y22" s="7">
        <f t="shared" si="2"/>
        <v>10</v>
      </c>
      <c r="Z22" s="6"/>
      <c r="AA22" s="6"/>
      <c r="AB22" s="6"/>
      <c r="AC22" s="6"/>
      <c r="AD22" s="6"/>
      <c r="AE22" s="6"/>
      <c r="AF22" s="6">
        <v>1</v>
      </c>
      <c r="AG22" s="6"/>
      <c r="AH22" s="6">
        <f t="shared" si="3"/>
        <v>100</v>
      </c>
      <c r="AI22" s="13">
        <f t="shared" si="4"/>
        <v>100</v>
      </c>
      <c r="AJ22" s="13">
        <f t="shared" si="5"/>
        <v>100</v>
      </c>
      <c r="AK22" s="9"/>
      <c r="AL22" s="6"/>
      <c r="AM22" s="9"/>
      <c r="AN22" s="6"/>
      <c r="AO22" s="9"/>
      <c r="AP22" s="6"/>
      <c r="AQ22" s="6"/>
      <c r="AR22" s="6">
        <v>20</v>
      </c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4" ht="15.75" customHeight="1" x14ac:dyDescent="0.2">
      <c r="A23" s="10">
        <v>46085</v>
      </c>
      <c r="B23" s="11">
        <v>0.45006944444444447</v>
      </c>
      <c r="C23" s="1" t="s">
        <v>43</v>
      </c>
      <c r="D23" s="1" t="s">
        <v>65</v>
      </c>
      <c r="E23" s="1">
        <v>11</v>
      </c>
      <c r="F23" s="1" t="s">
        <v>60</v>
      </c>
      <c r="G23" s="1">
        <v>1</v>
      </c>
      <c r="H23" s="1">
        <v>1</v>
      </c>
      <c r="I23" s="1" t="s">
        <v>47</v>
      </c>
      <c r="J23" s="1" t="s">
        <v>48</v>
      </c>
      <c r="K23" s="1">
        <v>2.75E-2</v>
      </c>
      <c r="L23" s="1">
        <v>0.72799999999999998</v>
      </c>
      <c r="M23" s="1">
        <v>5</v>
      </c>
      <c r="N23" s="1" t="s">
        <v>49</v>
      </c>
      <c r="O23" s="1" t="s">
        <v>50</v>
      </c>
      <c r="P23" s="1">
        <v>0.155</v>
      </c>
      <c r="Q23" s="1">
        <v>1.8</v>
      </c>
      <c r="R23" s="1">
        <v>50</v>
      </c>
      <c r="S23" s="6"/>
      <c r="T23" s="6">
        <v>1</v>
      </c>
      <c r="U23" s="6">
        <v>3</v>
      </c>
      <c r="V23" s="6" t="s">
        <v>66</v>
      </c>
      <c r="W23" s="12">
        <f t="shared" si="0"/>
        <v>5</v>
      </c>
      <c r="X23" s="7">
        <f t="shared" si="1"/>
        <v>5</v>
      </c>
      <c r="Y23" s="7">
        <f t="shared" si="2"/>
        <v>5</v>
      </c>
      <c r="Z23" s="6"/>
      <c r="AA23" s="6"/>
      <c r="AB23" s="6"/>
      <c r="AC23" s="6"/>
      <c r="AD23" s="6"/>
      <c r="AE23" s="6"/>
      <c r="AF23" s="6">
        <v>1</v>
      </c>
      <c r="AG23" s="6"/>
      <c r="AH23" s="6">
        <f t="shared" si="3"/>
        <v>50</v>
      </c>
      <c r="AI23" s="13">
        <f t="shared" si="4"/>
        <v>50</v>
      </c>
      <c r="AJ23" s="13">
        <f t="shared" si="5"/>
        <v>50</v>
      </c>
      <c r="AK23" s="9"/>
      <c r="AL23" s="6"/>
      <c r="AM23" s="9"/>
      <c r="AN23" s="6"/>
      <c r="AO23" s="9"/>
      <c r="AP23" s="6"/>
      <c r="AQ23" s="6"/>
      <c r="AR23" s="6">
        <v>21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spans="1:64" ht="15.75" customHeight="1" x14ac:dyDescent="0.2">
      <c r="A24" s="10">
        <v>46085</v>
      </c>
      <c r="B24" s="11">
        <v>0.45096064814814812</v>
      </c>
      <c r="C24" s="1" t="s">
        <v>43</v>
      </c>
      <c r="D24" s="1" t="s">
        <v>65</v>
      </c>
      <c r="E24" s="1">
        <v>11</v>
      </c>
      <c r="F24" s="1" t="s">
        <v>60</v>
      </c>
      <c r="G24" s="1">
        <v>1</v>
      </c>
      <c r="H24" s="1">
        <v>1</v>
      </c>
      <c r="I24" s="1" t="s">
        <v>47</v>
      </c>
      <c r="J24" s="1" t="s">
        <v>48</v>
      </c>
      <c r="K24" s="1">
        <v>2.6100000000000002E-2</v>
      </c>
      <c r="L24" s="1">
        <v>0.65400000000000003</v>
      </c>
      <c r="M24" s="1">
        <v>5</v>
      </c>
      <c r="N24" s="1" t="s">
        <v>49</v>
      </c>
      <c r="O24" s="1" t="s">
        <v>50</v>
      </c>
      <c r="P24" s="1">
        <v>0.14799999999999999</v>
      </c>
      <c r="Q24" s="1">
        <v>1.71</v>
      </c>
      <c r="R24" s="1">
        <v>50</v>
      </c>
      <c r="S24" s="6"/>
      <c r="T24" s="6">
        <v>1</v>
      </c>
      <c r="U24" s="6">
        <v>3</v>
      </c>
      <c r="V24" s="6" t="s">
        <v>66</v>
      </c>
      <c r="W24" s="12">
        <f t="shared" si="0"/>
        <v>5</v>
      </c>
      <c r="X24" s="7">
        <f t="shared" si="1"/>
        <v>5</v>
      </c>
      <c r="Y24" s="7">
        <f t="shared" si="2"/>
        <v>5</v>
      </c>
      <c r="Z24" s="6"/>
      <c r="AA24" s="6"/>
      <c r="AB24" s="6"/>
      <c r="AC24" s="6"/>
      <c r="AD24" s="6"/>
      <c r="AE24" s="6"/>
      <c r="AF24" s="6">
        <v>1</v>
      </c>
      <c r="AG24" s="6"/>
      <c r="AH24" s="6">
        <f t="shared" si="3"/>
        <v>50</v>
      </c>
      <c r="AI24" s="13">
        <f t="shared" si="4"/>
        <v>50</v>
      </c>
      <c r="AJ24" s="13">
        <f t="shared" si="5"/>
        <v>50</v>
      </c>
      <c r="AK24" s="9"/>
      <c r="AL24" s="6"/>
      <c r="AM24" s="9"/>
      <c r="AN24" s="6"/>
      <c r="AO24" s="9"/>
      <c r="AP24" s="6"/>
      <c r="AQ24" s="6"/>
      <c r="AR24" s="6">
        <v>22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1:64" ht="15.75" customHeight="1" x14ac:dyDescent="0.2">
      <c r="A25" s="10">
        <v>46085</v>
      </c>
      <c r="B25" s="11">
        <v>0.4518402777777778</v>
      </c>
      <c r="C25" s="1" t="s">
        <v>43</v>
      </c>
      <c r="D25" s="1" t="s">
        <v>67</v>
      </c>
      <c r="E25" s="1">
        <v>13</v>
      </c>
      <c r="F25" s="1" t="s">
        <v>60</v>
      </c>
      <c r="G25" s="1">
        <v>1</v>
      </c>
      <c r="H25" s="1">
        <v>1</v>
      </c>
      <c r="I25" s="1" t="s">
        <v>47</v>
      </c>
      <c r="J25" s="1" t="s">
        <v>48</v>
      </c>
      <c r="K25" s="1">
        <v>1.8599999999999998E-2</v>
      </c>
      <c r="L25" s="1">
        <v>0.40899999999999997</v>
      </c>
      <c r="M25" s="1">
        <v>0</v>
      </c>
      <c r="N25" s="1" t="s">
        <v>49</v>
      </c>
      <c r="O25" s="1" t="s">
        <v>50</v>
      </c>
      <c r="P25" s="1">
        <v>7.7899999999999997E-2</v>
      </c>
      <c r="Q25" s="1">
        <v>1.04</v>
      </c>
      <c r="R25" s="1">
        <v>0</v>
      </c>
      <c r="S25" s="6"/>
      <c r="T25" s="6">
        <v>1</v>
      </c>
      <c r="U25" s="6">
        <v>1</v>
      </c>
      <c r="V25" s="6"/>
      <c r="W25" s="12">
        <f t="shared" si="0"/>
        <v>0</v>
      </c>
      <c r="X25" s="7">
        <f t="shared" si="1"/>
        <v>0</v>
      </c>
      <c r="Y25" s="7">
        <f t="shared" si="2"/>
        <v>0</v>
      </c>
      <c r="Z25" s="6"/>
      <c r="AA25" s="6"/>
      <c r="AB25" s="6"/>
      <c r="AC25" s="6"/>
      <c r="AD25" s="6"/>
      <c r="AE25" s="6"/>
      <c r="AF25" s="6">
        <v>1</v>
      </c>
      <c r="AG25" s="6"/>
      <c r="AH25" s="6">
        <f t="shared" si="3"/>
        <v>0</v>
      </c>
      <c r="AI25" s="13">
        <f t="shared" si="4"/>
        <v>0</v>
      </c>
      <c r="AJ25" s="13">
        <f t="shared" si="5"/>
        <v>0</v>
      </c>
      <c r="AK25" s="9"/>
      <c r="AL25" s="6"/>
      <c r="AM25" s="9"/>
      <c r="AN25" s="6"/>
      <c r="AO25" s="9"/>
      <c r="AP25" s="6"/>
      <c r="AQ25" s="6"/>
      <c r="AR25" s="6">
        <v>23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spans="1:64" ht="15.75" customHeight="1" x14ac:dyDescent="0.2">
      <c r="A26" s="10">
        <v>46085</v>
      </c>
      <c r="B26" s="11">
        <v>0.45271990740740742</v>
      </c>
      <c r="C26" s="1" t="s">
        <v>43</v>
      </c>
      <c r="D26" s="1" t="s">
        <v>67</v>
      </c>
      <c r="E26" s="1">
        <v>13</v>
      </c>
      <c r="F26" s="1" t="s">
        <v>60</v>
      </c>
      <c r="G26" s="1">
        <v>1</v>
      </c>
      <c r="H26" s="1">
        <v>1</v>
      </c>
      <c r="I26" s="1" t="s">
        <v>47</v>
      </c>
      <c r="J26" s="1" t="s">
        <v>48</v>
      </c>
      <c r="K26" s="1">
        <v>1.8200000000000001E-2</v>
      </c>
      <c r="L26" s="1">
        <v>0.42</v>
      </c>
      <c r="M26" s="1">
        <v>0</v>
      </c>
      <c r="N26" s="1" t="s">
        <v>49</v>
      </c>
      <c r="O26" s="1" t="s">
        <v>50</v>
      </c>
      <c r="P26" s="1">
        <v>7.4499999999999997E-2</v>
      </c>
      <c r="Q26" s="1">
        <v>0.96399999999999997</v>
      </c>
      <c r="R26" s="1">
        <v>0</v>
      </c>
      <c r="S26" s="6"/>
      <c r="T26" s="6">
        <v>1</v>
      </c>
      <c r="U26" s="6">
        <v>1</v>
      </c>
      <c r="V26" s="6"/>
      <c r="W26" s="12">
        <f t="shared" si="0"/>
        <v>0</v>
      </c>
      <c r="X26" s="7">
        <f t="shared" si="1"/>
        <v>0</v>
      </c>
      <c r="Y26" s="7">
        <f t="shared" si="2"/>
        <v>0</v>
      </c>
      <c r="Z26" s="6"/>
      <c r="AA26" s="6"/>
      <c r="AB26" s="6"/>
      <c r="AC26" s="6"/>
      <c r="AD26" s="6"/>
      <c r="AE26" s="6"/>
      <c r="AF26" s="6">
        <v>1</v>
      </c>
      <c r="AG26" s="6"/>
      <c r="AH26" s="6">
        <f t="shared" si="3"/>
        <v>0</v>
      </c>
      <c r="AI26" s="13">
        <f t="shared" si="4"/>
        <v>0</v>
      </c>
      <c r="AJ26" s="13">
        <f t="shared" si="5"/>
        <v>0</v>
      </c>
      <c r="AK26" s="9"/>
      <c r="AL26" s="6"/>
      <c r="AM26" s="9"/>
      <c r="AN26" s="6"/>
      <c r="AO26" s="9"/>
      <c r="AP26" s="6"/>
      <c r="AQ26" s="6"/>
      <c r="AR26" s="6">
        <v>24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spans="1:64" ht="15.75" customHeight="1" x14ac:dyDescent="0.2">
      <c r="A27" s="10"/>
      <c r="B27" s="11"/>
      <c r="S27" s="6"/>
      <c r="T27" s="6"/>
      <c r="U27" s="6"/>
      <c r="V27" s="6"/>
      <c r="W27" s="12"/>
      <c r="X27" s="7"/>
      <c r="Y27" s="7"/>
      <c r="Z27" s="6"/>
      <c r="AA27" s="6"/>
      <c r="AB27" s="6"/>
      <c r="AC27" s="6"/>
      <c r="AD27" s="6"/>
      <c r="AE27" s="6"/>
      <c r="AF27" s="6"/>
      <c r="AG27" s="6"/>
      <c r="AH27" s="6"/>
      <c r="AI27" s="13"/>
      <c r="AJ27" s="13"/>
      <c r="AK27" s="9"/>
      <c r="AL27" s="6"/>
      <c r="AM27" s="9"/>
      <c r="AN27" s="6"/>
      <c r="AO27" s="9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spans="1:64" ht="15.75" customHeight="1" x14ac:dyDescent="0.2">
      <c r="A28" s="10"/>
      <c r="B28" s="11"/>
      <c r="S28" s="6"/>
      <c r="T28" s="6"/>
      <c r="U28" s="6"/>
      <c r="V28" s="6"/>
      <c r="W28" s="12"/>
      <c r="X28" s="7"/>
      <c r="Y28" s="7"/>
      <c r="Z28" s="6"/>
      <c r="AA28" s="6"/>
      <c r="AB28" s="6"/>
      <c r="AC28" s="6"/>
      <c r="AD28" s="6"/>
      <c r="AE28" s="6"/>
      <c r="AF28" s="6"/>
      <c r="AG28" s="6"/>
      <c r="AH28" s="6"/>
      <c r="AI28" s="13"/>
      <c r="AJ28" s="13"/>
      <c r="AK28" s="9"/>
      <c r="AL28" s="6"/>
      <c r="AM28" s="9"/>
      <c r="AN28" s="6"/>
      <c r="AO28" s="9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spans="1:64" ht="15.75" customHeight="1" x14ac:dyDescent="0.2">
      <c r="A29" s="10"/>
      <c r="B29" s="11"/>
      <c r="S29" s="6"/>
      <c r="T29" s="6"/>
      <c r="U29" s="6"/>
      <c r="V29" s="6"/>
      <c r="W29" s="12"/>
      <c r="X29" s="7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8"/>
      <c r="AJ29" s="8"/>
      <c r="AK29" s="9"/>
      <c r="AL29" s="6"/>
      <c r="AM29" s="9"/>
      <c r="AN29" s="6"/>
      <c r="AO29" s="9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spans="1:64" ht="15.75" customHeight="1" x14ac:dyDescent="0.2">
      <c r="A30" s="10"/>
      <c r="B30" s="11"/>
      <c r="S30" s="6"/>
      <c r="T30" s="6"/>
      <c r="U30" s="6"/>
      <c r="V30" s="6"/>
      <c r="W30" s="12"/>
      <c r="X30" s="7"/>
      <c r="Y30" s="7"/>
      <c r="Z30" s="6"/>
      <c r="AA30" s="6"/>
      <c r="AB30" s="6"/>
      <c r="AC30" s="6"/>
      <c r="AD30" s="6"/>
      <c r="AE30" s="6"/>
      <c r="AF30" s="6"/>
      <c r="AG30" s="6"/>
      <c r="AH30" s="6"/>
      <c r="AI30" s="8"/>
      <c r="AJ30" s="8"/>
      <c r="AK30" s="9"/>
      <c r="AL30" s="6"/>
      <c r="AM30" s="9"/>
      <c r="AN30" s="6"/>
      <c r="AO30" s="9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</row>
    <row r="31" spans="1:64" ht="15.75" customHeight="1" x14ac:dyDescent="0.2">
      <c r="A31" s="10"/>
      <c r="B31" s="11"/>
      <c r="S31" s="6"/>
      <c r="T31" s="6"/>
      <c r="U31" s="6"/>
      <c r="V31" s="6"/>
      <c r="W31" s="12"/>
      <c r="X31" s="7"/>
      <c r="Y31" s="7"/>
      <c r="Z31" s="6"/>
      <c r="AA31" s="6"/>
      <c r="AB31" s="6"/>
      <c r="AC31" s="6"/>
      <c r="AD31" s="6"/>
      <c r="AE31" s="6"/>
      <c r="AF31" s="6"/>
      <c r="AG31" s="6"/>
      <c r="AH31" s="6"/>
      <c r="AI31" s="8"/>
      <c r="AJ31" s="8"/>
      <c r="AK31" s="9"/>
      <c r="AL31" s="6"/>
      <c r="AM31" s="9"/>
      <c r="AN31" s="6"/>
      <c r="AO31" s="9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</row>
    <row r="32" spans="1:64" ht="15.75" customHeight="1" x14ac:dyDescent="0.2">
      <c r="A32" s="10"/>
      <c r="B32" s="11"/>
      <c r="S32" s="6"/>
      <c r="T32" s="6"/>
      <c r="U32" s="6"/>
      <c r="V32" s="6"/>
      <c r="W32" s="12"/>
      <c r="X32" s="7"/>
      <c r="Y32" s="7"/>
      <c r="Z32" s="6"/>
      <c r="AA32" s="6"/>
      <c r="AB32" s="6"/>
      <c r="AC32" s="6"/>
      <c r="AD32" s="6"/>
      <c r="AE32" s="6"/>
      <c r="AF32" s="6"/>
      <c r="AG32" s="6"/>
      <c r="AH32" s="6"/>
      <c r="AI32" s="8"/>
      <c r="AJ32" s="8"/>
      <c r="AK32" s="9"/>
      <c r="AL32" s="6"/>
      <c r="AM32" s="9"/>
      <c r="AN32" s="6"/>
      <c r="AO32" s="9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</row>
    <row r="33" spans="1:64" ht="15.75" customHeight="1" x14ac:dyDescent="0.2">
      <c r="A33" s="10"/>
      <c r="B33" s="11"/>
      <c r="S33" s="6"/>
      <c r="T33" s="6"/>
      <c r="U33" s="6"/>
      <c r="V33" s="6"/>
      <c r="W33" s="12"/>
      <c r="X33" s="7"/>
      <c r="Y33" s="7"/>
      <c r="Z33" s="6"/>
      <c r="AA33" s="6"/>
      <c r="AB33" s="6"/>
      <c r="AC33" s="6"/>
      <c r="AD33" s="6"/>
      <c r="AE33" s="6"/>
      <c r="AF33" s="6"/>
      <c r="AG33" s="6"/>
      <c r="AH33" s="6"/>
      <c r="AI33" s="8"/>
      <c r="AJ33" s="8"/>
      <c r="AK33" s="9"/>
      <c r="AL33" s="6"/>
      <c r="AM33" s="9"/>
      <c r="AN33" s="6"/>
      <c r="AO33" s="9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</row>
    <row r="34" spans="1:64" ht="15.75" customHeight="1" x14ac:dyDescent="0.2">
      <c r="A34" s="10"/>
      <c r="B34" s="11"/>
      <c r="S34" s="6"/>
      <c r="T34" s="6"/>
      <c r="U34" s="6"/>
      <c r="V34" s="6"/>
      <c r="W34" s="12"/>
      <c r="X34" s="7"/>
      <c r="Y34" s="7"/>
      <c r="Z34" s="6"/>
      <c r="AA34" s="6"/>
      <c r="AB34" s="6"/>
      <c r="AC34" s="6"/>
      <c r="AD34" s="6"/>
      <c r="AE34" s="6"/>
      <c r="AF34" s="6"/>
      <c r="AG34" s="6"/>
      <c r="AH34" s="6"/>
      <c r="AI34" s="8"/>
      <c r="AJ34" s="8"/>
      <c r="AK34" s="9"/>
      <c r="AL34" s="6"/>
      <c r="AM34" s="9"/>
      <c r="AN34" s="6"/>
      <c r="AO34" s="9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64" ht="15.75" customHeight="1" x14ac:dyDescent="0.2">
      <c r="A35" s="10" t="s">
        <v>68</v>
      </c>
      <c r="S35" s="6"/>
      <c r="T35" s="6"/>
      <c r="U35" s="6"/>
      <c r="V35" s="6"/>
      <c r="W35" s="12"/>
      <c r="X35" s="7"/>
      <c r="Y35" s="7"/>
      <c r="Z35" s="6"/>
      <c r="AA35" s="6"/>
      <c r="AB35" s="6"/>
      <c r="AC35" s="6"/>
      <c r="AD35" s="6"/>
      <c r="AE35" s="6"/>
      <c r="AF35" s="6"/>
      <c r="AG35" s="6"/>
      <c r="AH35" s="6"/>
      <c r="AI35" s="8"/>
      <c r="AJ35" s="8"/>
      <c r="AK35" s="9"/>
      <c r="AL35" s="6"/>
      <c r="AM35" s="9"/>
      <c r="AN35" s="6"/>
      <c r="AO35" s="9"/>
      <c r="AP35" s="6"/>
      <c r="AQ35" s="6"/>
      <c r="AR35" s="6">
        <v>33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64" ht="15.75" customHeight="1" x14ac:dyDescent="0.2">
      <c r="A36" s="10">
        <v>46085</v>
      </c>
      <c r="B36" s="11">
        <v>0.45358796296296294</v>
      </c>
      <c r="C36" s="1" t="s">
        <v>43</v>
      </c>
      <c r="D36" s="1" t="s">
        <v>51</v>
      </c>
      <c r="E36" s="1" t="s">
        <v>52</v>
      </c>
      <c r="F36" s="1" t="s">
        <v>46</v>
      </c>
      <c r="G36" s="1">
        <v>1</v>
      </c>
      <c r="H36" s="1">
        <v>1</v>
      </c>
      <c r="I36" s="1" t="s">
        <v>47</v>
      </c>
      <c r="J36" s="1" t="s">
        <v>48</v>
      </c>
      <c r="K36" s="1">
        <v>0.13800000000000001</v>
      </c>
      <c r="L36" s="1">
        <v>1.38</v>
      </c>
      <c r="M36" s="1">
        <v>31.1</v>
      </c>
      <c r="N36" s="1" t="s">
        <v>49</v>
      </c>
      <c r="O36" s="1" t="s">
        <v>50</v>
      </c>
      <c r="P36" s="1">
        <v>1.88</v>
      </c>
      <c r="Q36" s="1">
        <v>20.3</v>
      </c>
      <c r="R36" s="1">
        <v>1500</v>
      </c>
      <c r="S36" s="6">
        <f>100*(Q37/Q36)</f>
        <v>100.49261083743841</v>
      </c>
      <c r="T36" s="6">
        <v>1</v>
      </c>
      <c r="U36" s="6">
        <v>1</v>
      </c>
      <c r="V36" s="6"/>
      <c r="W36" s="12">
        <f t="shared" ref="W36:W53" si="6">M36*H36</f>
        <v>31.1</v>
      </c>
      <c r="X36" s="7">
        <f t="shared" ref="X36:X53" si="7">W36</f>
        <v>31.1</v>
      </c>
      <c r="Y36" s="7">
        <f t="shared" ref="Y36:Y53" si="8">IF(T36=1,X36,(X36*T36))</f>
        <v>31.1</v>
      </c>
      <c r="Z36" s="6"/>
      <c r="AA36" s="6"/>
      <c r="AB36" s="6"/>
      <c r="AC36" s="6"/>
      <c r="AD36" s="6"/>
      <c r="AE36" s="6"/>
      <c r="AF36" s="6">
        <v>1</v>
      </c>
      <c r="AG36" s="6"/>
      <c r="AH36" s="6">
        <f t="shared" ref="AH36:AH53" si="9">R36*H36</f>
        <v>1500</v>
      </c>
      <c r="AI36" s="13">
        <f t="shared" ref="AI36:AI53" si="10">AH36</f>
        <v>1500</v>
      </c>
      <c r="AJ36" s="13">
        <f t="shared" ref="AJ36:AJ53" si="11">IF(T36=1,AI36,(AI36*T36))</f>
        <v>1500</v>
      </c>
      <c r="AK36" s="9"/>
      <c r="AL36" s="6"/>
      <c r="AM36" s="9"/>
      <c r="AN36" s="6"/>
      <c r="AO36" s="9"/>
      <c r="AP36" s="6"/>
      <c r="AQ36" s="6"/>
      <c r="AR36" s="6">
        <v>34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64" ht="15.75" customHeight="1" x14ac:dyDescent="0.2">
      <c r="A37" s="10">
        <v>46085</v>
      </c>
      <c r="B37" s="11">
        <v>0.45447916666666666</v>
      </c>
      <c r="C37" s="1" t="s">
        <v>43</v>
      </c>
      <c r="D37" s="1" t="s">
        <v>53</v>
      </c>
      <c r="E37" s="1" t="s">
        <v>54</v>
      </c>
      <c r="F37" s="1" t="s">
        <v>46</v>
      </c>
      <c r="G37" s="1">
        <v>1</v>
      </c>
      <c r="H37" s="1">
        <v>1</v>
      </c>
      <c r="I37" s="1" t="s">
        <v>47</v>
      </c>
      <c r="J37" s="1" t="s">
        <v>48</v>
      </c>
      <c r="K37" s="1">
        <v>0.14099999999999999</v>
      </c>
      <c r="L37" s="1">
        <v>1.46</v>
      </c>
      <c r="M37" s="1">
        <v>34</v>
      </c>
      <c r="N37" s="1" t="s">
        <v>49</v>
      </c>
      <c r="O37" s="1" t="s">
        <v>50</v>
      </c>
      <c r="P37" s="1">
        <v>1.92</v>
      </c>
      <c r="Q37" s="1">
        <v>20.399999999999999</v>
      </c>
      <c r="R37" s="1">
        <v>1510</v>
      </c>
      <c r="S37" s="6"/>
      <c r="T37" s="6">
        <v>1</v>
      </c>
      <c r="U37" s="6">
        <v>1</v>
      </c>
      <c r="V37" s="6"/>
      <c r="W37" s="12">
        <f t="shared" si="6"/>
        <v>34</v>
      </c>
      <c r="X37" s="7">
        <f t="shared" si="7"/>
        <v>34</v>
      </c>
      <c r="Y37" s="7">
        <f t="shared" si="8"/>
        <v>34</v>
      </c>
      <c r="Z37" s="6"/>
      <c r="AA37" s="6"/>
      <c r="AB37" s="6"/>
      <c r="AC37" s="6"/>
      <c r="AD37" s="6"/>
      <c r="AE37" s="6"/>
      <c r="AF37" s="6">
        <v>1</v>
      </c>
      <c r="AG37" s="6"/>
      <c r="AH37" s="6">
        <f t="shared" si="9"/>
        <v>1510</v>
      </c>
      <c r="AI37" s="13">
        <f t="shared" si="10"/>
        <v>1510</v>
      </c>
      <c r="AJ37" s="13">
        <f t="shared" si="11"/>
        <v>1510</v>
      </c>
      <c r="AK37" s="9"/>
      <c r="AL37" s="6"/>
      <c r="AM37" s="9"/>
      <c r="AN37" s="6"/>
      <c r="AO37" s="9"/>
      <c r="AP37" s="6"/>
      <c r="AQ37" s="6"/>
      <c r="AR37" s="6">
        <v>35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spans="1:64" ht="15.75" customHeight="1" x14ac:dyDescent="0.2">
      <c r="A38" s="10">
        <v>46085</v>
      </c>
      <c r="B38" s="11">
        <v>0.45537037037037037</v>
      </c>
      <c r="C38" s="1" t="s">
        <v>43</v>
      </c>
      <c r="D38" s="1" t="s">
        <v>55</v>
      </c>
      <c r="E38" s="1" t="s">
        <v>56</v>
      </c>
      <c r="F38" s="1" t="s">
        <v>46</v>
      </c>
      <c r="G38" s="1">
        <v>1</v>
      </c>
      <c r="H38" s="1">
        <v>1</v>
      </c>
      <c r="I38" s="1" t="s">
        <v>47</v>
      </c>
      <c r="J38" s="1" t="s">
        <v>48</v>
      </c>
      <c r="K38" s="1">
        <v>0.13700000000000001</v>
      </c>
      <c r="L38" s="1">
        <v>1.37</v>
      </c>
      <c r="M38" s="1">
        <v>31</v>
      </c>
      <c r="N38" s="1" t="s">
        <v>49</v>
      </c>
      <c r="O38" s="1" t="s">
        <v>50</v>
      </c>
      <c r="P38" s="1">
        <v>-3.2399999999999998E-3</v>
      </c>
      <c r="Q38" s="1">
        <v>-1.9800000000000002E-2</v>
      </c>
      <c r="R38" s="1">
        <v>-85</v>
      </c>
      <c r="S38" s="6"/>
      <c r="T38" s="6">
        <v>1</v>
      </c>
      <c r="U38" s="6">
        <v>1</v>
      </c>
      <c r="V38" s="6"/>
      <c r="W38" s="12">
        <f t="shared" si="6"/>
        <v>31</v>
      </c>
      <c r="X38" s="7">
        <f t="shared" si="7"/>
        <v>31</v>
      </c>
      <c r="Y38" s="7">
        <f t="shared" si="8"/>
        <v>31</v>
      </c>
      <c r="Z38" s="6"/>
      <c r="AA38" s="6"/>
      <c r="AB38" s="6"/>
      <c r="AC38" s="6"/>
      <c r="AD38" s="6"/>
      <c r="AE38" s="6"/>
      <c r="AF38" s="6">
        <v>1</v>
      </c>
      <c r="AG38" s="6"/>
      <c r="AH38" s="6">
        <f t="shared" si="9"/>
        <v>-85</v>
      </c>
      <c r="AI38" s="13">
        <f t="shared" si="10"/>
        <v>-85</v>
      </c>
      <c r="AJ38" s="13">
        <f t="shared" si="11"/>
        <v>-85</v>
      </c>
      <c r="AK38" s="9"/>
      <c r="AL38" s="6"/>
      <c r="AM38" s="9"/>
      <c r="AN38" s="6"/>
      <c r="AO38" s="9"/>
      <c r="AP38" s="6"/>
      <c r="AQ38" s="6"/>
      <c r="AR38" s="6">
        <v>36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spans="1:64" ht="15.75" customHeight="1" x14ac:dyDescent="0.2">
      <c r="A39" s="10">
        <v>46085</v>
      </c>
      <c r="B39" s="11">
        <v>0.45626157407407408</v>
      </c>
      <c r="C39" s="1" t="s">
        <v>43</v>
      </c>
      <c r="D39" s="1" t="s">
        <v>69</v>
      </c>
      <c r="E39" s="1">
        <v>19</v>
      </c>
      <c r="F39" s="1" t="s">
        <v>46</v>
      </c>
      <c r="G39" s="1">
        <v>1</v>
      </c>
      <c r="H39" s="1">
        <v>1</v>
      </c>
      <c r="I39" s="1" t="s">
        <v>47</v>
      </c>
      <c r="J39" s="1" t="s">
        <v>48</v>
      </c>
      <c r="K39" s="1">
        <v>1.89E-2</v>
      </c>
      <c r="L39" s="1">
        <v>0.41</v>
      </c>
      <c r="M39" s="1">
        <v>-1.72</v>
      </c>
      <c r="N39" s="1" t="s">
        <v>49</v>
      </c>
      <c r="O39" s="1" t="s">
        <v>50</v>
      </c>
      <c r="P39" s="1">
        <v>7.5200000000000003E-2</v>
      </c>
      <c r="Q39" s="1">
        <v>0.97099999999999997</v>
      </c>
      <c r="R39" s="1">
        <v>-7.82</v>
      </c>
      <c r="S39" s="6"/>
      <c r="T39" s="6">
        <v>1</v>
      </c>
      <c r="U39" s="6">
        <v>1</v>
      </c>
      <c r="V39" s="6"/>
      <c r="W39" s="12">
        <f t="shared" si="6"/>
        <v>-1.72</v>
      </c>
      <c r="X39" s="7">
        <f t="shared" si="7"/>
        <v>-1.72</v>
      </c>
      <c r="Y39" s="7">
        <f t="shared" si="8"/>
        <v>-1.72</v>
      </c>
      <c r="Z39" s="6"/>
      <c r="AA39" s="6"/>
      <c r="AB39" s="6"/>
      <c r="AC39" s="6"/>
      <c r="AD39" s="6"/>
      <c r="AE39" s="6"/>
      <c r="AF39" s="6">
        <v>1</v>
      </c>
      <c r="AG39" s="6"/>
      <c r="AH39" s="6">
        <f t="shared" si="9"/>
        <v>-7.82</v>
      </c>
      <c r="AI39" s="13">
        <f t="shared" si="10"/>
        <v>-7.82</v>
      </c>
      <c r="AJ39" s="13">
        <f t="shared" si="11"/>
        <v>-7.82</v>
      </c>
      <c r="AK39" s="9"/>
      <c r="AL39" s="6"/>
      <c r="AM39" s="9"/>
      <c r="AN39" s="6"/>
      <c r="AO39" s="9"/>
      <c r="AP39" s="6"/>
      <c r="AQ39" s="6"/>
      <c r="AR39" s="6">
        <v>37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1:64" ht="15.75" customHeight="1" x14ac:dyDescent="0.2">
      <c r="A40" s="10">
        <v>46085</v>
      </c>
      <c r="B40" s="11">
        <v>0.4571527777777778</v>
      </c>
      <c r="C40" s="1" t="s">
        <v>43</v>
      </c>
      <c r="D40" s="1" t="s">
        <v>69</v>
      </c>
      <c r="E40" s="1">
        <v>20</v>
      </c>
      <c r="F40" s="1" t="s">
        <v>46</v>
      </c>
      <c r="G40" s="1">
        <v>1</v>
      </c>
      <c r="H40" s="1">
        <v>1</v>
      </c>
      <c r="I40" s="1" t="s">
        <v>47</v>
      </c>
      <c r="J40" s="1" t="s">
        <v>48</v>
      </c>
      <c r="K40" s="1">
        <v>1.9599999999999999E-2</v>
      </c>
      <c r="L40" s="1">
        <v>0.39500000000000002</v>
      </c>
      <c r="M40" s="1">
        <v>-2.2200000000000002</v>
      </c>
      <c r="N40" s="1" t="s">
        <v>49</v>
      </c>
      <c r="O40" s="1" t="s">
        <v>50</v>
      </c>
      <c r="P40" s="1">
        <v>8.8300000000000003E-2</v>
      </c>
      <c r="Q40" s="1">
        <v>1.1200000000000001</v>
      </c>
      <c r="R40" s="1">
        <v>3.67</v>
      </c>
      <c r="S40" s="6"/>
      <c r="T40" s="6">
        <v>1</v>
      </c>
      <c r="U40" s="6">
        <v>1</v>
      </c>
      <c r="V40" s="6"/>
      <c r="W40" s="12">
        <f t="shared" si="6"/>
        <v>-2.2200000000000002</v>
      </c>
      <c r="X40" s="7">
        <f t="shared" si="7"/>
        <v>-2.2200000000000002</v>
      </c>
      <c r="Y40" s="7">
        <f t="shared" si="8"/>
        <v>-2.2200000000000002</v>
      </c>
      <c r="Z40" s="6"/>
      <c r="AA40" s="6"/>
      <c r="AB40" s="6"/>
      <c r="AC40" s="6"/>
      <c r="AD40" s="6"/>
      <c r="AE40" s="6"/>
      <c r="AF40" s="6">
        <v>1</v>
      </c>
      <c r="AG40" s="6"/>
      <c r="AH40" s="6">
        <f t="shared" si="9"/>
        <v>3.67</v>
      </c>
      <c r="AI40" s="13">
        <f t="shared" si="10"/>
        <v>3.67</v>
      </c>
      <c r="AJ40" s="13">
        <f t="shared" si="11"/>
        <v>3.67</v>
      </c>
      <c r="AK40" s="9"/>
      <c r="AL40" s="6"/>
      <c r="AM40" s="9"/>
      <c r="AN40" s="6"/>
      <c r="AO40" s="9"/>
      <c r="AP40" s="6"/>
      <c r="AQ40" s="6"/>
      <c r="AR40" s="6">
        <v>38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spans="1:64" ht="15.75" customHeight="1" x14ac:dyDescent="0.2">
      <c r="A41" s="10">
        <v>46085</v>
      </c>
      <c r="B41" s="11">
        <v>0.45804398148148145</v>
      </c>
      <c r="C41" s="1" t="s">
        <v>43</v>
      </c>
      <c r="D41" s="1" t="s">
        <v>69</v>
      </c>
      <c r="E41" s="1">
        <v>21</v>
      </c>
      <c r="F41" s="1" t="s">
        <v>46</v>
      </c>
      <c r="G41" s="1">
        <v>1</v>
      </c>
      <c r="H41" s="1">
        <v>1</v>
      </c>
      <c r="I41" s="1" t="s">
        <v>47</v>
      </c>
      <c r="J41" s="1" t="s">
        <v>48</v>
      </c>
      <c r="K41" s="1">
        <v>1.7399999999999999E-2</v>
      </c>
      <c r="L41" s="1">
        <v>0.41499999999999998</v>
      </c>
      <c r="M41" s="1">
        <v>-1.56</v>
      </c>
      <c r="N41" s="1" t="s">
        <v>49</v>
      </c>
      <c r="O41" s="1" t="s">
        <v>50</v>
      </c>
      <c r="P41" s="1">
        <v>7.3599999999999999E-2</v>
      </c>
      <c r="Q41" s="1">
        <v>0.97799999999999998</v>
      </c>
      <c r="R41" s="1">
        <v>-7.26</v>
      </c>
      <c r="S41" s="6"/>
      <c r="T41" s="6">
        <v>1</v>
      </c>
      <c r="U41" s="6">
        <v>1</v>
      </c>
      <c r="V41" s="6"/>
      <c r="W41" s="12">
        <f t="shared" si="6"/>
        <v>-1.56</v>
      </c>
      <c r="X41" s="7">
        <f t="shared" si="7"/>
        <v>-1.56</v>
      </c>
      <c r="Y41" s="7">
        <f t="shared" si="8"/>
        <v>-1.56</v>
      </c>
      <c r="Z41" s="6"/>
      <c r="AA41" s="6"/>
      <c r="AB41" s="6"/>
      <c r="AC41" s="6"/>
      <c r="AD41" s="6"/>
      <c r="AE41" s="6"/>
      <c r="AF41" s="6">
        <v>1</v>
      </c>
      <c r="AG41" s="6"/>
      <c r="AH41" s="6">
        <f t="shared" si="9"/>
        <v>-7.26</v>
      </c>
      <c r="AI41" s="13">
        <f t="shared" si="10"/>
        <v>-7.26</v>
      </c>
      <c r="AJ41" s="13">
        <f t="shared" si="11"/>
        <v>-7.26</v>
      </c>
      <c r="AK41" s="9"/>
      <c r="AL41" s="6"/>
      <c r="AM41" s="9"/>
      <c r="AN41" s="6"/>
      <c r="AO41" s="9"/>
      <c r="AP41" s="6"/>
      <c r="AQ41" s="6"/>
      <c r="AR41" s="6">
        <v>39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spans="1:64" ht="15.75" customHeight="1" x14ac:dyDescent="0.2">
      <c r="A42" s="10">
        <v>46085</v>
      </c>
      <c r="B42" s="11">
        <v>0.45893518518518517</v>
      </c>
      <c r="C42" s="1" t="s">
        <v>43</v>
      </c>
      <c r="D42" s="1" t="s">
        <v>69</v>
      </c>
      <c r="E42" s="1">
        <v>22</v>
      </c>
      <c r="F42" s="1" t="s">
        <v>46</v>
      </c>
      <c r="G42" s="1">
        <v>1</v>
      </c>
      <c r="H42" s="1">
        <v>1</v>
      </c>
      <c r="I42" s="1" t="s">
        <v>47</v>
      </c>
      <c r="J42" s="1" t="s">
        <v>48</v>
      </c>
      <c r="K42" s="1">
        <v>2.12E-2</v>
      </c>
      <c r="L42" s="1">
        <v>0.48599999999999999</v>
      </c>
      <c r="M42" s="1">
        <v>0.81100000000000005</v>
      </c>
      <c r="N42" s="1" t="s">
        <v>49</v>
      </c>
      <c r="O42" s="1" t="s">
        <v>50</v>
      </c>
      <c r="P42" s="1">
        <v>7.51E-2</v>
      </c>
      <c r="Q42" s="1">
        <v>0.94399999999999995</v>
      </c>
      <c r="R42" s="1">
        <v>-9.93</v>
      </c>
      <c r="S42" s="6"/>
      <c r="T42" s="6">
        <v>1</v>
      </c>
      <c r="U42" s="6">
        <v>1</v>
      </c>
      <c r="V42" s="6"/>
      <c r="W42" s="12">
        <f t="shared" si="6"/>
        <v>0.81100000000000005</v>
      </c>
      <c r="X42" s="7">
        <f t="shared" si="7"/>
        <v>0.81100000000000005</v>
      </c>
      <c r="Y42" s="7">
        <f t="shared" si="8"/>
        <v>0.81100000000000005</v>
      </c>
      <c r="Z42" s="6"/>
      <c r="AA42" s="6"/>
      <c r="AB42" s="6"/>
      <c r="AC42" s="6"/>
      <c r="AD42" s="6"/>
      <c r="AE42" s="6"/>
      <c r="AF42" s="6">
        <v>1</v>
      </c>
      <c r="AG42" s="6"/>
      <c r="AH42" s="6">
        <f t="shared" si="9"/>
        <v>-9.93</v>
      </c>
      <c r="AI42" s="13">
        <f t="shared" si="10"/>
        <v>-9.93</v>
      </c>
      <c r="AJ42" s="13">
        <f t="shared" si="11"/>
        <v>-9.93</v>
      </c>
      <c r="AK42" s="9"/>
      <c r="AL42" s="6"/>
      <c r="AM42" s="9"/>
      <c r="AN42" s="6"/>
      <c r="AO42" s="9"/>
      <c r="AP42" s="6"/>
      <c r="AQ42" s="6"/>
      <c r="AR42" s="6">
        <v>40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4" ht="15.75" customHeight="1" x14ac:dyDescent="0.2">
      <c r="A43" s="10">
        <v>46085</v>
      </c>
      <c r="B43" s="11">
        <v>0.45981481481481479</v>
      </c>
      <c r="C43" s="1" t="s">
        <v>43</v>
      </c>
      <c r="D43" s="1" t="s">
        <v>69</v>
      </c>
      <c r="E43" s="1">
        <v>23</v>
      </c>
      <c r="F43" s="1" t="s">
        <v>46</v>
      </c>
      <c r="G43" s="1">
        <v>1</v>
      </c>
      <c r="H43" s="1">
        <v>1</v>
      </c>
      <c r="I43" s="1" t="s">
        <v>47</v>
      </c>
      <c r="J43" s="1" t="s">
        <v>48</v>
      </c>
      <c r="K43" s="1">
        <v>2.0199999999999999E-2</v>
      </c>
      <c r="L43" s="1">
        <v>0.44600000000000001</v>
      </c>
      <c r="M43" s="1">
        <v>-0.53300000000000003</v>
      </c>
      <c r="N43" s="1" t="s">
        <v>49</v>
      </c>
      <c r="O43" s="1" t="s">
        <v>50</v>
      </c>
      <c r="P43" s="1">
        <v>7.9799999999999996E-2</v>
      </c>
      <c r="Q43" s="1">
        <v>1.1200000000000001</v>
      </c>
      <c r="R43" s="1">
        <v>3.8</v>
      </c>
      <c r="S43" s="6"/>
      <c r="T43" s="6">
        <v>1</v>
      </c>
      <c r="U43" s="6">
        <v>1</v>
      </c>
      <c r="V43" s="6"/>
      <c r="W43" s="12">
        <f t="shared" si="6"/>
        <v>-0.53300000000000003</v>
      </c>
      <c r="X43" s="7">
        <f t="shared" si="7"/>
        <v>-0.53300000000000003</v>
      </c>
      <c r="Y43" s="7">
        <f t="shared" si="8"/>
        <v>-0.53300000000000003</v>
      </c>
      <c r="Z43" s="6"/>
      <c r="AA43" s="6"/>
      <c r="AB43" s="6"/>
      <c r="AC43" s="6"/>
      <c r="AD43" s="6"/>
      <c r="AE43" s="6"/>
      <c r="AF43" s="6">
        <v>1</v>
      </c>
      <c r="AG43" s="6"/>
      <c r="AH43" s="6">
        <f t="shared" si="9"/>
        <v>3.8</v>
      </c>
      <c r="AI43" s="13">
        <f t="shared" si="10"/>
        <v>3.8</v>
      </c>
      <c r="AJ43" s="13">
        <f t="shared" si="11"/>
        <v>3.8</v>
      </c>
      <c r="AK43" s="9"/>
      <c r="AL43" s="6"/>
      <c r="AM43" s="9"/>
      <c r="AN43" s="6"/>
      <c r="AO43" s="9"/>
      <c r="AP43" s="6"/>
      <c r="AQ43" s="6"/>
      <c r="AR43" s="6">
        <v>41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4" ht="15.75" customHeight="1" x14ac:dyDescent="0.2">
      <c r="A44" s="10">
        <v>46085</v>
      </c>
      <c r="B44" s="11">
        <v>0.46069444444444446</v>
      </c>
      <c r="C44" s="1" t="s">
        <v>43</v>
      </c>
      <c r="D44" s="1" t="s">
        <v>70</v>
      </c>
      <c r="E44" s="1">
        <v>24</v>
      </c>
      <c r="F44" s="1" t="s">
        <v>46</v>
      </c>
      <c r="G44" s="1">
        <v>1</v>
      </c>
      <c r="H44" s="1">
        <v>1</v>
      </c>
      <c r="I44" s="1" t="s">
        <v>47</v>
      </c>
      <c r="J44" s="1" t="s">
        <v>48</v>
      </c>
      <c r="K44" s="1">
        <v>8.5599999999999996E-2</v>
      </c>
      <c r="L44" s="1">
        <v>1.64</v>
      </c>
      <c r="M44" s="1">
        <v>40.4</v>
      </c>
      <c r="N44" s="1" t="s">
        <v>49</v>
      </c>
      <c r="O44" s="1" t="s">
        <v>50</v>
      </c>
      <c r="P44" s="1">
        <v>0.56399999999999995</v>
      </c>
      <c r="Q44" s="1">
        <v>6.09</v>
      </c>
      <c r="R44" s="1">
        <v>391</v>
      </c>
      <c r="S44" s="6"/>
      <c r="T44" s="6">
        <v>1</v>
      </c>
      <c r="U44" s="6">
        <v>1</v>
      </c>
      <c r="V44" s="6"/>
      <c r="W44" s="12">
        <f t="shared" si="6"/>
        <v>40.4</v>
      </c>
      <c r="X44" s="7">
        <f t="shared" si="7"/>
        <v>40.4</v>
      </c>
      <c r="Y44" s="7">
        <f t="shared" si="8"/>
        <v>40.4</v>
      </c>
      <c r="Z44" s="6"/>
      <c r="AA44" s="6"/>
      <c r="AB44" s="6"/>
      <c r="AC44" s="6"/>
      <c r="AD44" s="6"/>
      <c r="AE44" s="6"/>
      <c r="AF44" s="6">
        <v>1</v>
      </c>
      <c r="AG44" s="6"/>
      <c r="AH44" s="6">
        <f t="shared" si="9"/>
        <v>391</v>
      </c>
      <c r="AI44" s="13">
        <f t="shared" si="10"/>
        <v>391</v>
      </c>
      <c r="AJ44" s="13">
        <f t="shared" si="11"/>
        <v>391</v>
      </c>
      <c r="AK44" s="9"/>
      <c r="AL44" s="6"/>
      <c r="AM44" s="9"/>
      <c r="AN44" s="6"/>
      <c r="AO44" s="9"/>
      <c r="AP44" s="6"/>
      <c r="AQ44" s="6"/>
      <c r="AR44" s="6">
        <v>42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4" ht="15.75" customHeight="1" x14ac:dyDescent="0.2">
      <c r="A45" s="10">
        <v>46085</v>
      </c>
      <c r="B45" s="11">
        <v>0.46158564814814818</v>
      </c>
      <c r="C45" s="1" t="s">
        <v>43</v>
      </c>
      <c r="D45" s="1" t="s">
        <v>70</v>
      </c>
      <c r="E45" s="1">
        <v>25</v>
      </c>
      <c r="F45" s="1" t="s">
        <v>46</v>
      </c>
      <c r="G45" s="1">
        <v>1</v>
      </c>
      <c r="H45" s="1">
        <v>1</v>
      </c>
      <c r="I45" s="1" t="s">
        <v>47</v>
      </c>
      <c r="J45" s="1" t="s">
        <v>48</v>
      </c>
      <c r="K45" s="1">
        <v>8.5800000000000001E-2</v>
      </c>
      <c r="L45" s="1">
        <v>1.59</v>
      </c>
      <c r="M45" s="1">
        <v>38.5</v>
      </c>
      <c r="N45" s="1" t="s">
        <v>49</v>
      </c>
      <c r="O45" s="1" t="s">
        <v>50</v>
      </c>
      <c r="P45" s="1">
        <v>0.58599999999999997</v>
      </c>
      <c r="Q45" s="1">
        <v>6.32</v>
      </c>
      <c r="R45" s="1">
        <v>409</v>
      </c>
      <c r="S45" s="6"/>
      <c r="T45" s="6">
        <v>1</v>
      </c>
      <c r="U45" s="6">
        <v>1</v>
      </c>
      <c r="V45" s="6"/>
      <c r="W45" s="12">
        <f t="shared" si="6"/>
        <v>38.5</v>
      </c>
      <c r="X45" s="7">
        <f t="shared" si="7"/>
        <v>38.5</v>
      </c>
      <c r="Y45" s="7">
        <f t="shared" si="8"/>
        <v>38.5</v>
      </c>
      <c r="Z45" s="6"/>
      <c r="AA45" s="6"/>
      <c r="AB45" s="6"/>
      <c r="AC45" s="6"/>
      <c r="AD45" s="6"/>
      <c r="AE45" s="6"/>
      <c r="AF45" s="6">
        <v>1</v>
      </c>
      <c r="AG45" s="6"/>
      <c r="AH45" s="6">
        <f t="shared" si="9"/>
        <v>409</v>
      </c>
      <c r="AI45" s="13">
        <f t="shared" si="10"/>
        <v>409</v>
      </c>
      <c r="AJ45" s="13">
        <f t="shared" si="11"/>
        <v>409</v>
      </c>
      <c r="AK45" s="9"/>
      <c r="AL45" s="6"/>
      <c r="AM45" s="9"/>
      <c r="AN45" s="6"/>
      <c r="AO45" s="9"/>
      <c r="AP45" s="6"/>
      <c r="AQ45" s="6"/>
      <c r="AR45" s="6">
        <v>43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4" ht="15.75" customHeight="1" x14ac:dyDescent="0.2">
      <c r="A46" s="10">
        <v>46085</v>
      </c>
      <c r="B46" s="11">
        <v>0.46246527777777779</v>
      </c>
      <c r="C46" s="1" t="s">
        <v>43</v>
      </c>
      <c r="D46" s="1" t="s">
        <v>70</v>
      </c>
      <c r="E46" s="1">
        <v>26</v>
      </c>
      <c r="F46" s="1" t="s">
        <v>46</v>
      </c>
      <c r="G46" s="1">
        <v>1</v>
      </c>
      <c r="H46" s="1">
        <v>1</v>
      </c>
      <c r="I46" s="1" t="s">
        <v>47</v>
      </c>
      <c r="J46" s="1" t="s">
        <v>48</v>
      </c>
      <c r="K46" s="1">
        <v>8.5400000000000004E-2</v>
      </c>
      <c r="L46" s="1">
        <v>1.62</v>
      </c>
      <c r="M46" s="1">
        <v>39.5</v>
      </c>
      <c r="N46" s="1" t="s">
        <v>49</v>
      </c>
      <c r="O46" s="1" t="s">
        <v>50</v>
      </c>
      <c r="P46" s="1">
        <v>0.53800000000000003</v>
      </c>
      <c r="Q46" s="1">
        <v>5.85</v>
      </c>
      <c r="R46" s="1">
        <v>372</v>
      </c>
      <c r="S46" s="6"/>
      <c r="T46" s="6">
        <v>1</v>
      </c>
      <c r="U46" s="6">
        <v>1</v>
      </c>
      <c r="V46" s="6"/>
      <c r="W46" s="12">
        <f t="shared" si="6"/>
        <v>39.5</v>
      </c>
      <c r="X46" s="7">
        <f t="shared" si="7"/>
        <v>39.5</v>
      </c>
      <c r="Y46" s="7">
        <f t="shared" si="8"/>
        <v>39.5</v>
      </c>
      <c r="Z46" s="6"/>
      <c r="AA46" s="6"/>
      <c r="AB46" s="6"/>
      <c r="AC46" s="6"/>
      <c r="AD46" s="6"/>
      <c r="AE46" s="6"/>
      <c r="AF46" s="6">
        <v>1</v>
      </c>
      <c r="AG46" s="6"/>
      <c r="AH46" s="6">
        <f t="shared" si="9"/>
        <v>372</v>
      </c>
      <c r="AI46" s="13">
        <f t="shared" si="10"/>
        <v>372</v>
      </c>
      <c r="AJ46" s="13">
        <f t="shared" si="11"/>
        <v>372</v>
      </c>
      <c r="AK46" s="9"/>
      <c r="AL46" s="6"/>
      <c r="AM46" s="9"/>
      <c r="AN46" s="6"/>
      <c r="AO46" s="9"/>
      <c r="AP46" s="6"/>
      <c r="AQ46" s="6"/>
      <c r="AR46" s="6">
        <v>44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1:64" ht="15.75" customHeight="1" x14ac:dyDescent="0.2">
      <c r="A47" s="10">
        <v>46085</v>
      </c>
      <c r="B47" s="11">
        <v>0.46334490740740741</v>
      </c>
      <c r="C47" s="1" t="s">
        <v>43</v>
      </c>
      <c r="D47" s="1" t="s">
        <v>70</v>
      </c>
      <c r="E47" s="1">
        <v>27</v>
      </c>
      <c r="F47" s="1" t="s">
        <v>46</v>
      </c>
      <c r="G47" s="1">
        <v>1</v>
      </c>
      <c r="H47" s="1">
        <v>1</v>
      </c>
      <c r="I47" s="1" t="s">
        <v>47</v>
      </c>
      <c r="J47" s="1" t="s">
        <v>48</v>
      </c>
      <c r="K47" s="1">
        <v>8.2400000000000001E-2</v>
      </c>
      <c r="L47" s="1">
        <v>1.56</v>
      </c>
      <c r="M47" s="1">
        <v>37.5</v>
      </c>
      <c r="N47" s="1" t="s">
        <v>49</v>
      </c>
      <c r="O47" s="1" t="s">
        <v>50</v>
      </c>
      <c r="P47" s="1">
        <v>0.55700000000000005</v>
      </c>
      <c r="Q47" s="1">
        <v>6.13</v>
      </c>
      <c r="R47" s="1">
        <v>394</v>
      </c>
      <c r="S47" s="6"/>
      <c r="T47" s="6">
        <v>1</v>
      </c>
      <c r="U47" s="6">
        <v>1</v>
      </c>
      <c r="V47" s="6"/>
      <c r="W47" s="12">
        <f t="shared" si="6"/>
        <v>37.5</v>
      </c>
      <c r="X47" s="7">
        <f t="shared" si="7"/>
        <v>37.5</v>
      </c>
      <c r="Y47" s="7">
        <f t="shared" si="8"/>
        <v>37.5</v>
      </c>
      <c r="Z47" s="6"/>
      <c r="AA47" s="6"/>
      <c r="AB47" s="6"/>
      <c r="AC47" s="6"/>
      <c r="AD47" s="6"/>
      <c r="AE47" s="6"/>
      <c r="AF47" s="6">
        <v>1</v>
      </c>
      <c r="AG47" s="6"/>
      <c r="AH47" s="6">
        <f t="shared" si="9"/>
        <v>394</v>
      </c>
      <c r="AI47" s="13">
        <f t="shared" si="10"/>
        <v>394</v>
      </c>
      <c r="AJ47" s="13">
        <f t="shared" si="11"/>
        <v>394</v>
      </c>
      <c r="AK47" s="9"/>
      <c r="AL47" s="6"/>
      <c r="AM47" s="9"/>
      <c r="AN47" s="6"/>
      <c r="AO47" s="9"/>
      <c r="AP47" s="6"/>
      <c r="AQ47" s="6"/>
      <c r="AR47" s="6">
        <v>45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4" ht="15.75" customHeight="1" x14ac:dyDescent="0.2">
      <c r="A48" s="10">
        <v>46085</v>
      </c>
      <c r="B48" s="11">
        <v>0.46422453703703703</v>
      </c>
      <c r="C48" s="1" t="s">
        <v>43</v>
      </c>
      <c r="D48" s="1" t="s">
        <v>70</v>
      </c>
      <c r="E48" s="1">
        <v>28</v>
      </c>
      <c r="F48" s="1" t="s">
        <v>46</v>
      </c>
      <c r="G48" s="1">
        <v>1</v>
      </c>
      <c r="H48" s="1">
        <v>1</v>
      </c>
      <c r="I48" s="1" t="s">
        <v>47</v>
      </c>
      <c r="J48" s="1" t="s">
        <v>48</v>
      </c>
      <c r="K48" s="1">
        <v>8.4500000000000006E-2</v>
      </c>
      <c r="L48" s="1">
        <v>1.67</v>
      </c>
      <c r="M48" s="1">
        <v>41.4</v>
      </c>
      <c r="N48" s="1" t="s">
        <v>49</v>
      </c>
      <c r="O48" s="1" t="s">
        <v>50</v>
      </c>
      <c r="P48" s="1">
        <v>0.59899999999999998</v>
      </c>
      <c r="Q48" s="1">
        <v>6.45</v>
      </c>
      <c r="R48" s="1">
        <v>418</v>
      </c>
      <c r="S48" s="6"/>
      <c r="T48" s="6">
        <v>1</v>
      </c>
      <c r="U48" s="6">
        <v>1</v>
      </c>
      <c r="V48" s="6"/>
      <c r="W48" s="12">
        <f t="shared" si="6"/>
        <v>41.4</v>
      </c>
      <c r="X48" s="7">
        <f t="shared" si="7"/>
        <v>41.4</v>
      </c>
      <c r="Y48" s="7">
        <f t="shared" si="8"/>
        <v>41.4</v>
      </c>
      <c r="Z48" s="6"/>
      <c r="AA48" s="6"/>
      <c r="AB48" s="6"/>
      <c r="AC48" s="6"/>
      <c r="AD48" s="6"/>
      <c r="AE48" s="6"/>
      <c r="AF48" s="6">
        <v>1</v>
      </c>
      <c r="AG48" s="6"/>
      <c r="AH48" s="6">
        <f t="shared" si="9"/>
        <v>418</v>
      </c>
      <c r="AI48" s="13">
        <f t="shared" si="10"/>
        <v>418</v>
      </c>
      <c r="AJ48" s="13">
        <f t="shared" si="11"/>
        <v>418</v>
      </c>
      <c r="AK48" s="9"/>
      <c r="AL48" s="6"/>
      <c r="AM48" s="9"/>
      <c r="AN48" s="6"/>
      <c r="AO48" s="9"/>
      <c r="AP48" s="6"/>
      <c r="AQ48" s="6"/>
      <c r="AR48" s="6">
        <v>46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 ht="15.75" customHeight="1" x14ac:dyDescent="0.2">
      <c r="A49" s="10">
        <v>46085</v>
      </c>
      <c r="B49" s="11">
        <v>0.46510416666666665</v>
      </c>
      <c r="C49" s="1" t="s">
        <v>43</v>
      </c>
      <c r="D49" s="1" t="s">
        <v>71</v>
      </c>
      <c r="E49" s="1">
        <v>29</v>
      </c>
      <c r="F49" s="1" t="s">
        <v>46</v>
      </c>
      <c r="G49" s="1">
        <v>1</v>
      </c>
      <c r="H49" s="1">
        <v>1</v>
      </c>
      <c r="I49" s="1" t="s">
        <v>47</v>
      </c>
      <c r="J49" s="1" t="s">
        <v>48</v>
      </c>
      <c r="K49" s="1">
        <v>7.2099999999999997E-2</v>
      </c>
      <c r="L49" s="1">
        <v>1.05</v>
      </c>
      <c r="M49" s="1">
        <v>20</v>
      </c>
      <c r="N49" s="1" t="s">
        <v>49</v>
      </c>
      <c r="O49" s="1" t="s">
        <v>50</v>
      </c>
      <c r="P49" s="1">
        <v>0.39200000000000002</v>
      </c>
      <c r="Q49" s="1">
        <v>4.3</v>
      </c>
      <c r="R49" s="1">
        <v>251</v>
      </c>
      <c r="S49" s="6"/>
      <c r="T49" s="6">
        <v>1</v>
      </c>
      <c r="U49" s="6">
        <v>2</v>
      </c>
      <c r="V49" s="6" t="s">
        <v>72</v>
      </c>
      <c r="W49" s="12">
        <f t="shared" si="6"/>
        <v>20</v>
      </c>
      <c r="X49" s="7">
        <f t="shared" si="7"/>
        <v>20</v>
      </c>
      <c r="Y49" s="7">
        <f t="shared" si="8"/>
        <v>20</v>
      </c>
      <c r="Z49" s="6"/>
      <c r="AA49" s="6"/>
      <c r="AB49" s="6"/>
      <c r="AC49" s="6"/>
      <c r="AD49" s="6"/>
      <c r="AE49" s="6"/>
      <c r="AF49" s="6">
        <v>2</v>
      </c>
      <c r="AG49" s="6" t="s">
        <v>72</v>
      </c>
      <c r="AH49" s="6">
        <f t="shared" si="9"/>
        <v>251</v>
      </c>
      <c r="AI49" s="13">
        <f t="shared" si="10"/>
        <v>251</v>
      </c>
      <c r="AJ49" s="13">
        <f t="shared" si="11"/>
        <v>251</v>
      </c>
      <c r="AK49" s="9"/>
      <c r="AL49" s="6"/>
      <c r="AM49" s="9"/>
      <c r="AN49" s="6"/>
      <c r="AO49" s="9"/>
      <c r="AP49" s="6"/>
      <c r="AQ49" s="6"/>
      <c r="AR49" s="6">
        <v>47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0" spans="1:64" ht="15.75" customHeight="1" x14ac:dyDescent="0.2">
      <c r="A50" s="10">
        <v>46085</v>
      </c>
      <c r="B50" s="11">
        <v>0.46598379629629627</v>
      </c>
      <c r="C50" s="1" t="s">
        <v>43</v>
      </c>
      <c r="D50" s="1" t="s">
        <v>71</v>
      </c>
      <c r="E50" s="1">
        <v>30</v>
      </c>
      <c r="F50" s="1" t="s">
        <v>46</v>
      </c>
      <c r="G50" s="1">
        <v>1</v>
      </c>
      <c r="H50" s="1">
        <v>1</v>
      </c>
      <c r="I50" s="1" t="s">
        <v>47</v>
      </c>
      <c r="J50" s="1" t="s">
        <v>48</v>
      </c>
      <c r="K50" s="1">
        <v>5.3100000000000001E-2</v>
      </c>
      <c r="L50" s="1">
        <v>0.93</v>
      </c>
      <c r="M50" s="1">
        <v>15.8</v>
      </c>
      <c r="N50" s="1" t="s">
        <v>49</v>
      </c>
      <c r="O50" s="1" t="s">
        <v>50</v>
      </c>
      <c r="P50" s="1">
        <v>0.42199999999999999</v>
      </c>
      <c r="Q50" s="1">
        <v>4.66</v>
      </c>
      <c r="R50" s="1">
        <v>279</v>
      </c>
      <c r="S50" s="6"/>
      <c r="T50" s="6">
        <v>1</v>
      </c>
      <c r="U50" s="6">
        <v>2</v>
      </c>
      <c r="V50" s="6" t="s">
        <v>72</v>
      </c>
      <c r="W50" s="12">
        <f t="shared" si="6"/>
        <v>15.8</v>
      </c>
      <c r="X50" s="7">
        <f t="shared" si="7"/>
        <v>15.8</v>
      </c>
      <c r="Y50" s="7">
        <f t="shared" si="8"/>
        <v>15.8</v>
      </c>
      <c r="Z50" s="6"/>
      <c r="AA50" s="6"/>
      <c r="AB50" s="6"/>
      <c r="AC50" s="6"/>
      <c r="AD50" s="6"/>
      <c r="AE50" s="6"/>
      <c r="AF50" s="6">
        <v>2</v>
      </c>
      <c r="AG50" s="6" t="s">
        <v>72</v>
      </c>
      <c r="AH50" s="6">
        <f t="shared" si="9"/>
        <v>279</v>
      </c>
      <c r="AI50" s="13">
        <f t="shared" si="10"/>
        <v>279</v>
      </c>
      <c r="AJ50" s="13">
        <f t="shared" si="11"/>
        <v>279</v>
      </c>
      <c r="AK50" s="9"/>
      <c r="AL50" s="6"/>
      <c r="AM50" s="9"/>
      <c r="AN50" s="6"/>
      <c r="AO50" s="9"/>
      <c r="AP50" s="6"/>
      <c r="AQ50" s="6"/>
      <c r="AR50" s="6">
        <v>48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</row>
    <row r="51" spans="1:64" ht="15.75" customHeight="1" x14ac:dyDescent="0.2">
      <c r="A51" s="10">
        <v>46085</v>
      </c>
      <c r="B51" s="11">
        <v>0.46687499999999998</v>
      </c>
      <c r="C51" s="1" t="s">
        <v>43</v>
      </c>
      <c r="D51" s="1" t="s">
        <v>71</v>
      </c>
      <c r="E51" s="1">
        <v>31</v>
      </c>
      <c r="F51" s="1" t="s">
        <v>46</v>
      </c>
      <c r="G51" s="1">
        <v>1</v>
      </c>
      <c r="H51" s="1">
        <v>1</v>
      </c>
      <c r="I51" s="1" t="s">
        <v>47</v>
      </c>
      <c r="J51" s="1" t="s">
        <v>48</v>
      </c>
      <c r="K51" s="1">
        <v>5.3999999999999999E-2</v>
      </c>
      <c r="L51" s="1">
        <v>1.05</v>
      </c>
      <c r="M51" s="1">
        <v>20.100000000000001</v>
      </c>
      <c r="N51" s="1" t="s">
        <v>49</v>
      </c>
      <c r="O51" s="1" t="s">
        <v>50</v>
      </c>
      <c r="P51" s="1">
        <v>0.376</v>
      </c>
      <c r="Q51" s="1">
        <v>4.09</v>
      </c>
      <c r="R51" s="1">
        <v>235</v>
      </c>
      <c r="S51" s="6"/>
      <c r="T51" s="6">
        <v>1</v>
      </c>
      <c r="U51" s="6">
        <v>2</v>
      </c>
      <c r="V51" s="6" t="s">
        <v>72</v>
      </c>
      <c r="W51" s="12">
        <f t="shared" si="6"/>
        <v>20.100000000000001</v>
      </c>
      <c r="X51" s="7">
        <f t="shared" si="7"/>
        <v>20.100000000000001</v>
      </c>
      <c r="Y51" s="7">
        <f t="shared" si="8"/>
        <v>20.100000000000001</v>
      </c>
      <c r="Z51" s="6"/>
      <c r="AA51" s="6"/>
      <c r="AB51" s="6"/>
      <c r="AC51" s="6"/>
      <c r="AD51" s="6"/>
      <c r="AE51" s="6"/>
      <c r="AF51" s="6">
        <v>2</v>
      </c>
      <c r="AG51" s="6" t="s">
        <v>72</v>
      </c>
      <c r="AH51" s="6">
        <f t="shared" si="9"/>
        <v>235</v>
      </c>
      <c r="AI51" s="13">
        <f t="shared" si="10"/>
        <v>235</v>
      </c>
      <c r="AJ51" s="13">
        <f t="shared" si="11"/>
        <v>235</v>
      </c>
      <c r="AK51" s="9"/>
      <c r="AL51" s="6"/>
      <c r="AM51" s="9"/>
      <c r="AN51" s="6"/>
      <c r="AO51" s="9"/>
      <c r="AP51" s="6"/>
      <c r="AQ51" s="6"/>
      <c r="AR51" s="6">
        <v>49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</row>
    <row r="52" spans="1:64" ht="15.75" customHeight="1" x14ac:dyDescent="0.2">
      <c r="A52" s="10">
        <v>46085</v>
      </c>
      <c r="B52" s="11">
        <v>0.46777777777777779</v>
      </c>
      <c r="C52" s="1" t="s">
        <v>43</v>
      </c>
      <c r="D52" s="1" t="s">
        <v>71</v>
      </c>
      <c r="E52" s="1">
        <v>32</v>
      </c>
      <c r="F52" s="1" t="s">
        <v>46</v>
      </c>
      <c r="G52" s="1">
        <v>1</v>
      </c>
      <c r="H52" s="1">
        <v>1</v>
      </c>
      <c r="I52" s="1" t="s">
        <v>47</v>
      </c>
      <c r="J52" s="1" t="s">
        <v>48</v>
      </c>
      <c r="K52" s="1">
        <v>6.0299999999999999E-2</v>
      </c>
      <c r="L52" s="1">
        <v>1.06</v>
      </c>
      <c r="M52" s="1">
        <v>20.2</v>
      </c>
      <c r="N52" s="1" t="s">
        <v>49</v>
      </c>
      <c r="O52" s="1" t="s">
        <v>50</v>
      </c>
      <c r="P52" s="1">
        <v>0.38800000000000001</v>
      </c>
      <c r="Q52" s="1">
        <v>4.25</v>
      </c>
      <c r="R52" s="1">
        <v>247</v>
      </c>
      <c r="S52" s="6"/>
      <c r="T52" s="6">
        <v>1</v>
      </c>
      <c r="U52" s="6">
        <v>2</v>
      </c>
      <c r="V52" s="6" t="s">
        <v>72</v>
      </c>
      <c r="W52" s="12">
        <f t="shared" si="6"/>
        <v>20.2</v>
      </c>
      <c r="X52" s="7">
        <f t="shared" si="7"/>
        <v>20.2</v>
      </c>
      <c r="Y52" s="7">
        <f t="shared" si="8"/>
        <v>20.2</v>
      </c>
      <c r="Z52" s="6"/>
      <c r="AA52" s="6"/>
      <c r="AB52" s="6"/>
      <c r="AC52" s="6"/>
      <c r="AD52" s="6"/>
      <c r="AE52" s="6"/>
      <c r="AF52" s="6">
        <v>2</v>
      </c>
      <c r="AG52" s="6" t="s">
        <v>72</v>
      </c>
      <c r="AH52" s="6">
        <f t="shared" si="9"/>
        <v>247</v>
      </c>
      <c r="AI52" s="13">
        <f t="shared" si="10"/>
        <v>247</v>
      </c>
      <c r="AJ52" s="13">
        <f t="shared" si="11"/>
        <v>247</v>
      </c>
      <c r="AK52" s="9"/>
      <c r="AL52" s="6"/>
      <c r="AM52" s="9"/>
      <c r="AN52" s="6"/>
      <c r="AO52" s="9"/>
      <c r="AP52" s="6"/>
      <c r="AQ52" s="6"/>
      <c r="AR52" s="6">
        <v>50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</row>
    <row r="53" spans="1:64" ht="15.75" customHeight="1" x14ac:dyDescent="0.2">
      <c r="A53" s="10">
        <v>46085</v>
      </c>
      <c r="B53" s="11">
        <v>0.46866898148148151</v>
      </c>
      <c r="C53" s="1" t="s">
        <v>43</v>
      </c>
      <c r="D53" s="1" t="s">
        <v>71</v>
      </c>
      <c r="E53" s="1">
        <v>33</v>
      </c>
      <c r="F53" s="1" t="s">
        <v>46</v>
      </c>
      <c r="G53" s="1">
        <v>1</v>
      </c>
      <c r="H53" s="1">
        <v>1</v>
      </c>
      <c r="I53" s="1" t="s">
        <v>47</v>
      </c>
      <c r="J53" s="1" t="s">
        <v>48</v>
      </c>
      <c r="K53" s="1">
        <v>5.7099999999999998E-2</v>
      </c>
      <c r="L53" s="1">
        <v>0.997</v>
      </c>
      <c r="M53" s="1">
        <v>18.100000000000001</v>
      </c>
      <c r="N53" s="1" t="s">
        <v>49</v>
      </c>
      <c r="O53" s="1" t="s">
        <v>50</v>
      </c>
      <c r="P53" s="1">
        <v>0.38200000000000001</v>
      </c>
      <c r="Q53" s="1">
        <v>4.2300000000000004</v>
      </c>
      <c r="R53" s="1">
        <v>246</v>
      </c>
      <c r="S53" s="6"/>
      <c r="T53" s="6">
        <v>1</v>
      </c>
      <c r="U53" s="6">
        <v>2</v>
      </c>
      <c r="V53" s="6" t="s">
        <v>72</v>
      </c>
      <c r="W53" s="12">
        <f t="shared" si="6"/>
        <v>18.100000000000001</v>
      </c>
      <c r="X53" s="7">
        <f t="shared" si="7"/>
        <v>18.100000000000001</v>
      </c>
      <c r="Y53" s="7">
        <f t="shared" si="8"/>
        <v>18.100000000000001</v>
      </c>
      <c r="Z53" s="6"/>
      <c r="AA53" s="6"/>
      <c r="AB53" s="6"/>
      <c r="AC53" s="6"/>
      <c r="AD53" s="6"/>
      <c r="AE53" s="6"/>
      <c r="AF53" s="6">
        <v>2</v>
      </c>
      <c r="AG53" s="6" t="s">
        <v>72</v>
      </c>
      <c r="AH53" s="6">
        <f t="shared" si="9"/>
        <v>246</v>
      </c>
      <c r="AI53" s="13">
        <f t="shared" si="10"/>
        <v>246</v>
      </c>
      <c r="AJ53" s="13">
        <f t="shared" si="11"/>
        <v>246</v>
      </c>
      <c r="AK53" s="9"/>
      <c r="AL53" s="6"/>
      <c r="AM53" s="9"/>
      <c r="AN53" s="6"/>
      <c r="AO53" s="9"/>
      <c r="AP53" s="6"/>
      <c r="AQ53" s="6"/>
      <c r="AR53" s="6">
        <v>51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64" ht="15.75" customHeight="1" x14ac:dyDescent="0.2">
      <c r="A54" s="10"/>
      <c r="B54" s="11"/>
      <c r="S54" s="6"/>
      <c r="T54" s="6"/>
      <c r="U54" s="6"/>
      <c r="V54" s="6"/>
      <c r="W54" s="12"/>
      <c r="X54" s="7"/>
      <c r="Y54" s="7"/>
      <c r="Z54" s="6"/>
      <c r="AA54" s="6"/>
      <c r="AB54" s="6"/>
      <c r="AC54" s="6"/>
      <c r="AD54" s="6"/>
      <c r="AE54" s="6"/>
      <c r="AF54" s="6"/>
      <c r="AG54" s="6"/>
      <c r="AH54" s="6"/>
      <c r="AI54" s="8"/>
      <c r="AJ54" s="8"/>
      <c r="AK54" s="9"/>
      <c r="AL54" s="6"/>
      <c r="AM54" s="9"/>
      <c r="AN54" s="6"/>
      <c r="AO54" s="9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64" ht="15.75" customHeight="1" x14ac:dyDescent="0.2">
      <c r="A55" s="10"/>
      <c r="B55" s="11"/>
      <c r="S55" s="6"/>
      <c r="T55" s="6"/>
      <c r="U55" s="6"/>
      <c r="V55" s="6"/>
      <c r="W55" s="12"/>
      <c r="X55" s="7"/>
      <c r="Y55" s="7"/>
      <c r="Z55" s="6"/>
      <c r="AA55" s="6"/>
      <c r="AB55" s="6"/>
      <c r="AC55" s="6"/>
      <c r="AD55" s="6"/>
      <c r="AE55" s="6"/>
      <c r="AF55" s="6"/>
      <c r="AG55" s="6"/>
      <c r="AH55" s="6"/>
      <c r="AI55" s="8"/>
      <c r="AJ55" s="8"/>
      <c r="AK55" s="9"/>
      <c r="AL55" s="6"/>
      <c r="AM55" s="9"/>
      <c r="AN55" s="6"/>
      <c r="AO55" s="9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spans="1:64" ht="15.75" customHeight="1" x14ac:dyDescent="0.2">
      <c r="A56" s="10"/>
      <c r="B56" s="11"/>
      <c r="S56" s="6"/>
      <c r="T56" s="6"/>
      <c r="U56" s="6"/>
      <c r="V56" s="6"/>
      <c r="W56" s="12"/>
      <c r="X56" s="7"/>
      <c r="Y56" s="7"/>
      <c r="Z56" s="6"/>
      <c r="AA56" s="6"/>
      <c r="AB56" s="6"/>
      <c r="AC56" s="6"/>
      <c r="AD56" s="6"/>
      <c r="AE56" s="6"/>
      <c r="AF56" s="6"/>
      <c r="AG56" s="6"/>
      <c r="AH56" s="6"/>
      <c r="AI56" s="8"/>
      <c r="AJ56" s="8"/>
      <c r="AK56" s="9"/>
      <c r="AL56" s="6"/>
      <c r="AM56" s="9"/>
      <c r="AN56" s="6"/>
      <c r="AO56" s="9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spans="1:64" ht="15.75" customHeight="1" x14ac:dyDescent="0.2">
      <c r="A57" s="10"/>
      <c r="B57" s="11"/>
      <c r="S57" s="6"/>
      <c r="T57" s="6"/>
      <c r="U57" s="6"/>
      <c r="V57" s="6"/>
      <c r="W57" s="12"/>
      <c r="X57" s="7"/>
      <c r="Y57" s="7"/>
      <c r="Z57" s="6"/>
      <c r="AA57" s="6"/>
      <c r="AB57" s="6"/>
      <c r="AC57" s="6"/>
      <c r="AD57" s="6"/>
      <c r="AE57" s="6"/>
      <c r="AF57" s="6"/>
      <c r="AG57" s="6"/>
      <c r="AH57" s="6"/>
      <c r="AI57" s="8"/>
      <c r="AJ57" s="8"/>
      <c r="AK57" s="9"/>
      <c r="AL57" s="6"/>
      <c r="AM57" s="9"/>
      <c r="AN57" s="6"/>
      <c r="AO57" s="9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1:64" ht="15.75" customHeight="1" x14ac:dyDescent="0.2">
      <c r="A58" s="10"/>
      <c r="B58" s="11"/>
      <c r="S58" s="6"/>
      <c r="T58" s="6"/>
      <c r="U58" s="6"/>
      <c r="V58" s="6"/>
      <c r="W58" s="12"/>
      <c r="X58" s="7"/>
      <c r="Y58" s="7"/>
      <c r="Z58" s="6"/>
      <c r="AA58" s="6"/>
      <c r="AB58" s="6"/>
      <c r="AC58" s="6"/>
      <c r="AD58" s="6"/>
      <c r="AE58" s="6"/>
      <c r="AF58" s="6"/>
      <c r="AG58" s="6"/>
      <c r="AH58" s="6"/>
      <c r="AI58" s="8"/>
      <c r="AJ58" s="8"/>
      <c r="AK58" s="9"/>
      <c r="AL58" s="6"/>
      <c r="AM58" s="9"/>
      <c r="AN58" s="6"/>
      <c r="AO58" s="9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 spans="1:64" ht="15.75" customHeight="1" x14ac:dyDescent="0.2">
      <c r="A59" s="10" t="s">
        <v>73</v>
      </c>
      <c r="S59" s="6"/>
      <c r="T59" s="6"/>
      <c r="U59" s="6"/>
      <c r="V59" s="6"/>
      <c r="W59" s="12"/>
      <c r="X59" s="7"/>
      <c r="Y59" s="7"/>
      <c r="Z59" s="6"/>
      <c r="AA59" s="6"/>
      <c r="AB59" s="6"/>
      <c r="AC59" s="6"/>
      <c r="AD59" s="6"/>
      <c r="AE59" s="6"/>
      <c r="AF59" s="6"/>
      <c r="AG59" s="6"/>
      <c r="AH59" s="6"/>
      <c r="AI59" s="8"/>
      <c r="AJ59" s="8"/>
      <c r="AK59" s="9"/>
      <c r="AL59" s="6"/>
      <c r="AM59" s="9"/>
      <c r="AN59" s="6"/>
      <c r="AO59" s="9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</row>
    <row r="60" spans="1:64" ht="15.75" customHeight="1" x14ac:dyDescent="0.2">
      <c r="A60" s="10">
        <v>46085</v>
      </c>
      <c r="B60" s="11">
        <v>0.46956018518518516</v>
      </c>
      <c r="C60" s="1" t="s">
        <v>43</v>
      </c>
      <c r="D60" s="1" t="s">
        <v>52</v>
      </c>
      <c r="E60" s="1">
        <v>34</v>
      </c>
      <c r="F60" s="1" t="s">
        <v>46</v>
      </c>
      <c r="G60" s="1">
        <v>1</v>
      </c>
      <c r="H60" s="1">
        <v>1</v>
      </c>
      <c r="I60" s="1" t="s">
        <v>47</v>
      </c>
      <c r="J60" s="1" t="s">
        <v>48</v>
      </c>
      <c r="K60" s="1">
        <v>0.218</v>
      </c>
      <c r="L60" s="1">
        <v>3.56</v>
      </c>
      <c r="M60" s="1">
        <v>109</v>
      </c>
      <c r="N60" s="1" t="s">
        <v>49</v>
      </c>
      <c r="O60" s="1" t="s">
        <v>50</v>
      </c>
      <c r="P60" s="1">
        <v>0.84199999999999997</v>
      </c>
      <c r="Q60" s="1">
        <v>8.85</v>
      </c>
      <c r="R60" s="1">
        <v>606</v>
      </c>
      <c r="S60" s="6"/>
      <c r="T60" s="6">
        <v>1</v>
      </c>
      <c r="U60" s="6">
        <v>1</v>
      </c>
      <c r="V60" s="6"/>
      <c r="W60" s="12">
        <f t="shared" ref="W60:W310" si="12">M60*H60</f>
        <v>109</v>
      </c>
      <c r="X60" s="7">
        <f t="shared" ref="X60:X111" si="13">W60</f>
        <v>109</v>
      </c>
      <c r="Y60" s="7">
        <f t="shared" ref="Y60:Y310" si="14">IF(T60=1,X60,(X60*T60))</f>
        <v>109</v>
      </c>
      <c r="Z60" s="6"/>
      <c r="AA60" s="6"/>
      <c r="AB60" s="9"/>
      <c r="AC60" s="6"/>
      <c r="AD60" s="6"/>
      <c r="AE60" s="6"/>
      <c r="AF60" s="6">
        <v>1</v>
      </c>
      <c r="AG60" s="6"/>
      <c r="AH60" s="6">
        <f t="shared" ref="AH60:AH310" si="15">R60*H60</f>
        <v>606</v>
      </c>
      <c r="AI60" s="13">
        <f t="shared" ref="AI60:AI111" si="16">AH60</f>
        <v>606</v>
      </c>
      <c r="AJ60" s="13">
        <f t="shared" ref="AJ60:AJ310" si="17">IF(T60=1,AI60,(AI60*T60))</f>
        <v>606</v>
      </c>
      <c r="AK60" s="9"/>
      <c r="AL60" s="6"/>
      <c r="AM60" s="9"/>
      <c r="AN60" s="6"/>
      <c r="AO60" s="9"/>
      <c r="AP60" s="6"/>
      <c r="AQ60" s="6"/>
      <c r="AR60" s="6">
        <v>54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 spans="1:64" ht="15.75" customHeight="1" x14ac:dyDescent="0.2">
      <c r="A61" s="10">
        <v>46085</v>
      </c>
      <c r="B61" s="11">
        <v>0.47045138888888888</v>
      </c>
      <c r="C61" s="1" t="s">
        <v>43</v>
      </c>
      <c r="D61" s="1" t="s">
        <v>54</v>
      </c>
      <c r="E61" s="1">
        <v>35</v>
      </c>
      <c r="F61" s="1" t="s">
        <v>46</v>
      </c>
      <c r="G61" s="1">
        <v>1</v>
      </c>
      <c r="H61" s="1">
        <v>1</v>
      </c>
      <c r="I61" s="1" t="s">
        <v>47</v>
      </c>
      <c r="J61" s="1" t="s">
        <v>48</v>
      </c>
      <c r="K61" s="1">
        <v>0.28999999999999998</v>
      </c>
      <c r="L61" s="1">
        <v>4.13</v>
      </c>
      <c r="M61" s="1">
        <v>130</v>
      </c>
      <c r="N61" s="1" t="s">
        <v>49</v>
      </c>
      <c r="O61" s="1" t="s">
        <v>50</v>
      </c>
      <c r="P61" s="1">
        <v>0.72599999999999998</v>
      </c>
      <c r="Q61" s="1">
        <v>7.8</v>
      </c>
      <c r="R61" s="1">
        <v>524</v>
      </c>
      <c r="S61" s="6"/>
      <c r="T61" s="6">
        <v>1</v>
      </c>
      <c r="U61" s="6">
        <v>1</v>
      </c>
      <c r="V61" s="6"/>
      <c r="W61" s="12">
        <f t="shared" si="12"/>
        <v>130</v>
      </c>
      <c r="X61" s="7">
        <f t="shared" si="13"/>
        <v>130</v>
      </c>
      <c r="Y61" s="7">
        <f t="shared" si="14"/>
        <v>130</v>
      </c>
      <c r="Z61" s="6"/>
      <c r="AA61" s="6"/>
      <c r="AB61" s="9"/>
      <c r="AC61" s="6"/>
      <c r="AD61" s="6"/>
      <c r="AE61" s="6"/>
      <c r="AF61" s="6">
        <v>1</v>
      </c>
      <c r="AG61" s="6"/>
      <c r="AH61" s="6">
        <f t="shared" si="15"/>
        <v>524</v>
      </c>
      <c r="AI61" s="13">
        <f t="shared" si="16"/>
        <v>524</v>
      </c>
      <c r="AJ61" s="13">
        <f t="shared" si="17"/>
        <v>524</v>
      </c>
      <c r="AK61" s="9"/>
      <c r="AL61" s="6"/>
      <c r="AM61" s="9"/>
      <c r="AN61" s="6"/>
      <c r="AO61" s="9"/>
      <c r="AP61" s="6"/>
      <c r="AQ61" s="6"/>
      <c r="AR61" s="6">
        <v>55</v>
      </c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64" ht="15.75" customHeight="1" x14ac:dyDescent="0.2">
      <c r="A62" s="10">
        <v>46085</v>
      </c>
      <c r="B62" s="11">
        <v>0.47134259259259259</v>
      </c>
      <c r="C62" s="1" t="s">
        <v>43</v>
      </c>
      <c r="D62" s="1" t="s">
        <v>56</v>
      </c>
      <c r="E62" s="1">
        <v>36</v>
      </c>
      <c r="F62" s="1" t="s">
        <v>46</v>
      </c>
      <c r="G62" s="1">
        <v>1</v>
      </c>
      <c r="H62" s="1">
        <v>1</v>
      </c>
      <c r="I62" s="1" t="s">
        <v>47</v>
      </c>
      <c r="J62" s="1" t="s">
        <v>48</v>
      </c>
      <c r="K62" s="1">
        <v>0.23699999999999999</v>
      </c>
      <c r="L62" s="1">
        <v>3.72</v>
      </c>
      <c r="M62" s="1">
        <v>115</v>
      </c>
      <c r="N62" s="1" t="s">
        <v>49</v>
      </c>
      <c r="O62" s="1" t="s">
        <v>50</v>
      </c>
      <c r="P62" s="1">
        <v>0.99099999999999999</v>
      </c>
      <c r="Q62" s="1">
        <v>10.7</v>
      </c>
      <c r="R62" s="1">
        <v>749</v>
      </c>
      <c r="S62" s="6"/>
      <c r="T62" s="6">
        <v>1</v>
      </c>
      <c r="U62" s="6">
        <v>1</v>
      </c>
      <c r="V62" s="6"/>
      <c r="W62" s="12">
        <f t="shared" si="12"/>
        <v>115</v>
      </c>
      <c r="X62" s="7">
        <f t="shared" si="13"/>
        <v>115</v>
      </c>
      <c r="Y62" s="7">
        <f t="shared" si="14"/>
        <v>115</v>
      </c>
      <c r="Z62" s="6"/>
      <c r="AA62" s="6"/>
      <c r="AB62" s="9"/>
      <c r="AC62" s="6"/>
      <c r="AD62" s="6"/>
      <c r="AE62" s="6"/>
      <c r="AF62" s="6">
        <v>1</v>
      </c>
      <c r="AG62" s="6"/>
      <c r="AH62" s="6">
        <f t="shared" si="15"/>
        <v>749</v>
      </c>
      <c r="AI62" s="13">
        <f t="shared" si="16"/>
        <v>749</v>
      </c>
      <c r="AJ62" s="13">
        <f t="shared" si="17"/>
        <v>749</v>
      </c>
      <c r="AK62" s="9"/>
      <c r="AL62" s="6"/>
      <c r="AM62" s="9"/>
      <c r="AN62" s="6"/>
      <c r="AO62" s="9"/>
      <c r="AP62" s="6"/>
      <c r="AQ62" s="6"/>
      <c r="AR62" s="6">
        <v>56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64" ht="15.75" customHeight="1" x14ac:dyDescent="0.2">
      <c r="A63" s="10">
        <v>46085</v>
      </c>
      <c r="B63" s="11">
        <v>0.47222222222222221</v>
      </c>
      <c r="C63" s="1" t="s">
        <v>43</v>
      </c>
      <c r="D63" s="1" t="s">
        <v>58</v>
      </c>
      <c r="E63" s="1">
        <v>37</v>
      </c>
      <c r="F63" s="1" t="s">
        <v>46</v>
      </c>
      <c r="G63" s="1">
        <v>1</v>
      </c>
      <c r="H63" s="1">
        <v>1</v>
      </c>
      <c r="I63" s="1" t="s">
        <v>47</v>
      </c>
      <c r="J63" s="1" t="s">
        <v>48</v>
      </c>
      <c r="K63" s="1">
        <v>8.8599999999999998E-2</v>
      </c>
      <c r="L63" s="1">
        <v>1.55</v>
      </c>
      <c r="M63" s="1">
        <v>37.299999999999997</v>
      </c>
      <c r="N63" s="1" t="s">
        <v>49</v>
      </c>
      <c r="O63" s="1" t="s">
        <v>50</v>
      </c>
      <c r="P63" s="1">
        <v>0.98</v>
      </c>
      <c r="Q63" s="1">
        <v>10.4</v>
      </c>
      <c r="R63" s="1">
        <v>726</v>
      </c>
      <c r="S63" s="6"/>
      <c r="T63" s="6">
        <v>1</v>
      </c>
      <c r="U63" s="6">
        <v>1</v>
      </c>
      <c r="V63" s="6"/>
      <c r="W63" s="12">
        <f t="shared" si="12"/>
        <v>37.299999999999997</v>
      </c>
      <c r="X63" s="7">
        <f t="shared" si="13"/>
        <v>37.299999999999997</v>
      </c>
      <c r="Y63" s="7">
        <f t="shared" si="14"/>
        <v>37.299999999999997</v>
      </c>
      <c r="Z63" s="6"/>
      <c r="AA63" s="6"/>
      <c r="AB63" s="9"/>
      <c r="AC63" s="6"/>
      <c r="AD63" s="6"/>
      <c r="AE63" s="6"/>
      <c r="AF63" s="6">
        <v>1</v>
      </c>
      <c r="AG63" s="6"/>
      <c r="AH63" s="6">
        <f t="shared" si="15"/>
        <v>726</v>
      </c>
      <c r="AI63" s="13">
        <f t="shared" si="16"/>
        <v>726</v>
      </c>
      <c r="AJ63" s="13">
        <f t="shared" si="17"/>
        <v>726</v>
      </c>
      <c r="AK63" s="9"/>
      <c r="AL63" s="6"/>
      <c r="AM63" s="9"/>
      <c r="AN63" s="6"/>
      <c r="AO63" s="9"/>
      <c r="AP63" s="6"/>
      <c r="AQ63" s="6"/>
      <c r="AR63" s="6">
        <v>57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64" ht="15.75" customHeight="1" x14ac:dyDescent="0.2">
      <c r="A64" s="10">
        <v>46085</v>
      </c>
      <c r="B64" s="11">
        <v>0.47311342592592592</v>
      </c>
      <c r="C64" s="1" t="s">
        <v>43</v>
      </c>
      <c r="D64" s="1" t="s">
        <v>74</v>
      </c>
      <c r="E64" s="1">
        <v>38</v>
      </c>
      <c r="F64" s="1" t="s">
        <v>75</v>
      </c>
      <c r="G64" s="1">
        <v>1</v>
      </c>
      <c r="H64" s="1">
        <v>1</v>
      </c>
      <c r="I64" s="1" t="s">
        <v>47</v>
      </c>
      <c r="J64" s="1" t="s">
        <v>48</v>
      </c>
      <c r="K64" s="1">
        <v>0.18</v>
      </c>
      <c r="L64" s="1">
        <v>2.96</v>
      </c>
      <c r="M64" s="1">
        <v>87</v>
      </c>
      <c r="N64" s="1" t="s">
        <v>49</v>
      </c>
      <c r="O64" s="1" t="s">
        <v>50</v>
      </c>
      <c r="P64" s="1">
        <v>1.01</v>
      </c>
      <c r="Q64" s="1">
        <v>10.7</v>
      </c>
      <c r="R64" s="1">
        <v>751</v>
      </c>
      <c r="S64" s="6"/>
      <c r="T64" s="6">
        <v>1</v>
      </c>
      <c r="U64" s="6">
        <v>1</v>
      </c>
      <c r="V64" s="6"/>
      <c r="W64" s="12">
        <f t="shared" si="12"/>
        <v>87</v>
      </c>
      <c r="X64" s="7">
        <f t="shared" si="13"/>
        <v>87</v>
      </c>
      <c r="Y64" s="7">
        <f t="shared" si="14"/>
        <v>87</v>
      </c>
      <c r="Z64" s="6"/>
      <c r="AA64" s="6"/>
      <c r="AB64" s="9"/>
      <c r="AC64" s="6"/>
      <c r="AD64" s="6"/>
      <c r="AE64" s="6"/>
      <c r="AF64" s="6">
        <v>1</v>
      </c>
      <c r="AG64" s="6"/>
      <c r="AH64" s="6">
        <f t="shared" si="15"/>
        <v>751</v>
      </c>
      <c r="AI64" s="13">
        <f t="shared" si="16"/>
        <v>751</v>
      </c>
      <c r="AJ64" s="13">
        <f t="shared" si="17"/>
        <v>751</v>
      </c>
      <c r="AK64" s="9"/>
      <c r="AL64" s="6"/>
      <c r="AM64" s="9"/>
      <c r="AN64" s="6"/>
      <c r="AO64" s="9"/>
      <c r="AP64" s="6"/>
      <c r="AQ64" s="6"/>
      <c r="AR64" s="6">
        <v>58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1:64" ht="15.75" customHeight="1" x14ac:dyDescent="0.2">
      <c r="A65" s="10">
        <v>46085</v>
      </c>
      <c r="B65" s="11">
        <v>0.47399305555555554</v>
      </c>
      <c r="C65" s="1" t="s">
        <v>43</v>
      </c>
      <c r="D65" s="1" t="s">
        <v>76</v>
      </c>
      <c r="E65" s="1">
        <v>44</v>
      </c>
      <c r="F65" s="1" t="s">
        <v>75</v>
      </c>
      <c r="G65" s="1">
        <v>1</v>
      </c>
      <c r="H65" s="1">
        <v>1</v>
      </c>
      <c r="I65" s="1" t="s">
        <v>47</v>
      </c>
      <c r="J65" s="1" t="s">
        <v>48</v>
      </c>
      <c r="K65" s="1">
        <v>0.187</v>
      </c>
      <c r="L65" s="1">
        <v>2.78</v>
      </c>
      <c r="M65" s="1">
        <v>80.5</v>
      </c>
      <c r="N65" s="1" t="s">
        <v>49</v>
      </c>
      <c r="O65" s="1" t="s">
        <v>50</v>
      </c>
      <c r="P65" s="1">
        <v>0.98599999999999999</v>
      </c>
      <c r="Q65" s="1">
        <v>10.4</v>
      </c>
      <c r="R65" s="1">
        <v>727</v>
      </c>
      <c r="S65" s="6"/>
      <c r="T65" s="6">
        <v>1</v>
      </c>
      <c r="U65" s="6">
        <v>2</v>
      </c>
      <c r="V65" s="6" t="s">
        <v>77</v>
      </c>
      <c r="W65" s="12">
        <f t="shared" si="12"/>
        <v>80.5</v>
      </c>
      <c r="X65" s="7">
        <f t="shared" si="13"/>
        <v>80.5</v>
      </c>
      <c r="Y65" s="7">
        <f t="shared" si="14"/>
        <v>80.5</v>
      </c>
      <c r="Z65" s="6"/>
      <c r="AA65" s="6"/>
      <c r="AB65" s="12">
        <f>ABS(100*ABS(Y65-Y64)/AVERAGE(Y65,Y64))</f>
        <v>7.7611940298507465</v>
      </c>
      <c r="AC65" s="14" t="str">
        <f>IF(Y65&gt;10, (IF((AND(AB65&gt;=0,AB65&lt;=20)=TRUE),"PASS","FAIL")),(IF((AND(AB65&gt;=0,AB65&lt;=50)=TRUE),"PASS","FAIL")))</f>
        <v>PASS</v>
      </c>
      <c r="AD65" s="6"/>
      <c r="AE65" s="6"/>
      <c r="AF65" s="6">
        <v>1</v>
      </c>
      <c r="AG65" s="6"/>
      <c r="AH65" s="6">
        <f t="shared" si="15"/>
        <v>727</v>
      </c>
      <c r="AI65" s="13">
        <f t="shared" si="16"/>
        <v>727</v>
      </c>
      <c r="AJ65" s="13">
        <f t="shared" si="17"/>
        <v>727</v>
      </c>
      <c r="AK65" s="9"/>
      <c r="AL65" s="6"/>
      <c r="AM65" s="12">
        <f>ABS(100*ABS(AJ65-AJ64)/AVERAGE(AJ65,AJ64))</f>
        <v>3.2476319350473615</v>
      </c>
      <c r="AN65" s="14" t="str">
        <f>IF(AJ65&gt;10, (IF((AND(AM65&gt;=0,AM65&lt;=20)=TRUE),"PASS","FAIL")),(IF((AND(AM65&gt;=0,AM65&lt;=50)=TRUE),"PASS","FAIL")))</f>
        <v>PASS</v>
      </c>
      <c r="AO65" s="9"/>
      <c r="AP65" s="6"/>
      <c r="AQ65" s="6"/>
      <c r="AR65" s="6">
        <v>59</v>
      </c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 spans="1:64" ht="15.75" customHeight="1" x14ac:dyDescent="0.2">
      <c r="A66" s="10">
        <v>46085</v>
      </c>
      <c r="B66" s="11">
        <v>0.47487268518518516</v>
      </c>
      <c r="C66" s="1" t="s">
        <v>43</v>
      </c>
      <c r="D66" s="1" t="s">
        <v>78</v>
      </c>
      <c r="E66" s="1">
        <v>39</v>
      </c>
      <c r="F66" s="1" t="s">
        <v>46</v>
      </c>
      <c r="G66" s="1">
        <v>1</v>
      </c>
      <c r="H66" s="1">
        <v>1</v>
      </c>
      <c r="I66" s="1" t="s">
        <v>47</v>
      </c>
      <c r="J66" s="1" t="s">
        <v>48</v>
      </c>
      <c r="K66" s="1">
        <v>0.28499999999999998</v>
      </c>
      <c r="L66" s="1">
        <v>4.41</v>
      </c>
      <c r="M66" s="1">
        <v>140</v>
      </c>
      <c r="N66" s="1" t="s">
        <v>49</v>
      </c>
      <c r="O66" s="1" t="s">
        <v>50</v>
      </c>
      <c r="P66" s="1">
        <v>0.39600000000000002</v>
      </c>
      <c r="Q66" s="1">
        <v>4.2699999999999996</v>
      </c>
      <c r="R66" s="1">
        <v>249</v>
      </c>
      <c r="S66" s="6"/>
      <c r="T66" s="6">
        <v>1</v>
      </c>
      <c r="U66" s="6">
        <v>1</v>
      </c>
      <c r="V66" s="6"/>
      <c r="W66" s="12">
        <f t="shared" si="12"/>
        <v>140</v>
      </c>
      <c r="X66" s="7">
        <f t="shared" si="13"/>
        <v>140</v>
      </c>
      <c r="Y66" s="7">
        <f t="shared" si="14"/>
        <v>140</v>
      </c>
      <c r="Z66" s="6"/>
      <c r="AA66" s="6"/>
      <c r="AB66" s="12"/>
      <c r="AC66" s="14"/>
      <c r="AD66" s="6"/>
      <c r="AE66" s="6"/>
      <c r="AF66" s="6">
        <v>1</v>
      </c>
      <c r="AG66" s="6"/>
      <c r="AH66" s="6">
        <f t="shared" si="15"/>
        <v>249</v>
      </c>
      <c r="AI66" s="13">
        <f t="shared" si="16"/>
        <v>249</v>
      </c>
      <c r="AJ66" s="13">
        <f t="shared" si="17"/>
        <v>249</v>
      </c>
      <c r="AK66" s="9"/>
      <c r="AL66" s="6"/>
      <c r="AM66" s="12"/>
      <c r="AN66" s="14"/>
      <c r="AO66" s="9"/>
      <c r="AP66" s="6"/>
      <c r="AQ66" s="6"/>
      <c r="AR66" s="6">
        <v>60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1:64" ht="15.75" customHeight="1" x14ac:dyDescent="0.2">
      <c r="A67" s="10">
        <v>46085</v>
      </c>
      <c r="B67" s="11">
        <v>0.47575231481481484</v>
      </c>
      <c r="C67" s="1" t="s">
        <v>43</v>
      </c>
      <c r="D67" s="1" t="s">
        <v>79</v>
      </c>
      <c r="E67" s="1">
        <v>40</v>
      </c>
      <c r="F67" s="1" t="s">
        <v>46</v>
      </c>
      <c r="G67" s="1">
        <v>1</v>
      </c>
      <c r="H67" s="1">
        <v>1</v>
      </c>
      <c r="I67" s="1" t="s">
        <v>47</v>
      </c>
      <c r="J67" s="1" t="s">
        <v>48</v>
      </c>
      <c r="K67" s="1">
        <v>0.16900000000000001</v>
      </c>
      <c r="L67" s="1">
        <v>2.83</v>
      </c>
      <c r="M67" s="1">
        <v>82.4</v>
      </c>
      <c r="N67" s="1" t="s">
        <v>49</v>
      </c>
      <c r="O67" s="1" t="s">
        <v>50</v>
      </c>
      <c r="P67" s="1">
        <v>1.06</v>
      </c>
      <c r="Q67" s="1">
        <v>11.2</v>
      </c>
      <c r="R67" s="1">
        <v>789</v>
      </c>
      <c r="S67" s="6"/>
      <c r="T67" s="6">
        <v>1</v>
      </c>
      <c r="U67" s="6">
        <v>1</v>
      </c>
      <c r="V67" s="6"/>
      <c r="W67" s="12">
        <f t="shared" si="12"/>
        <v>82.4</v>
      </c>
      <c r="X67" s="7">
        <f t="shared" si="13"/>
        <v>82.4</v>
      </c>
      <c r="Y67" s="7">
        <f t="shared" si="14"/>
        <v>82.4</v>
      </c>
      <c r="Z67" s="6"/>
      <c r="AA67" s="6"/>
      <c r="AB67" s="9"/>
      <c r="AC67" s="6"/>
      <c r="AD67" s="6"/>
      <c r="AE67" s="6"/>
      <c r="AF67" s="6">
        <v>1</v>
      </c>
      <c r="AG67" s="6"/>
      <c r="AH67" s="6">
        <f t="shared" si="15"/>
        <v>789</v>
      </c>
      <c r="AI67" s="13">
        <f t="shared" si="16"/>
        <v>789</v>
      </c>
      <c r="AJ67" s="13">
        <f t="shared" si="17"/>
        <v>789</v>
      </c>
      <c r="AK67" s="9"/>
      <c r="AL67" s="6"/>
      <c r="AM67" s="9"/>
      <c r="AN67" s="6"/>
      <c r="AO67" s="9"/>
      <c r="AP67" s="6"/>
      <c r="AQ67" s="6"/>
      <c r="AR67" s="6">
        <v>61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1:64" ht="15.75" customHeight="1" x14ac:dyDescent="0.2">
      <c r="A68" s="10">
        <v>46085</v>
      </c>
      <c r="B68" s="11">
        <v>0.47664351851851849</v>
      </c>
      <c r="C68" s="1" t="s">
        <v>43</v>
      </c>
      <c r="D68" s="1" t="s">
        <v>80</v>
      </c>
      <c r="E68" s="1">
        <v>41</v>
      </c>
      <c r="F68" s="1" t="s">
        <v>46</v>
      </c>
      <c r="G68" s="1">
        <v>1</v>
      </c>
      <c r="H68" s="1">
        <v>1</v>
      </c>
      <c r="I68" s="1" t="s">
        <v>47</v>
      </c>
      <c r="J68" s="1" t="s">
        <v>48</v>
      </c>
      <c r="K68" s="1">
        <v>5.7599999999999998E-2</v>
      </c>
      <c r="L68" s="1">
        <v>1.1599999999999999</v>
      </c>
      <c r="M68" s="1">
        <v>23.7</v>
      </c>
      <c r="N68" s="1" t="s">
        <v>49</v>
      </c>
      <c r="O68" s="1" t="s">
        <v>50</v>
      </c>
      <c r="P68" s="1">
        <v>0.67600000000000005</v>
      </c>
      <c r="Q68" s="1">
        <v>7.26</v>
      </c>
      <c r="R68" s="1">
        <v>482</v>
      </c>
      <c r="S68" s="6"/>
      <c r="T68" s="6">
        <v>1</v>
      </c>
      <c r="U68" s="6">
        <v>1</v>
      </c>
      <c r="V68" s="6"/>
      <c r="W68" s="12">
        <f t="shared" si="12"/>
        <v>23.7</v>
      </c>
      <c r="X68" s="7">
        <f t="shared" si="13"/>
        <v>23.7</v>
      </c>
      <c r="Y68" s="7">
        <f t="shared" si="14"/>
        <v>23.7</v>
      </c>
      <c r="Z68" s="6"/>
      <c r="AA68" s="6"/>
      <c r="AB68" s="12"/>
      <c r="AC68" s="14"/>
      <c r="AD68" s="6"/>
      <c r="AE68" s="6"/>
      <c r="AF68" s="6">
        <v>1</v>
      </c>
      <c r="AG68" s="6"/>
      <c r="AH68" s="6">
        <f t="shared" si="15"/>
        <v>482</v>
      </c>
      <c r="AI68" s="13">
        <f t="shared" si="16"/>
        <v>482</v>
      </c>
      <c r="AJ68" s="13">
        <f t="shared" si="17"/>
        <v>482</v>
      </c>
      <c r="AK68" s="9"/>
      <c r="AL68" s="6"/>
      <c r="AM68" s="12"/>
      <c r="AN68" s="14"/>
      <c r="AO68" s="9"/>
      <c r="AP68" s="6"/>
      <c r="AQ68" s="6"/>
      <c r="AR68" s="6">
        <v>62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64" ht="15.75" customHeight="1" x14ac:dyDescent="0.2">
      <c r="A69" s="10">
        <v>46085</v>
      </c>
      <c r="B69" s="11">
        <v>0.47752314814814817</v>
      </c>
      <c r="C69" s="1" t="s">
        <v>43</v>
      </c>
      <c r="D69" s="1" t="s">
        <v>81</v>
      </c>
      <c r="E69" s="1">
        <v>42</v>
      </c>
      <c r="F69" s="1" t="s">
        <v>46</v>
      </c>
      <c r="G69" s="1">
        <v>1</v>
      </c>
      <c r="H69" s="1">
        <v>1</v>
      </c>
      <c r="I69" s="1" t="s">
        <v>47</v>
      </c>
      <c r="J69" s="1" t="s">
        <v>48</v>
      </c>
      <c r="K69" s="1">
        <v>0.214</v>
      </c>
      <c r="L69" s="1">
        <v>3.53</v>
      </c>
      <c r="M69" s="1">
        <v>108</v>
      </c>
      <c r="N69" s="1" t="s">
        <v>49</v>
      </c>
      <c r="O69" s="1" t="s">
        <v>50</v>
      </c>
      <c r="P69" s="1">
        <v>0.65900000000000003</v>
      </c>
      <c r="Q69" s="1">
        <v>7.52</v>
      </c>
      <c r="R69" s="1">
        <v>502</v>
      </c>
      <c r="S69" s="6"/>
      <c r="T69" s="6">
        <v>1</v>
      </c>
      <c r="U69" s="6">
        <v>1</v>
      </c>
      <c r="V69" s="6"/>
      <c r="W69" s="12">
        <f t="shared" si="12"/>
        <v>108</v>
      </c>
      <c r="X69" s="7">
        <f t="shared" si="13"/>
        <v>108</v>
      </c>
      <c r="Y69" s="7">
        <f t="shared" si="14"/>
        <v>108</v>
      </c>
      <c r="Z69" s="6"/>
      <c r="AA69" s="6"/>
      <c r="AB69" s="9"/>
      <c r="AC69" s="6"/>
      <c r="AD69" s="14"/>
      <c r="AE69" s="14"/>
      <c r="AF69" s="6">
        <v>3</v>
      </c>
      <c r="AG69" s="6" t="s">
        <v>82</v>
      </c>
      <c r="AH69" s="6">
        <f t="shared" si="15"/>
        <v>502</v>
      </c>
      <c r="AI69" s="13">
        <f t="shared" si="16"/>
        <v>502</v>
      </c>
      <c r="AJ69" s="13">
        <f t="shared" si="17"/>
        <v>502</v>
      </c>
      <c r="AK69" s="9"/>
      <c r="AL69" s="6"/>
      <c r="AM69" s="9"/>
      <c r="AN69" s="6"/>
      <c r="AO69" s="12"/>
      <c r="AP69" s="14"/>
      <c r="AQ69" s="6"/>
      <c r="AR69" s="6">
        <v>63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64" ht="15.75" customHeight="1" x14ac:dyDescent="0.2">
      <c r="A70" s="10">
        <v>46085</v>
      </c>
      <c r="B70" s="11">
        <v>0.47840277777777779</v>
      </c>
      <c r="C70" s="1" t="s">
        <v>43</v>
      </c>
      <c r="D70" s="1" t="s">
        <v>83</v>
      </c>
      <c r="E70" s="1">
        <v>43</v>
      </c>
      <c r="F70" s="1" t="s">
        <v>84</v>
      </c>
      <c r="G70" s="1">
        <v>1</v>
      </c>
      <c r="H70" s="1">
        <v>1</v>
      </c>
      <c r="I70" s="1" t="s">
        <v>47</v>
      </c>
      <c r="J70" s="1" t="s">
        <v>48</v>
      </c>
      <c r="K70" s="1">
        <v>0.105</v>
      </c>
      <c r="L70" s="1">
        <v>1.94</v>
      </c>
      <c r="M70" s="1">
        <v>50.8</v>
      </c>
      <c r="N70" s="1" t="s">
        <v>49</v>
      </c>
      <c r="O70" s="1" t="s">
        <v>50</v>
      </c>
      <c r="P70" s="1">
        <v>1.07</v>
      </c>
      <c r="Q70" s="1">
        <v>11.3</v>
      </c>
      <c r="R70" s="1">
        <v>795</v>
      </c>
      <c r="S70" s="6"/>
      <c r="T70" s="6">
        <v>1</v>
      </c>
      <c r="U70" s="6">
        <v>1</v>
      </c>
      <c r="V70" s="6"/>
      <c r="W70" s="12">
        <f t="shared" si="12"/>
        <v>50.8</v>
      </c>
      <c r="X70" s="7">
        <f t="shared" si="13"/>
        <v>50.8</v>
      </c>
      <c r="Y70" s="7">
        <f t="shared" si="14"/>
        <v>50.8</v>
      </c>
      <c r="Z70" s="6"/>
      <c r="AA70" s="6"/>
      <c r="AB70" s="12"/>
      <c r="AC70" s="14"/>
      <c r="AD70" s="6"/>
      <c r="AE70" s="6"/>
      <c r="AF70" s="6">
        <v>1</v>
      </c>
      <c r="AG70" s="6"/>
      <c r="AH70" s="6">
        <f t="shared" si="15"/>
        <v>795</v>
      </c>
      <c r="AI70" s="13">
        <f t="shared" si="16"/>
        <v>795</v>
      </c>
      <c r="AJ70" s="13">
        <f t="shared" si="17"/>
        <v>795</v>
      </c>
      <c r="AK70" s="9"/>
      <c r="AL70" s="6"/>
      <c r="AM70" s="12"/>
      <c r="AN70" s="14"/>
      <c r="AO70" s="9"/>
      <c r="AP70" s="6"/>
      <c r="AQ70" s="6"/>
      <c r="AR70" s="6">
        <v>64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1:64" ht="15.75" customHeight="1" x14ac:dyDescent="0.2">
      <c r="A71" s="10">
        <v>46085</v>
      </c>
      <c r="B71" s="11">
        <v>0.47928240740740741</v>
      </c>
      <c r="C71" s="1" t="s">
        <v>43</v>
      </c>
      <c r="D71" s="1" t="s">
        <v>85</v>
      </c>
      <c r="E71" s="1">
        <v>45</v>
      </c>
      <c r="F71" s="1" t="s">
        <v>84</v>
      </c>
      <c r="G71" s="1">
        <v>1</v>
      </c>
      <c r="H71" s="1">
        <v>1</v>
      </c>
      <c r="I71" s="1" t="s">
        <v>47</v>
      </c>
      <c r="J71" s="1" t="s">
        <v>48</v>
      </c>
      <c r="K71" s="1">
        <v>3.09</v>
      </c>
      <c r="L71" s="1">
        <v>15.6</v>
      </c>
      <c r="M71" s="1">
        <v>621</v>
      </c>
      <c r="N71" s="1" t="s">
        <v>49</v>
      </c>
      <c r="O71" s="1" t="s">
        <v>50</v>
      </c>
      <c r="P71" s="1">
        <v>9.1000000000000004E-3</v>
      </c>
      <c r="Q71" s="1">
        <v>-9.7299999999999998E-2</v>
      </c>
      <c r="R71" s="1">
        <v>-91</v>
      </c>
      <c r="S71" s="6"/>
      <c r="T71" s="6">
        <v>1</v>
      </c>
      <c r="U71" s="6">
        <v>3</v>
      </c>
      <c r="V71" s="6" t="s">
        <v>86</v>
      </c>
      <c r="W71" s="12">
        <f t="shared" si="12"/>
        <v>621</v>
      </c>
      <c r="X71" s="7">
        <f t="shared" si="13"/>
        <v>621</v>
      </c>
      <c r="Y71" s="7">
        <f t="shared" si="14"/>
        <v>621</v>
      </c>
      <c r="Z71" s="6"/>
      <c r="AA71" s="6"/>
      <c r="AB71" s="9"/>
      <c r="AC71" s="6"/>
      <c r="AD71" s="14"/>
      <c r="AE71" s="14"/>
      <c r="AF71" s="6">
        <v>3</v>
      </c>
      <c r="AG71" s="6" t="s">
        <v>86</v>
      </c>
      <c r="AH71" s="6">
        <f t="shared" si="15"/>
        <v>-91</v>
      </c>
      <c r="AI71" s="13">
        <f t="shared" si="16"/>
        <v>-91</v>
      </c>
      <c r="AJ71" s="13">
        <f t="shared" si="17"/>
        <v>-91</v>
      </c>
      <c r="AK71" s="9"/>
      <c r="AL71" s="6"/>
      <c r="AM71" s="9"/>
      <c r="AN71" s="6"/>
      <c r="AO71" s="12"/>
      <c r="AP71" s="14"/>
      <c r="AQ71" s="6"/>
      <c r="AR71" s="6">
        <v>65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 spans="1:64" ht="15.75" customHeight="1" x14ac:dyDescent="0.2">
      <c r="A72" s="10">
        <v>46085</v>
      </c>
      <c r="B72" s="11">
        <v>0.48017361111111112</v>
      </c>
      <c r="C72" s="1" t="s">
        <v>43</v>
      </c>
      <c r="D72" s="1" t="s">
        <v>55</v>
      </c>
      <c r="E72" s="1" t="s">
        <v>56</v>
      </c>
      <c r="F72" s="1" t="s">
        <v>46</v>
      </c>
      <c r="G72" s="1">
        <v>1</v>
      </c>
      <c r="H72" s="1">
        <v>1</v>
      </c>
      <c r="I72" s="1" t="s">
        <v>47</v>
      </c>
      <c r="J72" s="1" t="s">
        <v>48</v>
      </c>
      <c r="K72" s="1">
        <v>0.13900000000000001</v>
      </c>
      <c r="L72" s="1">
        <v>1.32</v>
      </c>
      <c r="M72" s="1">
        <v>29.3</v>
      </c>
      <c r="N72" s="1" t="s">
        <v>49</v>
      </c>
      <c r="O72" s="1" t="s">
        <v>50</v>
      </c>
      <c r="P72" s="1">
        <v>-7.1399999999999996E-3</v>
      </c>
      <c r="Q72" s="1">
        <v>-6.4799999999999996E-2</v>
      </c>
      <c r="R72" s="1">
        <v>-88.5</v>
      </c>
      <c r="S72" s="6"/>
      <c r="T72" s="6">
        <v>1</v>
      </c>
      <c r="U72" s="6">
        <v>1</v>
      </c>
      <c r="V72" s="6"/>
      <c r="W72" s="12">
        <f t="shared" si="12"/>
        <v>29.3</v>
      </c>
      <c r="X72" s="7">
        <f t="shared" si="13"/>
        <v>29.3</v>
      </c>
      <c r="Y72" s="7">
        <f t="shared" si="14"/>
        <v>29.3</v>
      </c>
      <c r="Z72" s="6"/>
      <c r="AA72" s="6"/>
      <c r="AB72" s="12"/>
      <c r="AC72" s="14"/>
      <c r="AD72" s="14"/>
      <c r="AE72" s="14"/>
      <c r="AF72" s="6">
        <v>1</v>
      </c>
      <c r="AG72" s="6"/>
      <c r="AH72" s="6">
        <f t="shared" si="15"/>
        <v>-88.5</v>
      </c>
      <c r="AI72" s="13">
        <f t="shared" si="16"/>
        <v>-88.5</v>
      </c>
      <c r="AJ72" s="13">
        <f t="shared" si="17"/>
        <v>-88.5</v>
      </c>
      <c r="AK72" s="9"/>
      <c r="AL72" s="6"/>
      <c r="AM72" s="12"/>
      <c r="AN72" s="14"/>
      <c r="AO72" s="12"/>
      <c r="AP72" s="14"/>
      <c r="AQ72" s="6"/>
      <c r="AR72" s="6">
        <v>66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</row>
    <row r="73" spans="1:64" ht="15.75" customHeight="1" x14ac:dyDescent="0.2">
      <c r="A73" s="10">
        <v>46085</v>
      </c>
      <c r="B73" s="11">
        <v>0.48104166666666665</v>
      </c>
      <c r="C73" s="1" t="s">
        <v>43</v>
      </c>
      <c r="D73" s="1" t="s">
        <v>87</v>
      </c>
      <c r="E73" s="1">
        <v>15</v>
      </c>
      <c r="F73" s="1" t="s">
        <v>88</v>
      </c>
      <c r="G73" s="1">
        <v>1</v>
      </c>
      <c r="H73" s="1">
        <v>1</v>
      </c>
      <c r="I73" s="1" t="s">
        <v>47</v>
      </c>
      <c r="J73" s="1" t="s">
        <v>48</v>
      </c>
      <c r="K73" s="1">
        <v>5.57E-2</v>
      </c>
      <c r="L73" s="1">
        <v>1.1200000000000001</v>
      </c>
      <c r="M73" s="1">
        <v>22.2</v>
      </c>
      <c r="N73" s="1" t="s">
        <v>49</v>
      </c>
      <c r="O73" s="1" t="s">
        <v>50</v>
      </c>
      <c r="P73" s="1">
        <v>0.33300000000000002</v>
      </c>
      <c r="Q73" s="1">
        <v>3.79</v>
      </c>
      <c r="R73" s="1">
        <v>211</v>
      </c>
      <c r="S73" s="6"/>
      <c r="T73" s="6">
        <v>1</v>
      </c>
      <c r="U73" s="6">
        <v>1</v>
      </c>
      <c r="V73" s="6"/>
      <c r="W73" s="12">
        <f t="shared" si="12"/>
        <v>22.2</v>
      </c>
      <c r="X73" s="7">
        <f t="shared" si="13"/>
        <v>22.2</v>
      </c>
      <c r="Y73" s="7">
        <f t="shared" si="14"/>
        <v>22.2</v>
      </c>
      <c r="Z73" s="6">
        <f>100*(Y73-25)/25</f>
        <v>-11.200000000000003</v>
      </c>
      <c r="AA73" s="6" t="str">
        <f>IF((ABS(Z73))&lt;=20,"PASS","FAIL")</f>
        <v>PASS</v>
      </c>
      <c r="AB73" s="12"/>
      <c r="AC73" s="14"/>
      <c r="AD73" s="14"/>
      <c r="AE73" s="14"/>
      <c r="AF73" s="6">
        <v>1</v>
      </c>
      <c r="AG73" s="6"/>
      <c r="AH73" s="6">
        <f t="shared" si="15"/>
        <v>211</v>
      </c>
      <c r="AI73" s="13">
        <f t="shared" si="16"/>
        <v>211</v>
      </c>
      <c r="AJ73" s="13">
        <f t="shared" si="17"/>
        <v>211</v>
      </c>
      <c r="AK73" s="9">
        <f>100*(AJ73-250)/250</f>
        <v>-15.6</v>
      </c>
      <c r="AL73" s="6" t="str">
        <f>IF((ABS(AK73))&lt;=20,"PASS","FAIL")</f>
        <v>PASS</v>
      </c>
      <c r="AM73" s="12"/>
      <c r="AN73" s="14"/>
      <c r="AO73" s="12"/>
      <c r="AP73" s="14"/>
      <c r="AQ73" s="6"/>
      <c r="AR73" s="6">
        <v>67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</row>
    <row r="74" spans="1:64" ht="15.75" customHeight="1" x14ac:dyDescent="0.2">
      <c r="A74" s="10">
        <v>46085</v>
      </c>
      <c r="B74" s="11">
        <v>0.48193287037037036</v>
      </c>
      <c r="C74" s="1" t="s">
        <v>43</v>
      </c>
      <c r="D74" s="1" t="s">
        <v>89</v>
      </c>
      <c r="E74" s="1">
        <v>46</v>
      </c>
      <c r="F74" s="1" t="s">
        <v>46</v>
      </c>
      <c r="G74" s="1">
        <v>1</v>
      </c>
      <c r="H74" s="1">
        <v>1</v>
      </c>
      <c r="I74" s="1" t="s">
        <v>47</v>
      </c>
      <c r="J74" s="1" t="s">
        <v>48</v>
      </c>
      <c r="K74" s="1">
        <v>0.29099999999999998</v>
      </c>
      <c r="L74" s="1">
        <v>4.51</v>
      </c>
      <c r="M74" s="1">
        <v>144</v>
      </c>
      <c r="N74" s="1" t="s">
        <v>49</v>
      </c>
      <c r="O74" s="1" t="s">
        <v>50</v>
      </c>
      <c r="P74" s="1">
        <v>0.68700000000000006</v>
      </c>
      <c r="Q74" s="1">
        <v>7.43</v>
      </c>
      <c r="R74" s="1">
        <v>495</v>
      </c>
      <c r="S74" s="6"/>
      <c r="T74" s="6">
        <v>1</v>
      </c>
      <c r="U74" s="6">
        <v>1</v>
      </c>
      <c r="V74" s="6"/>
      <c r="W74" s="12">
        <f t="shared" si="12"/>
        <v>144</v>
      </c>
      <c r="X74" s="7">
        <f t="shared" si="13"/>
        <v>144</v>
      </c>
      <c r="Y74" s="7">
        <f t="shared" si="14"/>
        <v>144</v>
      </c>
      <c r="Z74" s="6"/>
      <c r="AA74" s="6"/>
      <c r="AB74" s="12"/>
      <c r="AC74" s="14"/>
      <c r="AD74" s="6"/>
      <c r="AE74" s="6"/>
      <c r="AF74" s="6">
        <v>1</v>
      </c>
      <c r="AG74" s="6"/>
      <c r="AH74" s="6">
        <f t="shared" si="15"/>
        <v>495</v>
      </c>
      <c r="AI74" s="13">
        <f t="shared" si="16"/>
        <v>495</v>
      </c>
      <c r="AJ74" s="13">
        <f t="shared" si="17"/>
        <v>495</v>
      </c>
      <c r="AK74" s="9"/>
      <c r="AL74" s="6"/>
      <c r="AM74" s="12"/>
      <c r="AN74" s="14"/>
      <c r="AO74" s="9"/>
      <c r="AP74" s="6"/>
      <c r="AQ74" s="6"/>
      <c r="AR74" s="6">
        <v>68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</row>
    <row r="75" spans="1:64" ht="15.75" customHeight="1" x14ac:dyDescent="0.2">
      <c r="A75" s="10">
        <v>46085</v>
      </c>
      <c r="B75" s="11">
        <v>0.48284722222222221</v>
      </c>
      <c r="C75" s="1" t="s">
        <v>43</v>
      </c>
      <c r="D75" s="1" t="s">
        <v>90</v>
      </c>
      <c r="E75" s="1">
        <v>47</v>
      </c>
      <c r="F75" s="1" t="s">
        <v>46</v>
      </c>
      <c r="G75" s="1">
        <v>1</v>
      </c>
      <c r="H75" s="1">
        <v>1</v>
      </c>
      <c r="I75" s="1" t="s">
        <v>47</v>
      </c>
      <c r="J75" s="1" t="s">
        <v>48</v>
      </c>
      <c r="K75" s="1">
        <v>6.5000000000000002E-2</v>
      </c>
      <c r="L75" s="1">
        <v>1.18</v>
      </c>
      <c r="M75" s="1">
        <v>24.3</v>
      </c>
      <c r="N75" s="1" t="s">
        <v>49</v>
      </c>
      <c r="O75" s="1" t="s">
        <v>50</v>
      </c>
      <c r="P75" s="1">
        <v>0.48199999999999998</v>
      </c>
      <c r="Q75" s="1">
        <v>5.25</v>
      </c>
      <c r="R75" s="1">
        <v>325</v>
      </c>
      <c r="S75" s="6"/>
      <c r="T75" s="6">
        <v>1</v>
      </c>
      <c r="U75" s="6">
        <v>1</v>
      </c>
      <c r="V75" s="6"/>
      <c r="W75" s="12">
        <f t="shared" si="12"/>
        <v>24.3</v>
      </c>
      <c r="X75" s="7">
        <f t="shared" si="13"/>
        <v>24.3</v>
      </c>
      <c r="Y75" s="7">
        <f t="shared" si="14"/>
        <v>24.3</v>
      </c>
      <c r="Z75" s="6"/>
      <c r="AA75" s="6"/>
      <c r="AB75" s="9"/>
      <c r="AC75" s="6"/>
      <c r="AD75" s="6"/>
      <c r="AE75" s="6"/>
      <c r="AF75" s="6">
        <v>1</v>
      </c>
      <c r="AG75" s="6"/>
      <c r="AH75" s="6">
        <f t="shared" si="15"/>
        <v>325</v>
      </c>
      <c r="AI75" s="13">
        <f t="shared" si="16"/>
        <v>325</v>
      </c>
      <c r="AJ75" s="13">
        <f t="shared" si="17"/>
        <v>325</v>
      </c>
      <c r="AK75" s="9"/>
      <c r="AL75" s="6"/>
      <c r="AM75" s="9"/>
      <c r="AN75" s="6"/>
      <c r="AO75" s="9"/>
      <c r="AP75" s="6"/>
      <c r="AQ75" s="6"/>
      <c r="AR75" s="6">
        <v>69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</row>
    <row r="76" spans="1:64" ht="15.75" customHeight="1" x14ac:dyDescent="0.2">
      <c r="A76" s="10">
        <v>46085</v>
      </c>
      <c r="B76" s="11">
        <v>0.48373842592592592</v>
      </c>
      <c r="C76" s="1" t="s">
        <v>43</v>
      </c>
      <c r="D76" s="1" t="s">
        <v>91</v>
      </c>
      <c r="E76" s="1">
        <v>48</v>
      </c>
      <c r="F76" s="1" t="s">
        <v>46</v>
      </c>
      <c r="G76" s="1">
        <v>1</v>
      </c>
      <c r="H76" s="1">
        <v>1</v>
      </c>
      <c r="I76" s="1" t="s">
        <v>47</v>
      </c>
      <c r="J76" s="1" t="s">
        <v>48</v>
      </c>
      <c r="K76" s="1">
        <v>0.214</v>
      </c>
      <c r="L76" s="1">
        <v>3.55</v>
      </c>
      <c r="M76" s="1">
        <v>109</v>
      </c>
      <c r="N76" s="1" t="s">
        <v>49</v>
      </c>
      <c r="O76" s="1" t="s">
        <v>50</v>
      </c>
      <c r="P76" s="1">
        <v>0.34100000000000003</v>
      </c>
      <c r="Q76" s="1">
        <v>3.95</v>
      </c>
      <c r="R76" s="1">
        <v>224</v>
      </c>
      <c r="S76" s="6"/>
      <c r="T76" s="6">
        <v>1</v>
      </c>
      <c r="U76" s="6">
        <v>1</v>
      </c>
      <c r="V76" s="6"/>
      <c r="W76" s="12">
        <f t="shared" si="12"/>
        <v>109</v>
      </c>
      <c r="X76" s="7">
        <f t="shared" si="13"/>
        <v>109</v>
      </c>
      <c r="Y76" s="7">
        <f t="shared" si="14"/>
        <v>109</v>
      </c>
      <c r="Z76" s="6"/>
      <c r="AA76" s="6"/>
      <c r="AB76" s="12"/>
      <c r="AC76" s="14"/>
      <c r="AD76" s="14"/>
      <c r="AE76" s="14"/>
      <c r="AF76" s="6">
        <v>1</v>
      </c>
      <c r="AG76" s="6"/>
      <c r="AH76" s="6">
        <f t="shared" si="15"/>
        <v>224</v>
      </c>
      <c r="AI76" s="13">
        <f t="shared" si="16"/>
        <v>224</v>
      </c>
      <c r="AJ76" s="13">
        <f t="shared" si="17"/>
        <v>224</v>
      </c>
      <c r="AK76" s="9"/>
      <c r="AL76" s="6"/>
      <c r="AM76" s="12"/>
      <c r="AN76" s="14"/>
      <c r="AO76" s="9"/>
      <c r="AP76" s="6"/>
      <c r="AQ76" s="6"/>
      <c r="AR76" s="6">
        <v>70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</row>
    <row r="77" spans="1:64" ht="15.75" customHeight="1" x14ac:dyDescent="0.2">
      <c r="A77" s="10">
        <v>46085</v>
      </c>
      <c r="B77" s="11">
        <v>0.48462962962962963</v>
      </c>
      <c r="C77" s="1" t="s">
        <v>43</v>
      </c>
      <c r="D77" s="1" t="s">
        <v>92</v>
      </c>
      <c r="E77" s="1">
        <v>49</v>
      </c>
      <c r="F77" s="1" t="s">
        <v>46</v>
      </c>
      <c r="G77" s="1">
        <v>1</v>
      </c>
      <c r="H77" s="1">
        <v>1</v>
      </c>
      <c r="I77" s="1" t="s">
        <v>47</v>
      </c>
      <c r="J77" s="1" t="s">
        <v>48</v>
      </c>
      <c r="K77" s="1">
        <v>0.11600000000000001</v>
      </c>
      <c r="L77" s="1">
        <v>2.0699999999999998</v>
      </c>
      <c r="M77" s="1">
        <v>55.2</v>
      </c>
      <c r="N77" s="1" t="s">
        <v>49</v>
      </c>
      <c r="O77" s="1" t="s">
        <v>50</v>
      </c>
      <c r="P77" s="1">
        <v>0.75800000000000001</v>
      </c>
      <c r="Q77" s="1">
        <v>7.9</v>
      </c>
      <c r="R77" s="1">
        <v>531</v>
      </c>
      <c r="S77" s="6"/>
      <c r="T77" s="6">
        <v>1</v>
      </c>
      <c r="U77" s="6">
        <v>1</v>
      </c>
      <c r="V77" s="6"/>
      <c r="W77" s="12">
        <f t="shared" si="12"/>
        <v>55.2</v>
      </c>
      <c r="X77" s="7">
        <f t="shared" si="13"/>
        <v>55.2</v>
      </c>
      <c r="Y77" s="7">
        <f t="shared" si="14"/>
        <v>55.2</v>
      </c>
      <c r="Z77" s="6"/>
      <c r="AA77" s="6"/>
      <c r="AB77" s="12"/>
      <c r="AC77" s="14"/>
      <c r="AD77" s="14"/>
      <c r="AE77" s="14"/>
      <c r="AF77" s="6">
        <v>1</v>
      </c>
      <c r="AG77" s="6"/>
      <c r="AH77" s="6">
        <f t="shared" si="15"/>
        <v>531</v>
      </c>
      <c r="AI77" s="13">
        <f t="shared" si="16"/>
        <v>531</v>
      </c>
      <c r="AJ77" s="13">
        <f t="shared" si="17"/>
        <v>531</v>
      </c>
      <c r="AK77" s="9"/>
      <c r="AL77" s="6"/>
      <c r="AM77" s="12"/>
      <c r="AN77" s="14"/>
      <c r="AO77" s="12"/>
      <c r="AP77" s="14"/>
      <c r="AQ77" s="6"/>
      <c r="AR77" s="6">
        <v>71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</row>
    <row r="78" spans="1:64" ht="15.75" customHeight="1" x14ac:dyDescent="0.2">
      <c r="A78" s="10">
        <v>46085</v>
      </c>
      <c r="B78" s="11">
        <v>0.48552083333333335</v>
      </c>
      <c r="C78" s="1" t="s">
        <v>43</v>
      </c>
      <c r="D78" s="1" t="s">
        <v>93</v>
      </c>
      <c r="E78" s="1">
        <v>50</v>
      </c>
      <c r="F78" s="1" t="s">
        <v>75</v>
      </c>
      <c r="G78" s="1">
        <v>1</v>
      </c>
      <c r="H78" s="1">
        <v>1</v>
      </c>
      <c r="I78" s="1" t="s">
        <v>47</v>
      </c>
      <c r="J78" s="1" t="s">
        <v>48</v>
      </c>
      <c r="K78" s="1">
        <v>0.21</v>
      </c>
      <c r="L78" s="1">
        <v>3.42</v>
      </c>
      <c r="M78" s="1">
        <v>104</v>
      </c>
      <c r="N78" s="1" t="s">
        <v>49</v>
      </c>
      <c r="O78" s="1" t="s">
        <v>50</v>
      </c>
      <c r="P78" s="1">
        <v>0.74399999999999999</v>
      </c>
      <c r="Q78" s="1">
        <v>7.93</v>
      </c>
      <c r="R78" s="1">
        <v>534</v>
      </c>
      <c r="S78" s="6"/>
      <c r="T78" s="6">
        <v>1</v>
      </c>
      <c r="U78" s="6">
        <v>1</v>
      </c>
      <c r="V78" s="6"/>
      <c r="W78" s="12">
        <f t="shared" si="12"/>
        <v>104</v>
      </c>
      <c r="X78" s="7">
        <f t="shared" si="13"/>
        <v>104</v>
      </c>
      <c r="Y78" s="7">
        <f t="shared" si="14"/>
        <v>104</v>
      </c>
      <c r="Z78" s="6"/>
      <c r="AA78" s="6"/>
      <c r="AB78" s="12"/>
      <c r="AC78" s="14"/>
      <c r="AD78" s="14"/>
      <c r="AE78" s="14"/>
      <c r="AF78" s="6">
        <v>1</v>
      </c>
      <c r="AG78" s="6"/>
      <c r="AH78" s="6">
        <f t="shared" si="15"/>
        <v>534</v>
      </c>
      <c r="AI78" s="13">
        <f t="shared" si="16"/>
        <v>534</v>
      </c>
      <c r="AJ78" s="13">
        <f t="shared" si="17"/>
        <v>534</v>
      </c>
      <c r="AK78" s="9"/>
      <c r="AL78" s="6"/>
      <c r="AM78" s="12"/>
      <c r="AN78" s="14"/>
      <c r="AO78" s="12"/>
      <c r="AP78" s="14"/>
      <c r="AQ78" s="6"/>
      <c r="AR78" s="6">
        <v>72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</row>
    <row r="79" spans="1:64" ht="15.75" customHeight="1" x14ac:dyDescent="0.2">
      <c r="A79" s="10">
        <v>46085</v>
      </c>
      <c r="B79" s="11">
        <v>0.48640046296296297</v>
      </c>
      <c r="C79" s="1" t="s">
        <v>43</v>
      </c>
      <c r="D79" s="1" t="s">
        <v>94</v>
      </c>
      <c r="E79" s="1">
        <v>56</v>
      </c>
      <c r="F79" s="1" t="s">
        <v>75</v>
      </c>
      <c r="G79" s="1">
        <v>1</v>
      </c>
      <c r="H79" s="1">
        <v>1</v>
      </c>
      <c r="I79" s="1" t="s">
        <v>47</v>
      </c>
      <c r="J79" s="1" t="s">
        <v>48</v>
      </c>
      <c r="K79" s="1">
        <v>0.23599999999999999</v>
      </c>
      <c r="L79" s="1">
        <v>3.73</v>
      </c>
      <c r="M79" s="1">
        <v>115</v>
      </c>
      <c r="N79" s="1" t="s">
        <v>49</v>
      </c>
      <c r="O79" s="1" t="s">
        <v>50</v>
      </c>
      <c r="P79" s="1">
        <v>0.80100000000000005</v>
      </c>
      <c r="Q79" s="1">
        <v>8.5</v>
      </c>
      <c r="R79" s="1">
        <v>578</v>
      </c>
      <c r="S79" s="6"/>
      <c r="T79" s="6">
        <v>1</v>
      </c>
      <c r="U79" s="6">
        <v>1</v>
      </c>
      <c r="V79" s="6"/>
      <c r="W79" s="12">
        <f t="shared" si="12"/>
        <v>115</v>
      </c>
      <c r="X79" s="7">
        <f t="shared" si="13"/>
        <v>115</v>
      </c>
      <c r="Y79" s="7">
        <f t="shared" si="14"/>
        <v>115</v>
      </c>
      <c r="AB79" s="12">
        <f>ABS(100*ABS(Y79-Y78)/AVERAGE(Y79,Y78))</f>
        <v>10.045662100456621</v>
      </c>
      <c r="AC79" s="14" t="str">
        <f>IF(Y79&gt;10, (IF((AND(AB79&gt;=0,AB79&lt;=20)=TRUE),"PASS","FAIL")),(IF((AND(AB79&gt;=0,AB79&lt;=50)=TRUE),"PASS","FAIL")))</f>
        <v>PASS</v>
      </c>
      <c r="AF79" s="6">
        <v>1</v>
      </c>
      <c r="AG79" s="6"/>
      <c r="AH79" s="6">
        <f t="shared" si="15"/>
        <v>578</v>
      </c>
      <c r="AI79" s="13">
        <f t="shared" si="16"/>
        <v>578</v>
      </c>
      <c r="AJ79" s="13">
        <f t="shared" si="17"/>
        <v>578</v>
      </c>
      <c r="AK79" s="9"/>
      <c r="AL79" s="6"/>
      <c r="AM79" s="12">
        <f>ABS(100*ABS(AJ79-AJ78)/AVERAGE(AJ79,AJ78))</f>
        <v>7.9136690647482011</v>
      </c>
      <c r="AN79" s="14" t="str">
        <f>IF(AJ79&gt;10, (IF((AND(AM79&gt;=0,AM79&lt;=20)=TRUE),"PASS","FAIL")),(IF((AND(AM79&gt;=0,AM79&lt;=50)=TRUE),"PASS","FAIL")))</f>
        <v>PASS</v>
      </c>
      <c r="AO79" s="12"/>
      <c r="AQ79" s="6"/>
      <c r="AR79" s="6">
        <v>73</v>
      </c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 spans="1:64" ht="15.75" customHeight="1" x14ac:dyDescent="0.2">
      <c r="A80" s="10">
        <v>46085</v>
      </c>
      <c r="B80" s="11">
        <v>0.48729166666666668</v>
      </c>
      <c r="C80" s="1" t="s">
        <v>43</v>
      </c>
      <c r="D80" s="1" t="s">
        <v>45</v>
      </c>
      <c r="E80" s="1">
        <v>51</v>
      </c>
      <c r="F80" s="1" t="s">
        <v>46</v>
      </c>
      <c r="G80" s="1">
        <v>1</v>
      </c>
      <c r="H80" s="1">
        <v>1</v>
      </c>
      <c r="I80" s="1" t="s">
        <v>47</v>
      </c>
      <c r="J80" s="1" t="s">
        <v>48</v>
      </c>
      <c r="K80" s="1">
        <v>0.25900000000000001</v>
      </c>
      <c r="L80" s="1">
        <v>4.09</v>
      </c>
      <c r="M80" s="1">
        <v>128</v>
      </c>
      <c r="N80" s="1" t="s">
        <v>49</v>
      </c>
      <c r="O80" s="1" t="s">
        <v>50</v>
      </c>
      <c r="P80" s="1">
        <v>0.83099999999999996</v>
      </c>
      <c r="Q80" s="1">
        <v>8.6300000000000008</v>
      </c>
      <c r="R80" s="1">
        <v>588</v>
      </c>
      <c r="S80" s="6"/>
      <c r="T80" s="6">
        <v>1</v>
      </c>
      <c r="U80" s="6">
        <v>1</v>
      </c>
      <c r="V80" s="6"/>
      <c r="W80" s="12">
        <f t="shared" si="12"/>
        <v>128</v>
      </c>
      <c r="X80" s="7">
        <f t="shared" si="13"/>
        <v>128</v>
      </c>
      <c r="Y80" s="7">
        <f t="shared" si="14"/>
        <v>128</v>
      </c>
      <c r="Z80" s="6"/>
      <c r="AA80" s="6"/>
      <c r="AB80" s="12"/>
      <c r="AC80" s="14"/>
      <c r="AF80" s="6">
        <v>1</v>
      </c>
      <c r="AG80" s="6"/>
      <c r="AH80" s="6">
        <f t="shared" si="15"/>
        <v>588</v>
      </c>
      <c r="AI80" s="13">
        <f t="shared" si="16"/>
        <v>588</v>
      </c>
      <c r="AJ80" s="13">
        <f t="shared" si="17"/>
        <v>588</v>
      </c>
      <c r="AK80" s="12"/>
      <c r="AM80" s="12"/>
      <c r="AN80" s="14"/>
      <c r="AO80" s="12"/>
      <c r="AP80" s="14"/>
      <c r="AQ80" s="6"/>
      <c r="AR80" s="6">
        <v>74</v>
      </c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</row>
    <row r="81" spans="1:64" ht="15.75" customHeight="1" x14ac:dyDescent="0.2">
      <c r="A81" s="10">
        <v>46085</v>
      </c>
      <c r="B81" s="11">
        <v>0.48818287037037039</v>
      </c>
      <c r="C81" s="1" t="s">
        <v>43</v>
      </c>
      <c r="D81" s="1" t="s">
        <v>95</v>
      </c>
      <c r="E81" s="1">
        <v>52</v>
      </c>
      <c r="F81" s="1" t="s">
        <v>46</v>
      </c>
      <c r="G81" s="1">
        <v>1</v>
      </c>
      <c r="H81" s="1">
        <v>1</v>
      </c>
      <c r="I81" s="1" t="s">
        <v>47</v>
      </c>
      <c r="J81" s="1" t="s">
        <v>48</v>
      </c>
      <c r="K81" s="1">
        <v>0.123</v>
      </c>
      <c r="L81" s="1">
        <v>1.93</v>
      </c>
      <c r="M81" s="1">
        <v>50.3</v>
      </c>
      <c r="N81" s="1" t="s">
        <v>49</v>
      </c>
      <c r="O81" s="1" t="s">
        <v>50</v>
      </c>
      <c r="P81" s="1">
        <v>0.98099999999999998</v>
      </c>
      <c r="Q81" s="1">
        <v>10.3</v>
      </c>
      <c r="R81" s="1">
        <v>721</v>
      </c>
      <c r="S81" s="6"/>
      <c r="T81" s="6">
        <v>1</v>
      </c>
      <c r="U81" s="6">
        <v>1</v>
      </c>
      <c r="V81" s="6"/>
      <c r="W81" s="12">
        <f t="shared" si="12"/>
        <v>50.3</v>
      </c>
      <c r="X81" s="7">
        <f t="shared" si="13"/>
        <v>50.3</v>
      </c>
      <c r="Y81" s="7">
        <f t="shared" si="14"/>
        <v>50.3</v>
      </c>
      <c r="Z81" s="6"/>
      <c r="AA81" s="6"/>
      <c r="AB81" s="12"/>
      <c r="AC81" s="14"/>
      <c r="AD81" s="6"/>
      <c r="AE81" s="6"/>
      <c r="AF81" s="6">
        <v>1</v>
      </c>
      <c r="AG81" s="6"/>
      <c r="AH81" s="6">
        <f t="shared" si="15"/>
        <v>721</v>
      </c>
      <c r="AI81" s="13">
        <f t="shared" si="16"/>
        <v>721</v>
      </c>
      <c r="AJ81" s="13">
        <f t="shared" si="17"/>
        <v>721</v>
      </c>
      <c r="AK81" s="9"/>
      <c r="AL81" s="6"/>
      <c r="AM81" s="12"/>
      <c r="AN81" s="14"/>
      <c r="AO81" s="12"/>
      <c r="AQ81" s="6"/>
      <c r="AR81" s="6">
        <v>75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</row>
    <row r="82" spans="1:64" ht="15.75" customHeight="1" x14ac:dyDescent="0.2">
      <c r="A82" s="10">
        <v>46085</v>
      </c>
      <c r="B82" s="11">
        <v>0.48907407407407405</v>
      </c>
      <c r="C82" s="1" t="s">
        <v>43</v>
      </c>
      <c r="D82" s="1" t="s">
        <v>96</v>
      </c>
      <c r="E82" s="1">
        <v>53</v>
      </c>
      <c r="F82" s="1" t="s">
        <v>46</v>
      </c>
      <c r="G82" s="1">
        <v>1</v>
      </c>
      <c r="H82" s="1">
        <v>1</v>
      </c>
      <c r="I82" s="1" t="s">
        <v>47</v>
      </c>
      <c r="J82" s="1" t="s">
        <v>48</v>
      </c>
      <c r="K82" s="1">
        <v>0.193</v>
      </c>
      <c r="L82" s="1">
        <v>3.16</v>
      </c>
      <c r="M82" s="1">
        <v>94.4</v>
      </c>
      <c r="N82" s="1" t="s">
        <v>49</v>
      </c>
      <c r="O82" s="1" t="s">
        <v>50</v>
      </c>
      <c r="P82" s="1">
        <v>0.65</v>
      </c>
      <c r="Q82" s="1">
        <v>7.02</v>
      </c>
      <c r="R82" s="1">
        <v>463</v>
      </c>
      <c r="S82" s="6"/>
      <c r="T82" s="6">
        <v>1</v>
      </c>
      <c r="U82" s="6">
        <v>1</v>
      </c>
      <c r="V82" s="6"/>
      <c r="W82" s="12">
        <f t="shared" si="12"/>
        <v>94.4</v>
      </c>
      <c r="X82" s="7">
        <f t="shared" si="13"/>
        <v>94.4</v>
      </c>
      <c r="Y82" s="7">
        <f t="shared" si="14"/>
        <v>94.4</v>
      </c>
      <c r="Z82" s="6"/>
      <c r="AA82" s="6"/>
      <c r="AB82" s="9"/>
      <c r="AC82" s="6"/>
      <c r="AD82" s="14"/>
      <c r="AE82" s="14"/>
      <c r="AF82" s="6">
        <v>1</v>
      </c>
      <c r="AG82" s="6"/>
      <c r="AH82" s="6">
        <f t="shared" si="15"/>
        <v>463</v>
      </c>
      <c r="AI82" s="13">
        <f t="shared" si="16"/>
        <v>463</v>
      </c>
      <c r="AJ82" s="13">
        <f t="shared" si="17"/>
        <v>463</v>
      </c>
      <c r="AK82" s="12"/>
      <c r="AM82" s="9"/>
      <c r="AN82" s="6"/>
      <c r="AO82" s="12"/>
      <c r="AQ82" s="6"/>
      <c r="AR82" s="6">
        <v>76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</row>
    <row r="83" spans="1:64" ht="15.75" customHeight="1" x14ac:dyDescent="0.2">
      <c r="A83" s="10">
        <v>46085</v>
      </c>
      <c r="B83" s="11">
        <v>0.48995370370370372</v>
      </c>
      <c r="C83" s="1" t="s">
        <v>43</v>
      </c>
      <c r="D83" s="1" t="s">
        <v>97</v>
      </c>
      <c r="E83" s="1">
        <v>54</v>
      </c>
      <c r="F83" s="1" t="s">
        <v>46</v>
      </c>
      <c r="G83" s="1">
        <v>1</v>
      </c>
      <c r="H83" s="1">
        <v>1</v>
      </c>
      <c r="I83" s="1" t="s">
        <v>47</v>
      </c>
      <c r="J83" s="1" t="s">
        <v>48</v>
      </c>
      <c r="K83" s="1">
        <v>0.23100000000000001</v>
      </c>
      <c r="L83" s="1">
        <v>3.74</v>
      </c>
      <c r="M83" s="1">
        <v>116</v>
      </c>
      <c r="N83" s="1" t="s">
        <v>49</v>
      </c>
      <c r="O83" s="1" t="s">
        <v>50</v>
      </c>
      <c r="P83" s="1">
        <v>0.72199999999999998</v>
      </c>
      <c r="Q83" s="1">
        <v>7.94</v>
      </c>
      <c r="R83" s="1">
        <v>535</v>
      </c>
      <c r="S83" s="6"/>
      <c r="T83" s="6">
        <v>1</v>
      </c>
      <c r="U83" s="6">
        <v>1</v>
      </c>
      <c r="V83" s="6"/>
      <c r="W83" s="12">
        <f t="shared" si="12"/>
        <v>116</v>
      </c>
      <c r="X83" s="7">
        <f t="shared" si="13"/>
        <v>116</v>
      </c>
      <c r="Y83" s="7">
        <f t="shared" si="14"/>
        <v>116</v>
      </c>
      <c r="Z83" s="6"/>
      <c r="AA83" s="6"/>
      <c r="AB83" s="12"/>
      <c r="AC83" s="14"/>
      <c r="AD83" s="14"/>
      <c r="AE83" s="14"/>
      <c r="AF83" s="6">
        <v>1</v>
      </c>
      <c r="AG83" s="6"/>
      <c r="AH83" s="6">
        <f t="shared" si="15"/>
        <v>535</v>
      </c>
      <c r="AI83" s="13">
        <f t="shared" si="16"/>
        <v>535</v>
      </c>
      <c r="AJ83" s="13">
        <f t="shared" si="17"/>
        <v>535</v>
      </c>
      <c r="AK83" s="9"/>
      <c r="AL83" s="6"/>
      <c r="AM83" s="12"/>
      <c r="AN83" s="14"/>
      <c r="AO83" s="9"/>
      <c r="AP83" s="6"/>
      <c r="AQ83" s="6"/>
      <c r="AR83" s="6">
        <v>77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</row>
    <row r="84" spans="1:64" ht="15.75" customHeight="1" x14ac:dyDescent="0.2">
      <c r="A84" s="10">
        <v>46085</v>
      </c>
      <c r="B84" s="11">
        <v>0.49084490740740738</v>
      </c>
      <c r="C84" s="1" t="s">
        <v>43</v>
      </c>
      <c r="D84" s="1" t="s">
        <v>98</v>
      </c>
      <c r="E84" s="1">
        <v>55</v>
      </c>
      <c r="F84" s="1" t="s">
        <v>46</v>
      </c>
      <c r="G84" s="1">
        <v>1</v>
      </c>
      <c r="H84" s="1">
        <v>1</v>
      </c>
      <c r="I84" s="1" t="s">
        <v>47</v>
      </c>
      <c r="J84" s="1" t="s">
        <v>48</v>
      </c>
      <c r="K84" s="1">
        <v>0.14299999999999999</v>
      </c>
      <c r="L84" s="1">
        <v>2.4500000000000002</v>
      </c>
      <c r="M84" s="1">
        <v>68.900000000000006</v>
      </c>
      <c r="N84" s="1" t="s">
        <v>49</v>
      </c>
      <c r="O84" s="1" t="s">
        <v>50</v>
      </c>
      <c r="P84" s="1">
        <v>0.77900000000000003</v>
      </c>
      <c r="Q84" s="1">
        <v>8.42</v>
      </c>
      <c r="R84" s="1">
        <v>572</v>
      </c>
      <c r="S84" s="6"/>
      <c r="T84" s="6">
        <v>1</v>
      </c>
      <c r="U84" s="6">
        <v>1</v>
      </c>
      <c r="V84" s="6"/>
      <c r="W84" s="12">
        <f t="shared" si="12"/>
        <v>68.900000000000006</v>
      </c>
      <c r="X84" s="7">
        <f t="shared" si="13"/>
        <v>68.900000000000006</v>
      </c>
      <c r="Y84" s="7">
        <f t="shared" si="14"/>
        <v>68.900000000000006</v>
      </c>
      <c r="Z84" s="6"/>
      <c r="AA84" s="6"/>
      <c r="AB84" s="9"/>
      <c r="AC84" s="6"/>
      <c r="AD84" s="14"/>
      <c r="AE84" s="14"/>
      <c r="AF84" s="6">
        <v>1</v>
      </c>
      <c r="AG84" s="6"/>
      <c r="AH84" s="6">
        <f t="shared" si="15"/>
        <v>572</v>
      </c>
      <c r="AI84" s="13">
        <f t="shared" si="16"/>
        <v>572</v>
      </c>
      <c r="AJ84" s="13">
        <f t="shared" si="17"/>
        <v>572</v>
      </c>
      <c r="AK84" s="9"/>
      <c r="AL84" s="6"/>
      <c r="AM84" s="9"/>
      <c r="AN84" s="6"/>
      <c r="AO84" s="12"/>
      <c r="AP84" s="14"/>
      <c r="AQ84" s="6"/>
      <c r="AR84" s="6">
        <v>78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</row>
    <row r="85" spans="1:64" ht="15.75" customHeight="1" x14ac:dyDescent="0.2">
      <c r="A85" s="10">
        <v>46085</v>
      </c>
      <c r="B85" s="11">
        <v>0.4917361111111111</v>
      </c>
      <c r="C85" s="1" t="s">
        <v>43</v>
      </c>
      <c r="D85" s="1" t="s">
        <v>99</v>
      </c>
      <c r="E85" s="1" t="s">
        <v>58</v>
      </c>
      <c r="F85" s="1" t="s">
        <v>46</v>
      </c>
      <c r="G85" s="1">
        <v>1</v>
      </c>
      <c r="H85" s="1">
        <v>1</v>
      </c>
      <c r="I85" s="1" t="s">
        <v>47</v>
      </c>
      <c r="J85" s="1" t="s">
        <v>48</v>
      </c>
      <c r="K85" s="1">
        <v>1.12E-2</v>
      </c>
      <c r="L85" s="1">
        <v>0.10299999999999999</v>
      </c>
      <c r="M85" s="1">
        <v>-12</v>
      </c>
      <c r="N85" s="1" t="s">
        <v>49</v>
      </c>
      <c r="O85" s="1" t="s">
        <v>50</v>
      </c>
      <c r="P85" s="1">
        <v>-4.1200000000000001E-2</v>
      </c>
      <c r="Q85" s="1">
        <v>-0.58599999999999997</v>
      </c>
      <c r="R85" s="1">
        <v>-129</v>
      </c>
      <c r="S85" s="6"/>
      <c r="T85" s="6">
        <v>1</v>
      </c>
      <c r="U85" s="6">
        <v>1</v>
      </c>
      <c r="V85" s="6"/>
      <c r="W85" s="12">
        <f t="shared" si="12"/>
        <v>-12</v>
      </c>
      <c r="X85" s="7">
        <f t="shared" si="13"/>
        <v>-12</v>
      </c>
      <c r="Y85" s="7">
        <f t="shared" si="14"/>
        <v>-12</v>
      </c>
      <c r="Z85" s="6"/>
      <c r="AA85" s="6"/>
      <c r="AB85" s="12"/>
      <c r="AC85" s="14"/>
      <c r="AD85" s="14"/>
      <c r="AE85" s="14"/>
      <c r="AF85" s="6">
        <v>1</v>
      </c>
      <c r="AG85" s="6"/>
      <c r="AH85" s="6">
        <f t="shared" si="15"/>
        <v>-129</v>
      </c>
      <c r="AI85" s="13">
        <f t="shared" si="16"/>
        <v>-129</v>
      </c>
      <c r="AJ85" s="13">
        <f t="shared" si="17"/>
        <v>-129</v>
      </c>
      <c r="AK85" s="9"/>
      <c r="AL85" s="6"/>
      <c r="AM85" s="12"/>
      <c r="AN85" s="14"/>
      <c r="AO85" s="12"/>
      <c r="AP85" s="14"/>
      <c r="AQ85" s="6"/>
      <c r="AR85" s="6">
        <v>79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 spans="1:64" ht="15.75" customHeight="1" x14ac:dyDescent="0.2">
      <c r="A86" s="10">
        <v>46085</v>
      </c>
      <c r="B86" s="11">
        <v>0.49262731481481481</v>
      </c>
      <c r="C86" s="1" t="s">
        <v>43</v>
      </c>
      <c r="D86" s="1" t="s">
        <v>87</v>
      </c>
      <c r="E86" s="1">
        <v>16</v>
      </c>
      <c r="F86" s="1" t="s">
        <v>88</v>
      </c>
      <c r="G86" s="1">
        <v>1</v>
      </c>
      <c r="H86" s="1">
        <v>1</v>
      </c>
      <c r="I86" s="1" t="s">
        <v>47</v>
      </c>
      <c r="J86" s="1" t="s">
        <v>48</v>
      </c>
      <c r="K86" s="1">
        <v>5.6599999999999998E-2</v>
      </c>
      <c r="L86" s="1">
        <v>1.1499999999999999</v>
      </c>
      <c r="M86" s="1">
        <v>23.5</v>
      </c>
      <c r="N86" s="1" t="s">
        <v>49</v>
      </c>
      <c r="O86" s="1" t="s">
        <v>50</v>
      </c>
      <c r="P86" s="1">
        <v>0.371</v>
      </c>
      <c r="Q86" s="1">
        <v>4.0199999999999996</v>
      </c>
      <c r="R86" s="1">
        <v>230</v>
      </c>
      <c r="S86" s="6"/>
      <c r="T86" s="6">
        <v>1</v>
      </c>
      <c r="U86" s="6">
        <v>1</v>
      </c>
      <c r="V86" s="6"/>
      <c r="W86" s="12">
        <f t="shared" si="12"/>
        <v>23.5</v>
      </c>
      <c r="X86" s="7">
        <f t="shared" si="13"/>
        <v>23.5</v>
      </c>
      <c r="Y86" s="7">
        <f t="shared" si="14"/>
        <v>23.5</v>
      </c>
      <c r="Z86" s="6">
        <f>100*(Y86-25)/25</f>
        <v>-6</v>
      </c>
      <c r="AA86" s="6" t="str">
        <f>IF((ABS(Z86))&lt;=20,"PASS","FAIL")</f>
        <v>PASS</v>
      </c>
      <c r="AB86" s="9"/>
      <c r="AC86" s="6"/>
      <c r="AD86" s="14"/>
      <c r="AE86" s="14"/>
      <c r="AF86" s="6">
        <v>1</v>
      </c>
      <c r="AG86" s="6"/>
      <c r="AH86" s="6">
        <f t="shared" si="15"/>
        <v>230</v>
      </c>
      <c r="AI86" s="13">
        <f t="shared" si="16"/>
        <v>230</v>
      </c>
      <c r="AJ86" s="13">
        <f t="shared" si="17"/>
        <v>230</v>
      </c>
      <c r="AK86" s="9">
        <f>100*(AJ86-250)/250</f>
        <v>-8</v>
      </c>
      <c r="AL86" s="6" t="str">
        <f>IF((ABS(AK86))&lt;=20,"PASS","FAIL")</f>
        <v>PASS</v>
      </c>
      <c r="AM86" s="9"/>
      <c r="AN86" s="6"/>
      <c r="AO86" s="12"/>
      <c r="AP86" s="14"/>
      <c r="AQ86" s="6"/>
      <c r="AR86" s="6">
        <v>80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</row>
    <row r="87" spans="1:64" ht="15.75" customHeight="1" x14ac:dyDescent="0.2">
      <c r="A87" s="10">
        <v>46085</v>
      </c>
      <c r="B87" s="11">
        <v>0.49350694444444443</v>
      </c>
      <c r="C87" s="1" t="s">
        <v>43</v>
      </c>
      <c r="D87" s="1" t="s">
        <v>51</v>
      </c>
      <c r="E87" s="1" t="s">
        <v>52</v>
      </c>
      <c r="F87" s="1" t="s">
        <v>46</v>
      </c>
      <c r="G87" s="1">
        <v>1</v>
      </c>
      <c r="H87" s="1">
        <v>1</v>
      </c>
      <c r="I87" s="1" t="s">
        <v>47</v>
      </c>
      <c r="J87" s="1" t="s">
        <v>48</v>
      </c>
      <c r="K87" s="1">
        <v>0.13500000000000001</v>
      </c>
      <c r="L87" s="1">
        <v>1.37</v>
      </c>
      <c r="M87" s="1">
        <v>30.8</v>
      </c>
      <c r="N87" s="1" t="s">
        <v>49</v>
      </c>
      <c r="O87" s="1" t="s">
        <v>50</v>
      </c>
      <c r="P87" s="1">
        <v>1.82</v>
      </c>
      <c r="Q87" s="1">
        <v>19.7</v>
      </c>
      <c r="R87" s="1">
        <v>1450</v>
      </c>
      <c r="S87" s="6">
        <f>100*(Q88/Q87)</f>
        <v>103.04568527918782</v>
      </c>
      <c r="T87" s="6">
        <v>1</v>
      </c>
      <c r="U87" s="6">
        <v>1</v>
      </c>
      <c r="V87" s="6"/>
      <c r="W87" s="12">
        <f t="shared" si="12"/>
        <v>30.8</v>
      </c>
      <c r="X87" s="7">
        <f t="shared" si="13"/>
        <v>30.8</v>
      </c>
      <c r="Y87" s="7">
        <f t="shared" si="14"/>
        <v>30.8</v>
      </c>
      <c r="Z87" s="6"/>
      <c r="AA87" s="6"/>
      <c r="AB87" s="12"/>
      <c r="AC87" s="14"/>
      <c r="AD87" s="14"/>
      <c r="AE87" s="14"/>
      <c r="AF87" s="6">
        <v>1</v>
      </c>
      <c r="AG87" s="6"/>
      <c r="AH87" s="6">
        <f t="shared" si="15"/>
        <v>1450</v>
      </c>
      <c r="AI87" s="13">
        <f t="shared" si="16"/>
        <v>1450</v>
      </c>
      <c r="AJ87" s="13">
        <f t="shared" si="17"/>
        <v>1450</v>
      </c>
      <c r="AK87" s="9"/>
      <c r="AL87" s="6"/>
      <c r="AM87" s="12"/>
      <c r="AN87" s="14"/>
      <c r="AO87" s="12"/>
      <c r="AP87" s="14"/>
      <c r="AQ87" s="6"/>
      <c r="AR87" s="6">
        <v>81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 spans="1:64" ht="15.75" customHeight="1" x14ac:dyDescent="0.2">
      <c r="A88" s="10">
        <v>46085</v>
      </c>
      <c r="B88" s="11">
        <v>0.49438657407407405</v>
      </c>
      <c r="C88" s="1" t="s">
        <v>43</v>
      </c>
      <c r="D88" s="1" t="s">
        <v>53</v>
      </c>
      <c r="E88" s="1" t="s">
        <v>54</v>
      </c>
      <c r="F88" s="1" t="s">
        <v>46</v>
      </c>
      <c r="G88" s="1">
        <v>1</v>
      </c>
      <c r="H88" s="1">
        <v>1</v>
      </c>
      <c r="I88" s="1" t="s">
        <v>47</v>
      </c>
      <c r="J88" s="1" t="s">
        <v>48</v>
      </c>
      <c r="K88" s="1">
        <v>0.13800000000000001</v>
      </c>
      <c r="L88" s="1">
        <v>1.38</v>
      </c>
      <c r="M88" s="1">
        <v>31.4</v>
      </c>
      <c r="N88" s="1" t="s">
        <v>49</v>
      </c>
      <c r="O88" s="1" t="s">
        <v>50</v>
      </c>
      <c r="P88" s="1">
        <v>1.92</v>
      </c>
      <c r="Q88" s="1">
        <v>20.3</v>
      </c>
      <c r="R88" s="1">
        <v>1500</v>
      </c>
      <c r="S88" s="6"/>
      <c r="T88" s="6">
        <v>1</v>
      </c>
      <c r="U88" s="6">
        <v>1</v>
      </c>
      <c r="V88" s="6"/>
      <c r="W88" s="12">
        <f t="shared" si="12"/>
        <v>31.4</v>
      </c>
      <c r="X88" s="7">
        <f t="shared" si="13"/>
        <v>31.4</v>
      </c>
      <c r="Y88" s="7">
        <f t="shared" si="14"/>
        <v>31.4</v>
      </c>
      <c r="Z88" s="6"/>
      <c r="AA88" s="6"/>
      <c r="AB88" s="12"/>
      <c r="AC88" s="14"/>
      <c r="AD88" s="6"/>
      <c r="AE88" s="6"/>
      <c r="AF88" s="6">
        <v>1</v>
      </c>
      <c r="AG88" s="6"/>
      <c r="AH88" s="6">
        <f t="shared" si="15"/>
        <v>1500</v>
      </c>
      <c r="AI88" s="13">
        <f t="shared" si="16"/>
        <v>1500</v>
      </c>
      <c r="AJ88" s="13">
        <f t="shared" si="17"/>
        <v>1500</v>
      </c>
      <c r="AK88" s="9"/>
      <c r="AL88" s="6"/>
      <c r="AM88" s="12"/>
      <c r="AN88" s="14"/>
      <c r="AO88" s="9"/>
      <c r="AP88" s="6"/>
      <c r="AQ88" s="6"/>
      <c r="AR88" s="6">
        <v>82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 spans="1:64" ht="15.75" customHeight="1" x14ac:dyDescent="0.2">
      <c r="A89" s="10">
        <v>46085</v>
      </c>
      <c r="B89" s="11">
        <v>0.49527777777777776</v>
      </c>
      <c r="C89" s="1" t="s">
        <v>43</v>
      </c>
      <c r="D89" s="1" t="s">
        <v>100</v>
      </c>
      <c r="E89" s="1">
        <v>58</v>
      </c>
      <c r="F89" s="1" t="s">
        <v>46</v>
      </c>
      <c r="G89" s="1">
        <v>1</v>
      </c>
      <c r="H89" s="1">
        <v>1</v>
      </c>
      <c r="I89" s="1" t="s">
        <v>47</v>
      </c>
      <c r="J89" s="1" t="s">
        <v>48</v>
      </c>
      <c r="K89" s="1">
        <v>0.16600000000000001</v>
      </c>
      <c r="L89" s="1">
        <v>2.8</v>
      </c>
      <c r="M89" s="1">
        <v>81.2</v>
      </c>
      <c r="N89" s="1" t="s">
        <v>49</v>
      </c>
      <c r="O89" s="1" t="s">
        <v>50</v>
      </c>
      <c r="P89" s="1">
        <v>0.78500000000000003</v>
      </c>
      <c r="Q89" s="1">
        <v>8.2200000000000006</v>
      </c>
      <c r="R89" s="1">
        <v>556</v>
      </c>
      <c r="S89" s="6"/>
      <c r="T89" s="6">
        <v>1</v>
      </c>
      <c r="U89" s="6">
        <v>1</v>
      </c>
      <c r="V89" s="6"/>
      <c r="W89" s="12">
        <f t="shared" si="12"/>
        <v>81.2</v>
      </c>
      <c r="X89" s="7">
        <f t="shared" si="13"/>
        <v>81.2</v>
      </c>
      <c r="Y89" s="7">
        <f t="shared" si="14"/>
        <v>81.2</v>
      </c>
      <c r="Z89" s="6"/>
      <c r="AA89" s="6"/>
      <c r="AB89" s="9"/>
      <c r="AC89" s="6"/>
      <c r="AD89" s="6"/>
      <c r="AE89" s="6"/>
      <c r="AF89" s="6">
        <v>1</v>
      </c>
      <c r="AG89" s="6"/>
      <c r="AH89" s="6">
        <f t="shared" si="15"/>
        <v>556</v>
      </c>
      <c r="AI89" s="13">
        <f t="shared" si="16"/>
        <v>556</v>
      </c>
      <c r="AJ89" s="13">
        <f t="shared" si="17"/>
        <v>556</v>
      </c>
      <c r="AK89" s="9"/>
      <c r="AL89" s="6"/>
      <c r="AM89" s="9"/>
      <c r="AN89" s="6"/>
      <c r="AO89" s="9"/>
      <c r="AP89" s="6"/>
      <c r="AQ89" s="6"/>
      <c r="AR89" s="6">
        <v>83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</row>
    <row r="90" spans="1:64" ht="15.75" customHeight="1" x14ac:dyDescent="0.2">
      <c r="A90" s="10">
        <v>46085</v>
      </c>
      <c r="B90" s="11">
        <v>0.49615740740740738</v>
      </c>
      <c r="C90" s="1" t="s">
        <v>43</v>
      </c>
      <c r="D90" s="1" t="s">
        <v>101</v>
      </c>
      <c r="E90" s="1">
        <v>59</v>
      </c>
      <c r="F90" s="1" t="s">
        <v>46</v>
      </c>
      <c r="G90" s="1">
        <v>1</v>
      </c>
      <c r="H90" s="1">
        <v>1</v>
      </c>
      <c r="I90" s="1" t="s">
        <v>47</v>
      </c>
      <c r="J90" s="1" t="s">
        <v>48</v>
      </c>
      <c r="K90" s="1">
        <v>0.17199999999999999</v>
      </c>
      <c r="L90" s="1">
        <v>2.89</v>
      </c>
      <c r="M90" s="1">
        <v>84.4</v>
      </c>
      <c r="N90" s="1" t="s">
        <v>49</v>
      </c>
      <c r="O90" s="1" t="s">
        <v>50</v>
      </c>
      <c r="P90" s="1">
        <v>0.71599999999999997</v>
      </c>
      <c r="Q90" s="1">
        <v>7.61</v>
      </c>
      <c r="R90" s="1">
        <v>509</v>
      </c>
      <c r="S90" s="6"/>
      <c r="T90" s="6">
        <v>1</v>
      </c>
      <c r="U90" s="6">
        <v>1</v>
      </c>
      <c r="V90" s="6"/>
      <c r="W90" s="12">
        <f t="shared" si="12"/>
        <v>84.4</v>
      </c>
      <c r="X90" s="7">
        <f t="shared" si="13"/>
        <v>84.4</v>
      </c>
      <c r="Y90" s="7">
        <f t="shared" si="14"/>
        <v>84.4</v>
      </c>
      <c r="AB90" s="12"/>
      <c r="AC90" s="14"/>
      <c r="AD90" s="6"/>
      <c r="AE90" s="6"/>
      <c r="AF90" s="6">
        <v>1</v>
      </c>
      <c r="AG90" s="6"/>
      <c r="AH90" s="6">
        <f t="shared" si="15"/>
        <v>509</v>
      </c>
      <c r="AI90" s="13">
        <f t="shared" si="16"/>
        <v>509</v>
      </c>
      <c r="AJ90" s="13">
        <f t="shared" si="17"/>
        <v>509</v>
      </c>
      <c r="AK90" s="12"/>
      <c r="AM90" s="12"/>
      <c r="AN90" s="14"/>
      <c r="AO90" s="9"/>
      <c r="AP90" s="6"/>
      <c r="AQ90" s="6"/>
      <c r="AR90" s="6">
        <v>84</v>
      </c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 spans="1:64" ht="15.75" customHeight="1" x14ac:dyDescent="0.2">
      <c r="A91" s="10">
        <v>46085</v>
      </c>
      <c r="B91" s="11">
        <v>0.49702546296296296</v>
      </c>
      <c r="C91" s="1" t="s">
        <v>43</v>
      </c>
      <c r="D91" s="1" t="s">
        <v>102</v>
      </c>
      <c r="E91" s="1">
        <v>60</v>
      </c>
      <c r="F91" s="1" t="s">
        <v>46</v>
      </c>
      <c r="G91" s="1">
        <v>1</v>
      </c>
      <c r="H91" s="1">
        <v>1</v>
      </c>
      <c r="I91" s="1" t="s">
        <v>47</v>
      </c>
      <c r="J91" s="1" t="s">
        <v>48</v>
      </c>
      <c r="K91" s="1">
        <v>0.12</v>
      </c>
      <c r="L91" s="1">
        <v>2.1</v>
      </c>
      <c r="M91" s="1">
        <v>56.4</v>
      </c>
      <c r="N91" s="1" t="s">
        <v>49</v>
      </c>
      <c r="O91" s="1" t="s">
        <v>50</v>
      </c>
      <c r="P91" s="1">
        <v>0.753</v>
      </c>
      <c r="Q91" s="1">
        <v>8.1300000000000008</v>
      </c>
      <c r="R91" s="1">
        <v>550</v>
      </c>
      <c r="S91" s="6"/>
      <c r="T91" s="6">
        <v>1</v>
      </c>
      <c r="U91" s="6">
        <v>1</v>
      </c>
      <c r="V91" s="6"/>
      <c r="W91" s="12">
        <f t="shared" si="12"/>
        <v>56.4</v>
      </c>
      <c r="X91" s="7">
        <f t="shared" si="13"/>
        <v>56.4</v>
      </c>
      <c r="Y91" s="7">
        <f t="shared" si="14"/>
        <v>56.4</v>
      </c>
      <c r="AB91" s="12"/>
      <c r="AC91" s="14"/>
      <c r="AF91" s="6">
        <v>1</v>
      </c>
      <c r="AG91" s="6"/>
      <c r="AH91" s="6">
        <f t="shared" si="15"/>
        <v>550</v>
      </c>
      <c r="AI91" s="13">
        <f t="shared" si="16"/>
        <v>550</v>
      </c>
      <c r="AJ91" s="13">
        <f t="shared" si="17"/>
        <v>550</v>
      </c>
      <c r="AK91" s="12"/>
      <c r="AM91" s="12"/>
      <c r="AN91" s="14"/>
      <c r="AO91" s="12"/>
      <c r="AQ91" s="6"/>
      <c r="AR91" s="6">
        <v>85</v>
      </c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</row>
    <row r="92" spans="1:64" ht="15.75" customHeight="1" x14ac:dyDescent="0.2">
      <c r="A92" s="10">
        <v>46085</v>
      </c>
      <c r="B92" s="11">
        <v>0.49792824074074077</v>
      </c>
      <c r="C92" s="1" t="s">
        <v>43</v>
      </c>
      <c r="D92" s="1" t="s">
        <v>103</v>
      </c>
      <c r="E92" s="1">
        <v>61</v>
      </c>
      <c r="F92" s="1" t="s">
        <v>46</v>
      </c>
      <c r="G92" s="1">
        <v>1</v>
      </c>
      <c r="H92" s="1">
        <v>1</v>
      </c>
      <c r="I92" s="1" t="s">
        <v>47</v>
      </c>
      <c r="J92" s="1" t="s">
        <v>48</v>
      </c>
      <c r="K92" s="1">
        <v>0.14199999999999999</v>
      </c>
      <c r="L92" s="1">
        <v>2.17</v>
      </c>
      <c r="M92" s="1">
        <v>58.7</v>
      </c>
      <c r="N92" s="1" t="s">
        <v>49</v>
      </c>
      <c r="O92" s="1" t="s">
        <v>50</v>
      </c>
      <c r="P92" s="1">
        <v>0.21199999999999999</v>
      </c>
      <c r="Q92" s="1">
        <v>2.37</v>
      </c>
      <c r="R92" s="1">
        <v>101</v>
      </c>
      <c r="S92" s="6"/>
      <c r="T92" s="6">
        <v>1</v>
      </c>
      <c r="U92" s="6">
        <v>1</v>
      </c>
      <c r="V92" s="6"/>
      <c r="W92" s="12">
        <f t="shared" si="12"/>
        <v>58.7</v>
      </c>
      <c r="X92" s="7">
        <f t="shared" si="13"/>
        <v>58.7</v>
      </c>
      <c r="Y92" s="7">
        <f t="shared" si="14"/>
        <v>58.7</v>
      </c>
      <c r="Z92" s="6"/>
      <c r="AA92" s="6"/>
      <c r="AB92" s="12"/>
      <c r="AC92" s="14"/>
      <c r="AD92" s="14"/>
      <c r="AE92" s="14"/>
      <c r="AF92" s="6">
        <v>1</v>
      </c>
      <c r="AG92" s="6"/>
      <c r="AH92" s="6">
        <f t="shared" si="15"/>
        <v>101</v>
      </c>
      <c r="AI92" s="13">
        <f t="shared" si="16"/>
        <v>101</v>
      </c>
      <c r="AJ92" s="13">
        <f t="shared" si="17"/>
        <v>101</v>
      </c>
      <c r="AK92" s="9"/>
      <c r="AL92" s="6"/>
      <c r="AM92" s="12"/>
      <c r="AN92" s="14"/>
      <c r="AO92" s="12"/>
      <c r="AP92" s="14"/>
      <c r="AQ92" s="6"/>
      <c r="AR92" s="6">
        <v>86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 spans="1:64" ht="15.75" customHeight="1" x14ac:dyDescent="0.2">
      <c r="A93" s="10">
        <v>46085</v>
      </c>
      <c r="B93" s="11">
        <v>0.49881944444444443</v>
      </c>
      <c r="C93" s="1" t="s">
        <v>43</v>
      </c>
      <c r="D93" s="1" t="s">
        <v>104</v>
      </c>
      <c r="E93" s="1">
        <v>62</v>
      </c>
      <c r="F93" s="1" t="s">
        <v>75</v>
      </c>
      <c r="G93" s="1">
        <v>1</v>
      </c>
      <c r="H93" s="1">
        <v>1</v>
      </c>
      <c r="I93" s="1" t="s">
        <v>47</v>
      </c>
      <c r="J93" s="1" t="s">
        <v>48</v>
      </c>
      <c r="K93" s="1">
        <v>0.155</v>
      </c>
      <c r="L93" s="1">
        <v>2.6</v>
      </c>
      <c r="M93" s="1">
        <v>74.3</v>
      </c>
      <c r="N93" s="1" t="s">
        <v>49</v>
      </c>
      <c r="O93" s="1" t="s">
        <v>50</v>
      </c>
      <c r="P93" s="1">
        <v>0.86</v>
      </c>
      <c r="Q93" s="1">
        <v>9.08</v>
      </c>
      <c r="R93" s="1">
        <v>624</v>
      </c>
      <c r="T93" s="6">
        <v>1</v>
      </c>
      <c r="U93" s="6">
        <v>1</v>
      </c>
      <c r="V93" s="6"/>
      <c r="W93" s="12">
        <f t="shared" si="12"/>
        <v>74.3</v>
      </c>
      <c r="X93" s="7">
        <f t="shared" si="13"/>
        <v>74.3</v>
      </c>
      <c r="Y93" s="7">
        <f t="shared" si="14"/>
        <v>74.3</v>
      </c>
      <c r="AB93" s="12"/>
      <c r="AF93" s="6">
        <v>1</v>
      </c>
      <c r="AG93" s="6"/>
      <c r="AH93" s="6">
        <f t="shared" si="15"/>
        <v>624</v>
      </c>
      <c r="AI93" s="13">
        <f t="shared" si="16"/>
        <v>624</v>
      </c>
      <c r="AJ93" s="13">
        <f t="shared" si="17"/>
        <v>624</v>
      </c>
      <c r="AK93" s="12"/>
      <c r="AM93" s="12"/>
      <c r="AO93" s="12"/>
      <c r="AQ93" s="6"/>
      <c r="AR93" s="6">
        <v>87</v>
      </c>
      <c r="AS93" s="6"/>
    </row>
    <row r="94" spans="1:64" ht="15.75" customHeight="1" x14ac:dyDescent="0.2">
      <c r="A94" s="10">
        <v>46085</v>
      </c>
      <c r="B94" s="11">
        <v>0.49971064814814814</v>
      </c>
      <c r="C94" s="1" t="s">
        <v>43</v>
      </c>
      <c r="D94" s="1" t="s">
        <v>105</v>
      </c>
      <c r="E94" s="1">
        <v>68</v>
      </c>
      <c r="F94" s="1" t="s">
        <v>75</v>
      </c>
      <c r="G94" s="1">
        <v>1</v>
      </c>
      <c r="H94" s="1">
        <v>1</v>
      </c>
      <c r="I94" s="1" t="s">
        <v>47</v>
      </c>
      <c r="J94" s="1" t="s">
        <v>48</v>
      </c>
      <c r="K94" s="1">
        <v>0.109</v>
      </c>
      <c r="L94" s="1">
        <v>1.96</v>
      </c>
      <c r="M94" s="1">
        <v>51.5</v>
      </c>
      <c r="N94" s="1" t="s">
        <v>49</v>
      </c>
      <c r="O94" s="1" t="s">
        <v>50</v>
      </c>
      <c r="P94" s="1">
        <v>0.79900000000000004</v>
      </c>
      <c r="Q94" s="1">
        <v>8.5</v>
      </c>
      <c r="R94" s="1">
        <v>578</v>
      </c>
      <c r="S94" s="6"/>
      <c r="T94" s="6">
        <v>1</v>
      </c>
      <c r="U94" s="6">
        <v>1</v>
      </c>
      <c r="V94" s="6"/>
      <c r="W94" s="12">
        <f t="shared" si="12"/>
        <v>51.5</v>
      </c>
      <c r="X94" s="7">
        <f t="shared" si="13"/>
        <v>51.5</v>
      </c>
      <c r="Y94" s="7">
        <f t="shared" si="14"/>
        <v>51.5</v>
      </c>
      <c r="AB94" s="12">
        <f>ABS(100*ABS(Y94-Y93)/AVERAGE(Y94,Y93))</f>
        <v>36.248012718600947</v>
      </c>
      <c r="AC94" s="14" t="str">
        <f>IF(Y94&gt;10, (IF((AND(AB94&gt;=0,AB94&lt;=20)=TRUE),"PASS","FAIL")),(IF((AND(AB94&gt;=0,AB94&lt;=50)=TRUE),"PASS","FAIL")))</f>
        <v>FAIL</v>
      </c>
      <c r="AD94" s="14"/>
      <c r="AE94" s="14"/>
      <c r="AF94" s="6">
        <v>1</v>
      </c>
      <c r="AG94" s="6"/>
      <c r="AH94" s="6">
        <f t="shared" si="15"/>
        <v>578</v>
      </c>
      <c r="AI94" s="13">
        <f t="shared" si="16"/>
        <v>578</v>
      </c>
      <c r="AJ94" s="13">
        <f t="shared" si="17"/>
        <v>578</v>
      </c>
      <c r="AK94" s="12"/>
      <c r="AM94" s="12">
        <f>ABS(100*ABS(AJ94-AJ93)/AVERAGE(AJ94,AJ93))</f>
        <v>7.6539101497504163</v>
      </c>
      <c r="AN94" s="14" t="str">
        <f>IF(AJ94&gt;10, (IF((AND(AM94&gt;=0,AM94&lt;=20)=TRUE),"PASS","FAIL")),(IF((AND(AM94&gt;=0,AM94&lt;=50)=TRUE),"PASS","FAIL")))</f>
        <v>PASS</v>
      </c>
      <c r="AO94" s="12"/>
      <c r="AP94" s="14"/>
      <c r="AQ94" s="6"/>
      <c r="AR94" s="6">
        <v>88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</row>
    <row r="95" spans="1:64" ht="15.75" customHeight="1" x14ac:dyDescent="0.2">
      <c r="A95" s="10">
        <v>46085</v>
      </c>
      <c r="B95" s="11">
        <v>0.5006018518518518</v>
      </c>
      <c r="C95" s="1" t="s">
        <v>43</v>
      </c>
      <c r="D95" s="1" t="s">
        <v>106</v>
      </c>
      <c r="E95" s="1">
        <v>63</v>
      </c>
      <c r="F95" s="1" t="s">
        <v>46</v>
      </c>
      <c r="G95" s="1">
        <v>1</v>
      </c>
      <c r="H95" s="1">
        <v>1</v>
      </c>
      <c r="I95" s="1" t="s">
        <v>47</v>
      </c>
      <c r="J95" s="1" t="s">
        <v>48</v>
      </c>
      <c r="K95" s="1">
        <v>0.159</v>
      </c>
      <c r="L95" s="1">
        <v>2.68</v>
      </c>
      <c r="M95" s="1">
        <v>77.099999999999994</v>
      </c>
      <c r="N95" s="1" t="s">
        <v>49</v>
      </c>
      <c r="O95" s="1" t="s">
        <v>50</v>
      </c>
      <c r="P95" s="1">
        <v>0.64500000000000002</v>
      </c>
      <c r="Q95" s="1">
        <v>6.75</v>
      </c>
      <c r="R95" s="1">
        <v>442</v>
      </c>
      <c r="S95" s="6"/>
      <c r="T95" s="6">
        <v>1</v>
      </c>
      <c r="U95" s="6">
        <v>1</v>
      </c>
      <c r="V95" s="6"/>
      <c r="W95" s="12">
        <f t="shared" si="12"/>
        <v>77.099999999999994</v>
      </c>
      <c r="X95" s="7">
        <f t="shared" si="13"/>
        <v>77.099999999999994</v>
      </c>
      <c r="Y95" s="7">
        <f t="shared" si="14"/>
        <v>77.099999999999994</v>
      </c>
      <c r="Z95" s="6"/>
      <c r="AA95" s="6"/>
      <c r="AB95" s="12"/>
      <c r="AC95" s="14"/>
      <c r="AF95" s="6">
        <v>1</v>
      </c>
      <c r="AG95" s="6"/>
      <c r="AH95" s="6">
        <f t="shared" si="15"/>
        <v>442</v>
      </c>
      <c r="AI95" s="13">
        <f t="shared" si="16"/>
        <v>442</v>
      </c>
      <c r="AJ95" s="13">
        <f t="shared" si="17"/>
        <v>442</v>
      </c>
      <c r="AK95" s="9"/>
      <c r="AL95" s="6"/>
      <c r="AM95" s="12"/>
      <c r="AN95" s="14"/>
      <c r="AO95" s="12"/>
      <c r="AQ95" s="6"/>
      <c r="AR95" s="6">
        <v>89</v>
      </c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</row>
    <row r="96" spans="1:64" ht="15.75" customHeight="1" x14ac:dyDescent="0.2">
      <c r="A96" s="10">
        <v>46085</v>
      </c>
      <c r="B96" s="11">
        <v>0.50149305555555557</v>
      </c>
      <c r="C96" s="1" t="s">
        <v>43</v>
      </c>
      <c r="D96" s="1" t="s">
        <v>107</v>
      </c>
      <c r="E96" s="1">
        <v>64</v>
      </c>
      <c r="F96" s="1" t="s">
        <v>46</v>
      </c>
      <c r="G96" s="1">
        <v>1</v>
      </c>
      <c r="H96" s="1">
        <v>1</v>
      </c>
      <c r="I96" s="1" t="s">
        <v>47</v>
      </c>
      <c r="J96" s="1" t="s">
        <v>48</v>
      </c>
      <c r="K96" s="1">
        <v>0.109</v>
      </c>
      <c r="L96" s="1">
        <v>1.95</v>
      </c>
      <c r="M96" s="1">
        <v>51.1</v>
      </c>
      <c r="N96" s="1" t="s">
        <v>49</v>
      </c>
      <c r="O96" s="1" t="s">
        <v>50</v>
      </c>
      <c r="P96" s="1">
        <v>0.4</v>
      </c>
      <c r="Q96" s="1">
        <v>4.33</v>
      </c>
      <c r="R96" s="1">
        <v>254</v>
      </c>
      <c r="S96" s="6"/>
      <c r="T96" s="6">
        <v>1</v>
      </c>
      <c r="U96" s="6">
        <v>1</v>
      </c>
      <c r="V96" s="6"/>
      <c r="W96" s="12">
        <f t="shared" si="12"/>
        <v>51.1</v>
      </c>
      <c r="X96" s="7">
        <f t="shared" si="13"/>
        <v>51.1</v>
      </c>
      <c r="Y96" s="7">
        <f t="shared" si="14"/>
        <v>51.1</v>
      </c>
      <c r="AB96" s="12"/>
      <c r="AD96" s="14"/>
      <c r="AE96" s="14"/>
      <c r="AF96" s="6">
        <v>1</v>
      </c>
      <c r="AG96" s="6"/>
      <c r="AH96" s="6">
        <f t="shared" si="15"/>
        <v>254</v>
      </c>
      <c r="AI96" s="13">
        <f t="shared" si="16"/>
        <v>254</v>
      </c>
      <c r="AJ96" s="13">
        <f t="shared" si="17"/>
        <v>254</v>
      </c>
      <c r="AK96" s="12"/>
      <c r="AM96" s="12"/>
      <c r="AO96" s="12"/>
      <c r="AP96" s="14"/>
      <c r="AQ96" s="6"/>
      <c r="AR96" s="6">
        <v>90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</row>
    <row r="97" spans="1:64" ht="15.75" customHeight="1" x14ac:dyDescent="0.2">
      <c r="A97" s="10">
        <v>46085</v>
      </c>
      <c r="B97" s="11">
        <v>0.50238425925925922</v>
      </c>
      <c r="C97" s="1" t="s">
        <v>43</v>
      </c>
      <c r="D97" s="1" t="s">
        <v>108</v>
      </c>
      <c r="E97" s="1">
        <v>65</v>
      </c>
      <c r="F97" s="1" t="s">
        <v>46</v>
      </c>
      <c r="G97" s="1">
        <v>1</v>
      </c>
      <c r="H97" s="1">
        <v>1</v>
      </c>
      <c r="I97" s="1" t="s">
        <v>47</v>
      </c>
      <c r="J97" s="1" t="s">
        <v>48</v>
      </c>
      <c r="K97" s="1">
        <v>0.313</v>
      </c>
      <c r="L97" s="1">
        <v>4.9800000000000004</v>
      </c>
      <c r="M97" s="1">
        <v>162</v>
      </c>
      <c r="N97" s="1" t="s">
        <v>49</v>
      </c>
      <c r="O97" s="1" t="s">
        <v>50</v>
      </c>
      <c r="P97" s="1">
        <v>0.32900000000000001</v>
      </c>
      <c r="Q97" s="1">
        <v>3.6</v>
      </c>
      <c r="R97" s="1">
        <v>197</v>
      </c>
      <c r="S97" s="6"/>
      <c r="T97" s="6">
        <v>1</v>
      </c>
      <c r="U97" s="6">
        <v>1</v>
      </c>
      <c r="V97" s="6"/>
      <c r="W97" s="12">
        <f t="shared" si="12"/>
        <v>162</v>
      </c>
      <c r="X97" s="7">
        <f t="shared" si="13"/>
        <v>162</v>
      </c>
      <c r="Y97" s="7">
        <f t="shared" si="14"/>
        <v>162</v>
      </c>
      <c r="Z97" s="6"/>
      <c r="AA97" s="6"/>
      <c r="AB97" s="12"/>
      <c r="AF97" s="6">
        <v>1</v>
      </c>
      <c r="AG97" s="6"/>
      <c r="AH97" s="6">
        <f t="shared" si="15"/>
        <v>197</v>
      </c>
      <c r="AI97" s="13">
        <f t="shared" si="16"/>
        <v>197</v>
      </c>
      <c r="AJ97" s="13">
        <f t="shared" si="17"/>
        <v>197</v>
      </c>
      <c r="AK97" s="9"/>
      <c r="AL97" s="6"/>
      <c r="AM97" s="12"/>
      <c r="AO97" s="12"/>
      <c r="AQ97" s="6"/>
      <c r="AR97" s="6">
        <v>91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</row>
    <row r="98" spans="1:64" ht="15.75" customHeight="1" x14ac:dyDescent="0.2">
      <c r="A98" s="10">
        <v>46085</v>
      </c>
      <c r="B98" s="11">
        <v>0.50327546296296299</v>
      </c>
      <c r="C98" s="1" t="s">
        <v>43</v>
      </c>
      <c r="D98" s="1" t="s">
        <v>109</v>
      </c>
      <c r="E98" s="1">
        <v>66</v>
      </c>
      <c r="F98" s="1" t="s">
        <v>46</v>
      </c>
      <c r="G98" s="1">
        <v>1</v>
      </c>
      <c r="H98" s="1">
        <v>1</v>
      </c>
      <c r="I98" s="1" t="s">
        <v>47</v>
      </c>
      <c r="J98" s="1" t="s">
        <v>48</v>
      </c>
      <c r="K98" s="1">
        <v>0.17499999999999999</v>
      </c>
      <c r="L98" s="1">
        <v>2.94</v>
      </c>
      <c r="M98" s="1">
        <v>86.2</v>
      </c>
      <c r="N98" s="1" t="s">
        <v>49</v>
      </c>
      <c r="O98" s="1" t="s">
        <v>50</v>
      </c>
      <c r="P98" s="1">
        <v>0.40300000000000002</v>
      </c>
      <c r="Q98" s="1">
        <v>4.34</v>
      </c>
      <c r="R98" s="1">
        <v>254</v>
      </c>
      <c r="T98" s="6">
        <v>1</v>
      </c>
      <c r="U98" s="6">
        <v>1</v>
      </c>
      <c r="V98" s="6"/>
      <c r="W98" s="12">
        <f t="shared" si="12"/>
        <v>86.2</v>
      </c>
      <c r="X98" s="7">
        <f t="shared" si="13"/>
        <v>86.2</v>
      </c>
      <c r="Y98" s="7">
        <f t="shared" si="14"/>
        <v>86.2</v>
      </c>
      <c r="Z98" s="6"/>
      <c r="AA98" s="6"/>
      <c r="AB98" s="12"/>
      <c r="AC98" s="14"/>
      <c r="AD98" s="6"/>
      <c r="AE98" s="6"/>
      <c r="AF98" s="6">
        <v>1</v>
      </c>
      <c r="AG98" s="6"/>
      <c r="AH98" s="6">
        <f t="shared" si="15"/>
        <v>254</v>
      </c>
      <c r="AI98" s="13">
        <f t="shared" si="16"/>
        <v>254</v>
      </c>
      <c r="AJ98" s="13">
        <f t="shared" si="17"/>
        <v>254</v>
      </c>
      <c r="AK98" s="9"/>
      <c r="AL98" s="6"/>
      <c r="AM98" s="12"/>
      <c r="AN98" s="14"/>
      <c r="AO98" s="9"/>
      <c r="AP98" s="6"/>
      <c r="AQ98" s="6"/>
      <c r="AR98" s="6">
        <v>92</v>
      </c>
      <c r="AS98" s="6"/>
    </row>
    <row r="99" spans="1:64" ht="15.75" customHeight="1" x14ac:dyDescent="0.2">
      <c r="A99" s="10">
        <v>46085</v>
      </c>
      <c r="B99" s="11">
        <v>0.50416666666666665</v>
      </c>
      <c r="C99" s="1" t="s">
        <v>43</v>
      </c>
      <c r="D99" s="1" t="s">
        <v>110</v>
      </c>
      <c r="E99" s="1">
        <v>67</v>
      </c>
      <c r="F99" s="1" t="s">
        <v>46</v>
      </c>
      <c r="G99" s="1">
        <v>1</v>
      </c>
      <c r="H99" s="1">
        <v>1</v>
      </c>
      <c r="I99" s="1" t="s">
        <v>47</v>
      </c>
      <c r="J99" s="1" t="s">
        <v>48</v>
      </c>
      <c r="K99" s="1">
        <v>0.127</v>
      </c>
      <c r="L99" s="1">
        <v>2.27</v>
      </c>
      <c r="M99" s="1">
        <v>62.4</v>
      </c>
      <c r="N99" s="1" t="s">
        <v>49</v>
      </c>
      <c r="O99" s="1" t="s">
        <v>50</v>
      </c>
      <c r="P99" s="1">
        <v>0.35299999999999998</v>
      </c>
      <c r="Q99" s="1">
        <v>3.96</v>
      </c>
      <c r="R99" s="1">
        <v>225</v>
      </c>
      <c r="T99" s="6">
        <v>1</v>
      </c>
      <c r="U99" s="6">
        <v>1</v>
      </c>
      <c r="V99" s="6"/>
      <c r="W99" s="12">
        <f t="shared" si="12"/>
        <v>62.4</v>
      </c>
      <c r="X99" s="7">
        <f t="shared" si="13"/>
        <v>62.4</v>
      </c>
      <c r="Y99" s="7">
        <f t="shared" si="14"/>
        <v>62.4</v>
      </c>
      <c r="Z99" s="6"/>
      <c r="AA99" s="6"/>
      <c r="AB99" s="9"/>
      <c r="AC99" s="6"/>
      <c r="AD99" s="14"/>
      <c r="AE99" s="14"/>
      <c r="AF99" s="6">
        <v>1</v>
      </c>
      <c r="AG99" s="6"/>
      <c r="AH99" s="6">
        <f t="shared" si="15"/>
        <v>225</v>
      </c>
      <c r="AI99" s="13">
        <f t="shared" si="16"/>
        <v>225</v>
      </c>
      <c r="AJ99" s="13">
        <f t="shared" si="17"/>
        <v>225</v>
      </c>
      <c r="AK99" s="9"/>
      <c r="AL99" s="6"/>
      <c r="AM99" s="9"/>
      <c r="AN99" s="6"/>
      <c r="AO99" s="12"/>
      <c r="AP99" s="14"/>
      <c r="AQ99" s="6"/>
      <c r="AR99" s="6">
        <v>93</v>
      </c>
      <c r="AS99" s="6"/>
    </row>
    <row r="100" spans="1:64" ht="15.75" customHeight="1" x14ac:dyDescent="0.2">
      <c r="A100" s="10">
        <v>46085</v>
      </c>
      <c r="B100" s="11">
        <v>0.50505787037037042</v>
      </c>
      <c r="C100" s="1" t="s">
        <v>43</v>
      </c>
      <c r="D100" s="1" t="s">
        <v>55</v>
      </c>
      <c r="E100" s="1" t="s">
        <v>56</v>
      </c>
      <c r="F100" s="1" t="s">
        <v>46</v>
      </c>
      <c r="G100" s="1">
        <v>1</v>
      </c>
      <c r="H100" s="1">
        <v>1</v>
      </c>
      <c r="I100" s="1" t="s">
        <v>47</v>
      </c>
      <c r="J100" s="1" t="s">
        <v>48</v>
      </c>
      <c r="K100" s="1">
        <v>0.13700000000000001</v>
      </c>
      <c r="L100" s="1">
        <v>1.39</v>
      </c>
      <c r="M100" s="1">
        <v>31.6</v>
      </c>
      <c r="N100" s="1" t="s">
        <v>49</v>
      </c>
      <c r="O100" s="1" t="s">
        <v>50</v>
      </c>
      <c r="P100" s="1">
        <v>4.0099999999999997E-2</v>
      </c>
      <c r="Q100" s="1">
        <v>5.5300000000000002E-2</v>
      </c>
      <c r="R100" s="1">
        <v>-79.2</v>
      </c>
      <c r="T100" s="6">
        <v>1</v>
      </c>
      <c r="U100" s="6">
        <v>1</v>
      </c>
      <c r="V100" s="6"/>
      <c r="W100" s="12">
        <f t="shared" si="12"/>
        <v>31.6</v>
      </c>
      <c r="X100" s="7">
        <f t="shared" si="13"/>
        <v>31.6</v>
      </c>
      <c r="Y100" s="7">
        <f t="shared" si="14"/>
        <v>31.6</v>
      </c>
      <c r="Z100" s="6"/>
      <c r="AA100" s="6"/>
      <c r="AB100" s="12"/>
      <c r="AC100" s="14"/>
      <c r="AD100" s="6"/>
      <c r="AE100" s="6"/>
      <c r="AF100" s="6">
        <v>1</v>
      </c>
      <c r="AG100" s="6"/>
      <c r="AH100" s="6">
        <f t="shared" si="15"/>
        <v>-79.2</v>
      </c>
      <c r="AI100" s="13">
        <f t="shared" si="16"/>
        <v>-79.2</v>
      </c>
      <c r="AJ100" s="13">
        <f t="shared" si="17"/>
        <v>-79.2</v>
      </c>
      <c r="AK100" s="9"/>
      <c r="AL100" s="6"/>
      <c r="AM100" s="12"/>
      <c r="AN100" s="14"/>
      <c r="AO100" s="9"/>
      <c r="AP100" s="6"/>
      <c r="AQ100" s="6"/>
      <c r="AR100" s="6">
        <v>94</v>
      </c>
      <c r="AS100" s="6"/>
    </row>
    <row r="101" spans="1:64" ht="15.75" customHeight="1" x14ac:dyDescent="0.2">
      <c r="A101" s="10">
        <v>46085</v>
      </c>
      <c r="B101" s="11">
        <v>0.50594907407407408</v>
      </c>
      <c r="C101" s="1" t="s">
        <v>43</v>
      </c>
      <c r="D101" s="1" t="s">
        <v>87</v>
      </c>
      <c r="E101" s="1">
        <v>17</v>
      </c>
      <c r="F101" s="1" t="s">
        <v>88</v>
      </c>
      <c r="G101" s="1">
        <v>1</v>
      </c>
      <c r="H101" s="1">
        <v>1</v>
      </c>
      <c r="I101" s="1" t="s">
        <v>47</v>
      </c>
      <c r="J101" s="1" t="s">
        <v>48</v>
      </c>
      <c r="K101" s="1">
        <v>5.7500000000000002E-2</v>
      </c>
      <c r="L101" s="1">
        <v>1.1399999999999999</v>
      </c>
      <c r="M101" s="1">
        <v>22.9</v>
      </c>
      <c r="N101" s="1" t="s">
        <v>49</v>
      </c>
      <c r="O101" s="1" t="s">
        <v>50</v>
      </c>
      <c r="P101" s="1">
        <v>0.39800000000000002</v>
      </c>
      <c r="Q101" s="1">
        <v>4.34</v>
      </c>
      <c r="R101" s="1">
        <v>255</v>
      </c>
      <c r="T101" s="6">
        <v>1</v>
      </c>
      <c r="U101" s="6">
        <v>1</v>
      </c>
      <c r="V101" s="6"/>
      <c r="W101" s="12">
        <f t="shared" si="12"/>
        <v>22.9</v>
      </c>
      <c r="X101" s="7">
        <f t="shared" si="13"/>
        <v>22.9</v>
      </c>
      <c r="Y101" s="7">
        <f t="shared" si="14"/>
        <v>22.9</v>
      </c>
      <c r="Z101" s="6">
        <f>100*(Y101-25)/25</f>
        <v>-8.4000000000000057</v>
      </c>
      <c r="AA101" s="6" t="str">
        <f>IF((ABS(Z101))&lt;=20,"PASS","FAIL")</f>
        <v>PASS</v>
      </c>
      <c r="AB101" s="9"/>
      <c r="AC101" s="6"/>
      <c r="AD101" s="14"/>
      <c r="AE101" s="14"/>
      <c r="AF101" s="6">
        <v>1</v>
      </c>
      <c r="AG101" s="6"/>
      <c r="AH101" s="6">
        <f t="shared" si="15"/>
        <v>255</v>
      </c>
      <c r="AI101" s="13">
        <f t="shared" si="16"/>
        <v>255</v>
      </c>
      <c r="AJ101" s="13">
        <f t="shared" si="17"/>
        <v>255</v>
      </c>
      <c r="AK101" s="9">
        <f>100*(AJ101-250)/250</f>
        <v>2</v>
      </c>
      <c r="AL101" s="6" t="str">
        <f>IF((ABS(AK101))&lt;=20,"PASS","FAIL")</f>
        <v>PASS</v>
      </c>
      <c r="AM101" s="9"/>
      <c r="AN101" s="6"/>
      <c r="AO101" s="12"/>
      <c r="AP101" s="14"/>
      <c r="AQ101" s="6"/>
      <c r="AR101" s="6">
        <v>95</v>
      </c>
      <c r="AS101" s="6"/>
    </row>
    <row r="102" spans="1:64" ht="15.75" customHeight="1" x14ac:dyDescent="0.2">
      <c r="A102" s="10">
        <v>46085</v>
      </c>
      <c r="B102" s="11">
        <v>0.5068287037037037</v>
      </c>
      <c r="C102" s="1" t="s">
        <v>43</v>
      </c>
      <c r="D102" s="1" t="s">
        <v>111</v>
      </c>
      <c r="E102" s="1">
        <v>70</v>
      </c>
      <c r="F102" s="1" t="s">
        <v>46</v>
      </c>
      <c r="G102" s="1">
        <v>1</v>
      </c>
      <c r="H102" s="1">
        <v>1</v>
      </c>
      <c r="I102" s="1" t="s">
        <v>47</v>
      </c>
      <c r="J102" s="1" t="s">
        <v>48</v>
      </c>
      <c r="K102" s="1">
        <v>0.16500000000000001</v>
      </c>
      <c r="L102" s="1">
        <v>2.75</v>
      </c>
      <c r="M102" s="1">
        <v>79.400000000000006</v>
      </c>
      <c r="N102" s="1" t="s">
        <v>49</v>
      </c>
      <c r="O102" s="1" t="s">
        <v>50</v>
      </c>
      <c r="P102" s="1">
        <v>0.621</v>
      </c>
      <c r="Q102" s="1">
        <v>6.63</v>
      </c>
      <c r="R102" s="1">
        <v>432</v>
      </c>
      <c r="T102" s="6">
        <v>1</v>
      </c>
      <c r="U102" s="6">
        <v>1</v>
      </c>
      <c r="V102" s="6"/>
      <c r="W102" s="12">
        <f t="shared" si="12"/>
        <v>79.400000000000006</v>
      </c>
      <c r="X102" s="7">
        <f t="shared" si="13"/>
        <v>79.400000000000006</v>
      </c>
      <c r="Y102" s="7">
        <f t="shared" si="14"/>
        <v>79.400000000000006</v>
      </c>
      <c r="Z102" s="6"/>
      <c r="AA102" s="6"/>
      <c r="AB102" s="12"/>
      <c r="AC102" s="14"/>
      <c r="AD102" s="14"/>
      <c r="AE102" s="14"/>
      <c r="AF102" s="6">
        <v>1</v>
      </c>
      <c r="AG102" s="6"/>
      <c r="AH102" s="6">
        <f t="shared" si="15"/>
        <v>432</v>
      </c>
      <c r="AI102" s="13">
        <f t="shared" si="16"/>
        <v>432</v>
      </c>
      <c r="AJ102" s="13">
        <f t="shared" si="17"/>
        <v>432</v>
      </c>
      <c r="AK102" s="9"/>
      <c r="AL102" s="6"/>
      <c r="AM102" s="12"/>
      <c r="AN102" s="14"/>
      <c r="AO102" s="12"/>
      <c r="AP102" s="14"/>
      <c r="AQ102" s="6"/>
      <c r="AR102" s="6">
        <v>96</v>
      </c>
      <c r="AS102" s="6"/>
    </row>
    <row r="103" spans="1:64" ht="15.75" customHeight="1" x14ac:dyDescent="0.2">
      <c r="A103" s="10">
        <v>46085</v>
      </c>
      <c r="B103" s="11">
        <v>0.50771990740740736</v>
      </c>
      <c r="C103" s="1" t="s">
        <v>43</v>
      </c>
      <c r="D103" s="1" t="s">
        <v>112</v>
      </c>
      <c r="E103" s="1">
        <v>71</v>
      </c>
      <c r="F103" s="1" t="s">
        <v>46</v>
      </c>
      <c r="G103" s="1">
        <v>1</v>
      </c>
      <c r="H103" s="1">
        <v>1</v>
      </c>
      <c r="I103" s="1" t="s">
        <v>47</v>
      </c>
      <c r="J103" s="1" t="s">
        <v>48</v>
      </c>
      <c r="K103" s="1">
        <v>0.17699999999999999</v>
      </c>
      <c r="L103" s="1">
        <v>2.92</v>
      </c>
      <c r="M103" s="1">
        <v>85.6</v>
      </c>
      <c r="N103" s="1" t="s">
        <v>49</v>
      </c>
      <c r="O103" s="1" t="s">
        <v>50</v>
      </c>
      <c r="P103" s="1">
        <v>0.70399999999999996</v>
      </c>
      <c r="Q103" s="1">
        <v>7.52</v>
      </c>
      <c r="R103" s="1">
        <v>502</v>
      </c>
      <c r="T103" s="6">
        <v>1</v>
      </c>
      <c r="U103" s="6">
        <v>1</v>
      </c>
      <c r="V103" s="6"/>
      <c r="W103" s="12">
        <f t="shared" si="12"/>
        <v>85.6</v>
      </c>
      <c r="X103" s="7">
        <f t="shared" si="13"/>
        <v>85.6</v>
      </c>
      <c r="Y103" s="7">
        <f t="shared" si="14"/>
        <v>85.6</v>
      </c>
      <c r="Z103" s="6"/>
      <c r="AA103" s="6"/>
      <c r="AB103" s="12"/>
      <c r="AC103" s="14"/>
      <c r="AD103" s="14"/>
      <c r="AE103" s="14"/>
      <c r="AF103" s="6">
        <v>1</v>
      </c>
      <c r="AG103" s="6"/>
      <c r="AH103" s="6">
        <f t="shared" si="15"/>
        <v>502</v>
      </c>
      <c r="AI103" s="13">
        <f t="shared" si="16"/>
        <v>502</v>
      </c>
      <c r="AJ103" s="13">
        <f t="shared" si="17"/>
        <v>502</v>
      </c>
      <c r="AK103" s="9"/>
      <c r="AL103" s="6"/>
      <c r="AM103" s="12"/>
      <c r="AN103" s="14"/>
      <c r="AO103" s="12"/>
      <c r="AP103" s="14"/>
      <c r="AQ103" s="6"/>
      <c r="AR103" s="6">
        <v>97</v>
      </c>
      <c r="AS103" s="6"/>
    </row>
    <row r="104" spans="1:64" ht="15.75" customHeight="1" x14ac:dyDescent="0.2">
      <c r="A104" s="10">
        <v>46085</v>
      </c>
      <c r="B104" s="11">
        <v>0.50859953703703709</v>
      </c>
      <c r="C104" s="1" t="s">
        <v>43</v>
      </c>
      <c r="D104" s="1" t="s">
        <v>113</v>
      </c>
      <c r="E104" s="1">
        <v>72</v>
      </c>
      <c r="F104" s="1" t="s">
        <v>46</v>
      </c>
      <c r="G104" s="1">
        <v>1</v>
      </c>
      <c r="H104" s="1">
        <v>1</v>
      </c>
      <c r="I104" s="1" t="s">
        <v>47</v>
      </c>
      <c r="J104" s="1" t="s">
        <v>48</v>
      </c>
      <c r="K104" s="1">
        <v>0.11799999999999999</v>
      </c>
      <c r="L104" s="1">
        <v>2.04</v>
      </c>
      <c r="M104" s="1">
        <v>54.3</v>
      </c>
      <c r="N104" s="1" t="s">
        <v>49</v>
      </c>
      <c r="O104" s="1" t="s">
        <v>50</v>
      </c>
      <c r="P104" s="1">
        <v>0.77100000000000002</v>
      </c>
      <c r="Q104" s="1">
        <v>8.3699999999999992</v>
      </c>
      <c r="R104" s="1">
        <v>569</v>
      </c>
      <c r="S104" s="6"/>
      <c r="T104" s="6">
        <v>1</v>
      </c>
      <c r="U104" s="6">
        <v>1</v>
      </c>
      <c r="V104" s="6"/>
      <c r="W104" s="12">
        <f t="shared" si="12"/>
        <v>54.3</v>
      </c>
      <c r="X104" s="7">
        <f t="shared" si="13"/>
        <v>54.3</v>
      </c>
      <c r="Y104" s="7">
        <f t="shared" si="14"/>
        <v>54.3</v>
      </c>
      <c r="Z104" s="6"/>
      <c r="AA104" s="6"/>
      <c r="AB104" s="12"/>
      <c r="AC104" s="14"/>
      <c r="AD104" s="6"/>
      <c r="AE104" s="6"/>
      <c r="AF104" s="6">
        <v>1</v>
      </c>
      <c r="AG104" s="6"/>
      <c r="AH104" s="6">
        <f t="shared" si="15"/>
        <v>569</v>
      </c>
      <c r="AI104" s="13">
        <f t="shared" si="16"/>
        <v>569</v>
      </c>
      <c r="AJ104" s="13">
        <f t="shared" si="17"/>
        <v>569</v>
      </c>
      <c r="AK104" s="9"/>
      <c r="AL104" s="6"/>
      <c r="AM104" s="12"/>
      <c r="AN104" s="14"/>
      <c r="AO104" s="9"/>
      <c r="AP104" s="6"/>
      <c r="AQ104" s="6"/>
      <c r="AR104" s="6">
        <v>98</v>
      </c>
      <c r="AS104" s="6"/>
    </row>
    <row r="105" spans="1:64" ht="15.75" customHeight="1" x14ac:dyDescent="0.2">
      <c r="A105" s="10">
        <v>46085</v>
      </c>
      <c r="B105" s="11">
        <v>0.50949074074074074</v>
      </c>
      <c r="C105" s="1" t="s">
        <v>43</v>
      </c>
      <c r="D105" s="1" t="s">
        <v>114</v>
      </c>
      <c r="E105" s="1">
        <v>73</v>
      </c>
      <c r="F105" s="1" t="s">
        <v>46</v>
      </c>
      <c r="G105" s="1">
        <v>1</v>
      </c>
      <c r="H105" s="1">
        <v>1</v>
      </c>
      <c r="I105" s="1" t="s">
        <v>47</v>
      </c>
      <c r="J105" s="1" t="s">
        <v>48</v>
      </c>
      <c r="K105" s="1">
        <v>4.7E-2</v>
      </c>
      <c r="L105" s="1">
        <v>1.01</v>
      </c>
      <c r="M105" s="1">
        <v>18.5</v>
      </c>
      <c r="N105" s="1" t="s">
        <v>49</v>
      </c>
      <c r="O105" s="1" t="s">
        <v>50</v>
      </c>
      <c r="P105" s="1">
        <v>0.48099999999999998</v>
      </c>
      <c r="Q105" s="1">
        <v>5.22</v>
      </c>
      <c r="R105" s="1">
        <v>323</v>
      </c>
      <c r="T105" s="6">
        <v>1</v>
      </c>
      <c r="U105" s="6">
        <v>1</v>
      </c>
      <c r="V105" s="6"/>
      <c r="W105" s="12">
        <f t="shared" si="12"/>
        <v>18.5</v>
      </c>
      <c r="X105" s="7">
        <f t="shared" si="13"/>
        <v>18.5</v>
      </c>
      <c r="Y105" s="7">
        <f t="shared" si="14"/>
        <v>18.5</v>
      </c>
      <c r="Z105" s="6"/>
      <c r="AA105" s="6"/>
      <c r="AB105" s="9"/>
      <c r="AC105" s="6"/>
      <c r="AD105" s="6"/>
      <c r="AE105" s="6"/>
      <c r="AF105" s="6">
        <v>1</v>
      </c>
      <c r="AG105" s="6"/>
      <c r="AH105" s="6">
        <f t="shared" si="15"/>
        <v>323</v>
      </c>
      <c r="AI105" s="13">
        <f t="shared" si="16"/>
        <v>323</v>
      </c>
      <c r="AJ105" s="13">
        <f t="shared" si="17"/>
        <v>323</v>
      </c>
      <c r="AK105" s="9"/>
      <c r="AL105" s="6"/>
      <c r="AM105" s="9"/>
      <c r="AN105" s="6"/>
      <c r="AO105" s="9"/>
      <c r="AP105" s="6"/>
      <c r="AQ105" s="6"/>
      <c r="AR105" s="6">
        <v>99</v>
      </c>
      <c r="AS105" s="6"/>
    </row>
    <row r="106" spans="1:64" ht="15.75" customHeight="1" x14ac:dyDescent="0.2">
      <c r="A106" s="10">
        <v>46085</v>
      </c>
      <c r="B106" s="11">
        <v>0.51037037037037036</v>
      </c>
      <c r="C106" s="1" t="s">
        <v>43</v>
      </c>
      <c r="D106" s="1" t="s">
        <v>115</v>
      </c>
      <c r="E106" s="1">
        <v>74</v>
      </c>
      <c r="F106" s="1" t="s">
        <v>75</v>
      </c>
      <c r="G106" s="1">
        <v>1</v>
      </c>
      <c r="H106" s="1">
        <v>1</v>
      </c>
      <c r="I106" s="1" t="s">
        <v>47</v>
      </c>
      <c r="J106" s="1" t="s">
        <v>48</v>
      </c>
      <c r="K106" s="1">
        <v>0.12</v>
      </c>
      <c r="L106" s="1">
        <v>2.11</v>
      </c>
      <c r="M106" s="1">
        <v>56.7</v>
      </c>
      <c r="N106" s="1" t="s">
        <v>49</v>
      </c>
      <c r="O106" s="1" t="s">
        <v>50</v>
      </c>
      <c r="P106" s="1">
        <v>0.35699999999999998</v>
      </c>
      <c r="Q106" s="1">
        <v>3.89</v>
      </c>
      <c r="R106" s="1">
        <v>219</v>
      </c>
      <c r="T106" s="6">
        <v>1</v>
      </c>
      <c r="U106" s="6">
        <v>1</v>
      </c>
      <c r="V106" s="6"/>
      <c r="W106" s="12">
        <f t="shared" si="12"/>
        <v>56.7</v>
      </c>
      <c r="X106" s="7">
        <f t="shared" si="13"/>
        <v>56.7</v>
      </c>
      <c r="Y106" s="7">
        <f t="shared" si="14"/>
        <v>56.7</v>
      </c>
      <c r="AB106" s="12"/>
      <c r="AC106" s="14"/>
      <c r="AD106" s="6"/>
      <c r="AE106" s="6"/>
      <c r="AF106" s="6">
        <v>1</v>
      </c>
      <c r="AG106" s="6"/>
      <c r="AH106" s="6">
        <f t="shared" si="15"/>
        <v>219</v>
      </c>
      <c r="AI106" s="13">
        <f t="shared" si="16"/>
        <v>219</v>
      </c>
      <c r="AJ106" s="13">
        <f t="shared" si="17"/>
        <v>219</v>
      </c>
      <c r="AK106" s="12"/>
      <c r="AM106" s="12"/>
      <c r="AN106" s="14"/>
      <c r="AO106" s="9"/>
      <c r="AP106" s="6"/>
      <c r="AQ106" s="6"/>
      <c r="AR106" s="6">
        <v>100</v>
      </c>
      <c r="AS106" s="6"/>
    </row>
    <row r="107" spans="1:64" ht="15.75" customHeight="1" x14ac:dyDescent="0.2">
      <c r="A107" s="10">
        <v>46085</v>
      </c>
      <c r="B107" s="11">
        <v>0.5113078703703704</v>
      </c>
      <c r="C107" s="1" t="s">
        <v>43</v>
      </c>
      <c r="D107" s="1" t="s">
        <v>116</v>
      </c>
      <c r="E107" s="1">
        <v>80</v>
      </c>
      <c r="F107" s="1" t="s">
        <v>75</v>
      </c>
      <c r="G107" s="1">
        <v>1</v>
      </c>
      <c r="H107" s="1">
        <v>1</v>
      </c>
      <c r="I107" s="1" t="s">
        <v>47</v>
      </c>
      <c r="J107" s="1" t="s">
        <v>48</v>
      </c>
      <c r="K107" s="1">
        <v>7.3200000000000001E-2</v>
      </c>
      <c r="L107" s="1">
        <v>1.36</v>
      </c>
      <c r="M107" s="1">
        <v>30.7</v>
      </c>
      <c r="N107" s="1" t="s">
        <v>49</v>
      </c>
      <c r="O107" s="1" t="s">
        <v>50</v>
      </c>
      <c r="P107" s="1">
        <v>0.26600000000000001</v>
      </c>
      <c r="Q107" s="1">
        <v>2.86</v>
      </c>
      <c r="R107" s="1">
        <v>140</v>
      </c>
      <c r="T107" s="6">
        <v>1</v>
      </c>
      <c r="U107" s="6">
        <v>1</v>
      </c>
      <c r="V107" s="6"/>
      <c r="W107" s="12">
        <f t="shared" si="12"/>
        <v>30.7</v>
      </c>
      <c r="X107" s="7">
        <f t="shared" si="13"/>
        <v>30.7</v>
      </c>
      <c r="Y107" s="7">
        <f t="shared" si="14"/>
        <v>30.7</v>
      </c>
      <c r="Z107" s="6"/>
      <c r="AA107" s="6"/>
      <c r="AB107" s="12">
        <f>ABS(100*ABS(Y107-Y106)/AVERAGE(Y107,Y106))</f>
        <v>59.496567505720833</v>
      </c>
      <c r="AC107" s="14" t="str">
        <f>IF(Y107&gt;10, (IF((AND(AB107&gt;=0,AB107&lt;=20)=TRUE),"PASS","FAIL")),(IF((AND(AB107&gt;=0,AB107&lt;=50)=TRUE),"PASS","FAIL")))</f>
        <v>FAIL</v>
      </c>
      <c r="AF107" s="6">
        <v>1</v>
      </c>
      <c r="AG107" s="6"/>
      <c r="AH107" s="6">
        <f t="shared" si="15"/>
        <v>140</v>
      </c>
      <c r="AI107" s="13">
        <f t="shared" si="16"/>
        <v>140</v>
      </c>
      <c r="AJ107" s="13">
        <f t="shared" si="17"/>
        <v>140</v>
      </c>
      <c r="AK107" s="9"/>
      <c r="AL107" s="6"/>
      <c r="AM107" s="12">
        <f>ABS(100*ABS(AJ107-AJ106)/AVERAGE(AJ107,AJ106))</f>
        <v>44.01114206128134</v>
      </c>
      <c r="AN107" s="14" t="str">
        <f>IF(AJ107&gt;10, (IF((AND(AM107&gt;=0,AM107&lt;=20)=TRUE),"PASS","FAIL")),(IF((AND(AM107&gt;=0,AM107&lt;=50)=TRUE),"PASS","FAIL")))</f>
        <v>FAIL</v>
      </c>
      <c r="AO107" s="12"/>
      <c r="AQ107" s="6"/>
      <c r="AR107" s="6">
        <v>101</v>
      </c>
      <c r="AS107" s="6"/>
    </row>
    <row r="108" spans="1:64" ht="15.75" customHeight="1" x14ac:dyDescent="0.2">
      <c r="A108" s="10">
        <v>46085</v>
      </c>
      <c r="B108" s="11">
        <v>0.51218750000000002</v>
      </c>
      <c r="C108" s="1" t="s">
        <v>43</v>
      </c>
      <c r="D108" s="1" t="s">
        <v>117</v>
      </c>
      <c r="E108" s="1">
        <v>75</v>
      </c>
      <c r="F108" s="1" t="s">
        <v>46</v>
      </c>
      <c r="G108" s="1">
        <v>1</v>
      </c>
      <c r="H108" s="1">
        <v>1</v>
      </c>
      <c r="I108" s="1" t="s">
        <v>47</v>
      </c>
      <c r="J108" s="1" t="s">
        <v>48</v>
      </c>
      <c r="K108" s="1">
        <v>8.2000000000000003E-2</v>
      </c>
      <c r="L108" s="1">
        <v>1.49</v>
      </c>
      <c r="M108" s="1">
        <v>35.1</v>
      </c>
      <c r="N108" s="1" t="s">
        <v>49</v>
      </c>
      <c r="O108" s="1" t="s">
        <v>50</v>
      </c>
      <c r="P108" s="1">
        <v>1.77</v>
      </c>
      <c r="Q108" s="1">
        <v>18.600000000000001</v>
      </c>
      <c r="R108" s="1">
        <v>1360</v>
      </c>
      <c r="S108" s="6"/>
      <c r="T108" s="6">
        <v>1</v>
      </c>
      <c r="U108" s="6">
        <v>1</v>
      </c>
      <c r="V108" s="6"/>
      <c r="W108" s="12">
        <f t="shared" si="12"/>
        <v>35.1</v>
      </c>
      <c r="X108" s="7">
        <f t="shared" si="13"/>
        <v>35.1</v>
      </c>
      <c r="Y108" s="7">
        <f t="shared" si="14"/>
        <v>35.1</v>
      </c>
      <c r="Z108" s="6"/>
      <c r="AA108" s="6"/>
      <c r="AB108" s="12"/>
      <c r="AD108" s="14"/>
      <c r="AE108" s="14"/>
      <c r="AF108" s="6">
        <v>1</v>
      </c>
      <c r="AG108" s="6"/>
      <c r="AH108" s="6">
        <f t="shared" si="15"/>
        <v>1360</v>
      </c>
      <c r="AI108" s="13">
        <f t="shared" si="16"/>
        <v>1360</v>
      </c>
      <c r="AJ108" s="13">
        <f t="shared" si="17"/>
        <v>1360</v>
      </c>
      <c r="AK108" s="9"/>
      <c r="AL108" s="6"/>
      <c r="AM108" s="12"/>
      <c r="AO108" s="12"/>
      <c r="AP108" s="14"/>
      <c r="AQ108" s="6"/>
      <c r="AR108" s="6">
        <v>102</v>
      </c>
      <c r="AS108" s="6"/>
    </row>
    <row r="109" spans="1:64" ht="15.75" customHeight="1" x14ac:dyDescent="0.2">
      <c r="A109" s="10">
        <v>46085</v>
      </c>
      <c r="B109" s="11">
        <v>0.51307870370370368</v>
      </c>
      <c r="C109" s="1" t="s">
        <v>43</v>
      </c>
      <c r="D109" s="1" t="s">
        <v>118</v>
      </c>
      <c r="E109" s="1">
        <v>76</v>
      </c>
      <c r="F109" s="1" t="s">
        <v>46</v>
      </c>
      <c r="G109" s="1">
        <v>1</v>
      </c>
      <c r="H109" s="1">
        <v>1</v>
      </c>
      <c r="I109" s="1" t="s">
        <v>47</v>
      </c>
      <c r="J109" s="1" t="s">
        <v>48</v>
      </c>
      <c r="K109" s="1">
        <v>2.7799999999999998E-2</v>
      </c>
      <c r="L109" s="1">
        <v>0.65700000000000003</v>
      </c>
      <c r="M109" s="1">
        <v>6.59</v>
      </c>
      <c r="N109" s="1" t="s">
        <v>49</v>
      </c>
      <c r="O109" s="1" t="s">
        <v>50</v>
      </c>
      <c r="P109" s="1">
        <v>0.36099999999999999</v>
      </c>
      <c r="Q109" s="1">
        <v>3.94</v>
      </c>
      <c r="R109" s="1">
        <v>223</v>
      </c>
      <c r="T109" s="6">
        <v>1</v>
      </c>
      <c r="U109" s="6">
        <v>1</v>
      </c>
      <c r="V109" s="6"/>
      <c r="W109" s="12">
        <f t="shared" si="12"/>
        <v>6.59</v>
      </c>
      <c r="X109" s="7">
        <f t="shared" si="13"/>
        <v>6.59</v>
      </c>
      <c r="Y109" s="7">
        <f t="shared" si="14"/>
        <v>6.59</v>
      </c>
      <c r="Z109" s="6"/>
      <c r="AA109" s="6"/>
      <c r="AB109" s="12"/>
      <c r="AC109" s="14"/>
      <c r="AF109" s="6">
        <v>1</v>
      </c>
      <c r="AG109" s="6"/>
      <c r="AH109" s="6">
        <f t="shared" si="15"/>
        <v>223</v>
      </c>
      <c r="AI109" s="13">
        <f t="shared" si="16"/>
        <v>223</v>
      </c>
      <c r="AJ109" s="13">
        <f t="shared" si="17"/>
        <v>223</v>
      </c>
      <c r="AK109" s="9"/>
      <c r="AL109" s="6"/>
      <c r="AM109" s="12"/>
      <c r="AN109" s="14"/>
      <c r="AO109" s="12"/>
      <c r="AQ109" s="6"/>
      <c r="AR109" s="6">
        <v>103</v>
      </c>
      <c r="AS109" s="6"/>
    </row>
    <row r="110" spans="1:64" ht="15.75" customHeight="1" x14ac:dyDescent="0.2">
      <c r="A110" s="10">
        <v>46085</v>
      </c>
      <c r="B110" s="11">
        <v>0.51393518518518522</v>
      </c>
      <c r="C110" s="1" t="s">
        <v>43</v>
      </c>
      <c r="D110" s="1" t="s">
        <v>119</v>
      </c>
      <c r="E110" s="1">
        <v>77</v>
      </c>
      <c r="F110" s="1" t="s">
        <v>46</v>
      </c>
      <c r="G110" s="1">
        <v>1</v>
      </c>
      <c r="H110" s="1">
        <v>1</v>
      </c>
      <c r="I110" s="1" t="s">
        <v>47</v>
      </c>
      <c r="J110" s="1" t="s">
        <v>48</v>
      </c>
      <c r="K110" s="1">
        <v>0.62</v>
      </c>
      <c r="L110" s="1">
        <v>9.69</v>
      </c>
      <c r="M110" s="1">
        <v>352</v>
      </c>
      <c r="N110" s="1" t="s">
        <v>49</v>
      </c>
      <c r="O110" s="1" t="s">
        <v>50</v>
      </c>
      <c r="P110" s="1">
        <v>2.4</v>
      </c>
      <c r="Q110" s="1">
        <v>24.7</v>
      </c>
      <c r="R110" s="1">
        <v>1840</v>
      </c>
      <c r="S110" s="6"/>
      <c r="T110" s="6">
        <v>1</v>
      </c>
      <c r="U110" s="6">
        <v>3</v>
      </c>
      <c r="V110" s="6" t="s">
        <v>120</v>
      </c>
      <c r="W110" s="12">
        <f t="shared" si="12"/>
        <v>352</v>
      </c>
      <c r="X110" s="7">
        <f t="shared" si="13"/>
        <v>352</v>
      </c>
      <c r="Y110" s="7">
        <f t="shared" si="14"/>
        <v>352</v>
      </c>
      <c r="Z110" s="6"/>
      <c r="AA110" s="6"/>
      <c r="AB110" s="12"/>
      <c r="AC110" s="14"/>
      <c r="AD110" s="14"/>
      <c r="AE110" s="14"/>
      <c r="AF110" s="6">
        <v>3</v>
      </c>
      <c r="AG110" s="6" t="s">
        <v>120</v>
      </c>
      <c r="AH110" s="6">
        <f t="shared" si="15"/>
        <v>1840</v>
      </c>
      <c r="AI110" s="13">
        <f t="shared" si="16"/>
        <v>1840</v>
      </c>
      <c r="AJ110" s="13">
        <f t="shared" si="17"/>
        <v>1840</v>
      </c>
      <c r="AK110" s="9"/>
      <c r="AL110" s="6"/>
      <c r="AM110" s="12"/>
      <c r="AN110" s="14"/>
      <c r="AO110" s="12"/>
      <c r="AP110" s="14"/>
      <c r="AQ110" s="6"/>
      <c r="AR110" s="6">
        <v>104</v>
      </c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</row>
    <row r="111" spans="1:64" ht="15.75" customHeight="1" x14ac:dyDescent="0.2">
      <c r="A111" s="10">
        <v>46085</v>
      </c>
      <c r="B111" s="11">
        <v>0.51482638888888888</v>
      </c>
      <c r="C111" s="1" t="s">
        <v>43</v>
      </c>
      <c r="D111" s="1" t="s">
        <v>121</v>
      </c>
      <c r="E111" s="1">
        <v>78</v>
      </c>
      <c r="F111" s="1" t="s">
        <v>46</v>
      </c>
      <c r="G111" s="1">
        <v>1</v>
      </c>
      <c r="H111" s="1">
        <v>1</v>
      </c>
      <c r="I111" s="1" t="s">
        <v>47</v>
      </c>
      <c r="J111" s="1" t="s">
        <v>48</v>
      </c>
      <c r="K111" s="1">
        <v>7.7100000000000002E-2</v>
      </c>
      <c r="L111" s="1">
        <v>1.46</v>
      </c>
      <c r="M111" s="1">
        <v>33.9</v>
      </c>
      <c r="N111" s="1" t="s">
        <v>49</v>
      </c>
      <c r="O111" s="1" t="s">
        <v>50</v>
      </c>
      <c r="P111" s="1">
        <v>0.94699999999999995</v>
      </c>
      <c r="Q111" s="1">
        <v>8.66</v>
      </c>
      <c r="R111" s="1">
        <v>590</v>
      </c>
      <c r="S111" s="6"/>
      <c r="T111" s="6">
        <v>1</v>
      </c>
      <c r="U111" s="6">
        <v>1</v>
      </c>
      <c r="V111" s="6"/>
      <c r="W111" s="12">
        <f t="shared" si="12"/>
        <v>33.9</v>
      </c>
      <c r="X111" s="7">
        <f t="shared" si="13"/>
        <v>33.9</v>
      </c>
      <c r="Y111" s="7">
        <f t="shared" si="14"/>
        <v>33.9</v>
      </c>
      <c r="Z111" s="6"/>
      <c r="AA111" s="6"/>
      <c r="AB111" s="12"/>
      <c r="AC111" s="14"/>
      <c r="AD111" s="14"/>
      <c r="AE111" s="14"/>
      <c r="AF111" s="6">
        <v>1</v>
      </c>
      <c r="AG111" s="6"/>
      <c r="AH111" s="6">
        <f t="shared" si="15"/>
        <v>590</v>
      </c>
      <c r="AI111" s="13">
        <f t="shared" si="16"/>
        <v>590</v>
      </c>
      <c r="AJ111" s="13">
        <f t="shared" si="17"/>
        <v>590</v>
      </c>
      <c r="AK111" s="9"/>
      <c r="AL111" s="6"/>
      <c r="AM111" s="12"/>
      <c r="AN111" s="14"/>
      <c r="AO111" s="12"/>
      <c r="AP111" s="14"/>
      <c r="AQ111" s="6"/>
      <c r="AR111" s="6">
        <v>105</v>
      </c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</row>
    <row r="112" spans="1:64" ht="15.75" customHeight="1" x14ac:dyDescent="0.2">
      <c r="A112" s="10">
        <v>46085</v>
      </c>
      <c r="B112" s="11">
        <v>0.52902777777777776</v>
      </c>
      <c r="C112" s="1" t="s">
        <v>122</v>
      </c>
      <c r="D112" s="1" t="s">
        <v>123</v>
      </c>
      <c r="E112" s="1">
        <v>79</v>
      </c>
      <c r="F112" s="1" t="s">
        <v>84</v>
      </c>
      <c r="G112" s="1">
        <v>1</v>
      </c>
      <c r="H112" s="1">
        <v>1</v>
      </c>
      <c r="I112" s="1" t="s">
        <v>47</v>
      </c>
      <c r="J112" s="1" t="s">
        <v>48</v>
      </c>
      <c r="K112" s="1">
        <v>8.3500000000000005E-2</v>
      </c>
      <c r="L112" s="1">
        <v>1.82</v>
      </c>
      <c r="M112" s="1">
        <v>48</v>
      </c>
      <c r="N112" s="1" t="s">
        <v>49</v>
      </c>
      <c r="O112" s="1" t="s">
        <v>50</v>
      </c>
      <c r="P112" s="1">
        <v>4.6399999999999997</v>
      </c>
      <c r="Q112" s="1">
        <v>60.3</v>
      </c>
      <c r="R112" s="1">
        <v>5620</v>
      </c>
      <c r="T112" s="6">
        <v>1</v>
      </c>
      <c r="U112" s="6">
        <v>1</v>
      </c>
      <c r="V112" s="6"/>
      <c r="W112" s="12">
        <f t="shared" si="12"/>
        <v>48</v>
      </c>
      <c r="X112" s="7">
        <f>'Calibration-S40 to end'!$U$11*(QAQC!L112^2)+'Calibration-S40 to end'!$U$12*QAQC!L112+'Calibration-S40 to end'!$U$13</f>
        <v>41.68344252</v>
      </c>
      <c r="Y112" s="7">
        <f t="shared" si="14"/>
        <v>41.68344252</v>
      </c>
      <c r="Z112" s="6"/>
      <c r="AA112" s="6"/>
      <c r="AB112" s="12"/>
      <c r="AC112" s="14"/>
      <c r="AD112" s="14"/>
      <c r="AE112" s="14"/>
      <c r="AF112" s="6">
        <v>1</v>
      </c>
      <c r="AG112" s="6"/>
      <c r="AH112" s="6">
        <f t="shared" si="15"/>
        <v>5620</v>
      </c>
      <c r="AI112" s="13">
        <f>'Calibration-S40 to end'!$I$11*(QAQC!Q112^2)+'Calibration-S40 to end'!$I$12*QAQC!Q112+'Calibration-S40 to end'!$I$13</f>
        <v>1615.7247320000008</v>
      </c>
      <c r="AJ112" s="13">
        <f t="shared" si="17"/>
        <v>1615.7247320000008</v>
      </c>
      <c r="AK112" s="9"/>
      <c r="AL112" s="6"/>
      <c r="AM112" s="12"/>
      <c r="AN112" s="14"/>
      <c r="AO112" s="12"/>
      <c r="AP112" s="14"/>
      <c r="AQ112" s="6"/>
      <c r="AR112" s="6">
        <v>106</v>
      </c>
      <c r="AS112" s="6"/>
    </row>
    <row r="113" spans="1:64" ht="15.75" customHeight="1" x14ac:dyDescent="0.2">
      <c r="A113" s="10">
        <v>46085</v>
      </c>
      <c r="B113" s="11">
        <v>0.52993055555555557</v>
      </c>
      <c r="C113" s="1" t="s">
        <v>122</v>
      </c>
      <c r="D113" s="1" t="s">
        <v>124</v>
      </c>
      <c r="E113" s="1">
        <v>81</v>
      </c>
      <c r="F113" s="1" t="s">
        <v>84</v>
      </c>
      <c r="G113" s="1">
        <v>1</v>
      </c>
      <c r="H113" s="1">
        <v>1</v>
      </c>
      <c r="I113" s="1" t="s">
        <v>47</v>
      </c>
      <c r="J113" s="1" t="s">
        <v>48</v>
      </c>
      <c r="K113" s="1">
        <v>0.11899999999999999</v>
      </c>
      <c r="L113" s="1">
        <v>2.4</v>
      </c>
      <c r="M113" s="1">
        <v>68.400000000000006</v>
      </c>
      <c r="N113" s="1" t="s">
        <v>49</v>
      </c>
      <c r="O113" s="1" t="s">
        <v>50</v>
      </c>
      <c r="P113" s="1">
        <v>5.13</v>
      </c>
      <c r="Q113" s="1">
        <v>66.7</v>
      </c>
      <c r="R113" s="1">
        <v>6100</v>
      </c>
      <c r="T113" s="6">
        <v>1</v>
      </c>
      <c r="U113" s="6">
        <v>1</v>
      </c>
      <c r="V113" s="6"/>
      <c r="W113" s="12">
        <f t="shared" si="12"/>
        <v>68.400000000000006</v>
      </c>
      <c r="X113" s="7">
        <f>'Calibration-S40 to end'!$U$11*(QAQC!L113^2)+'Calibration-S40 to end'!$U$12*QAQC!L113+'Calibration-S40 to end'!$U$13</f>
        <v>58.980148</v>
      </c>
      <c r="Y113" s="7">
        <f t="shared" si="14"/>
        <v>58.980148</v>
      </c>
      <c r="Z113" s="6"/>
      <c r="AA113" s="6"/>
      <c r="AB113" s="12"/>
      <c r="AC113" s="14"/>
      <c r="AD113" s="14">
        <f>100*((Y113*10250)-(Y112*10000))/(1000*250)</f>
        <v>75.084836719999998</v>
      </c>
      <c r="AE113" s="14" t="str">
        <f>IF(Y113&gt;30, (IF((AND(AD113&gt;=80,AD113&lt;=120)=TRUE),"PASS","FAIL")),(IF((AND(AD113&gt;=50,AD113&lt;=150)=TRUE),"PASS","FAIL")))</f>
        <v>FAIL</v>
      </c>
      <c r="AF113" s="6">
        <v>1</v>
      </c>
      <c r="AG113" s="6"/>
      <c r="AH113" s="6">
        <f t="shared" si="15"/>
        <v>6100</v>
      </c>
      <c r="AI113" s="13">
        <f>'Calibration-S40 to end'!$I$11*(QAQC!Q113^2)+'Calibration-S40 to end'!$I$12*QAQC!Q113+'Calibration-S40 to end'!$I$13</f>
        <v>1438.2700120000002</v>
      </c>
      <c r="AJ113" s="13">
        <f t="shared" si="17"/>
        <v>1438.2700120000002</v>
      </c>
      <c r="AK113" s="9"/>
      <c r="AL113" s="6"/>
      <c r="AM113" s="12"/>
      <c r="AN113" s="14"/>
      <c r="AO113" s="12">
        <f>100*((AJ113*10250)-(AJ112*10000))/(1000*2500)</f>
        <v>-56.599187880000244</v>
      </c>
      <c r="AP113" s="14" t="str">
        <f>IF(AJ113&gt;30, (IF((AND(AO113&gt;=80,AO113&lt;=120)=TRUE),"PASS","FAIL")),(IF((AND(AO113&gt;=50,AO113&lt;=150)=TRUE),"PASS","FAIL")))</f>
        <v>FAIL</v>
      </c>
      <c r="AQ113" s="6"/>
      <c r="AR113" s="6">
        <v>107</v>
      </c>
      <c r="AS113" s="6"/>
    </row>
    <row r="114" spans="1:64" ht="15.75" customHeight="1" x14ac:dyDescent="0.2">
      <c r="A114" s="10">
        <v>46085</v>
      </c>
      <c r="B114" s="11">
        <v>0.53083333333333338</v>
      </c>
      <c r="C114" s="1" t="s">
        <v>122</v>
      </c>
      <c r="D114" s="1" t="s">
        <v>125</v>
      </c>
      <c r="E114" s="1" t="s">
        <v>58</v>
      </c>
      <c r="F114" s="1" t="s">
        <v>46</v>
      </c>
      <c r="G114" s="1">
        <v>1</v>
      </c>
      <c r="H114" s="1">
        <v>1</v>
      </c>
      <c r="I114" s="1" t="s">
        <v>47</v>
      </c>
      <c r="J114" s="1" t="s">
        <v>48</v>
      </c>
      <c r="K114" s="1">
        <v>1.2500000000000001E-2</v>
      </c>
      <c r="L114" s="1">
        <v>0.13900000000000001</v>
      </c>
      <c r="M114" s="1">
        <v>-10.4</v>
      </c>
      <c r="N114" s="1" t="s">
        <v>49</v>
      </c>
      <c r="O114" s="1" t="s">
        <v>50</v>
      </c>
      <c r="P114" s="1">
        <v>2.0400000000000001E-2</v>
      </c>
      <c r="Q114" s="1">
        <v>0.318</v>
      </c>
      <c r="R114" s="1">
        <v>-54.8</v>
      </c>
      <c r="T114" s="6">
        <v>1</v>
      </c>
      <c r="U114" s="6">
        <v>1</v>
      </c>
      <c r="V114" s="6"/>
      <c r="W114" s="12">
        <f t="shared" si="12"/>
        <v>-10.4</v>
      </c>
      <c r="X114" s="7">
        <f>'Calibration-S40 to end'!$U$11*(QAQC!L114^2)+'Calibration-S40 to end'!$U$12*QAQC!L114+'Calibration-S40 to end'!$U$13</f>
        <v>-9.8257102267</v>
      </c>
      <c r="Y114" s="7">
        <f t="shared" si="14"/>
        <v>-9.8257102267</v>
      </c>
      <c r="Z114" s="6"/>
      <c r="AA114" s="6"/>
      <c r="AB114" s="9"/>
      <c r="AC114" s="6"/>
      <c r="AD114" s="14"/>
      <c r="AE114" s="14"/>
      <c r="AF114" s="6">
        <v>1</v>
      </c>
      <c r="AG114" s="6"/>
      <c r="AH114" s="6">
        <f t="shared" si="15"/>
        <v>-54.8</v>
      </c>
      <c r="AI114" s="13">
        <f>'Calibration-S40 to end'!$I$11*(QAQC!Q114^2)+'Calibration-S40 to end'!$I$12*QAQC!Q114+'Calibration-S40 to end'!$I$13</f>
        <v>-74.545258832800002</v>
      </c>
      <c r="AJ114" s="13">
        <f t="shared" si="17"/>
        <v>-74.545258832800002</v>
      </c>
      <c r="AK114" s="9"/>
      <c r="AL114" s="6"/>
      <c r="AM114" s="9"/>
      <c r="AN114" s="6"/>
      <c r="AO114" s="12"/>
      <c r="AP114" s="14"/>
      <c r="AQ114" s="6"/>
      <c r="AR114" s="6">
        <v>108</v>
      </c>
      <c r="AS114" s="6"/>
    </row>
    <row r="115" spans="1:64" ht="15.75" customHeight="1" x14ac:dyDescent="0.2">
      <c r="A115" s="10">
        <v>46085</v>
      </c>
      <c r="B115" s="11">
        <v>0.53172453703703704</v>
      </c>
      <c r="C115" s="1" t="s">
        <v>122</v>
      </c>
      <c r="D115" s="1" t="s">
        <v>126</v>
      </c>
      <c r="E115" s="1">
        <v>18</v>
      </c>
      <c r="F115" s="1" t="s">
        <v>88</v>
      </c>
      <c r="G115" s="1">
        <v>1</v>
      </c>
      <c r="H115" s="1">
        <v>1</v>
      </c>
      <c r="I115" s="1" t="s">
        <v>47</v>
      </c>
      <c r="J115" s="1" t="s">
        <v>48</v>
      </c>
      <c r="K115" s="1">
        <v>5.4399999999999997E-2</v>
      </c>
      <c r="L115" s="1">
        <v>1.26</v>
      </c>
      <c r="M115" s="1">
        <v>28.2</v>
      </c>
      <c r="N115" s="1" t="s">
        <v>49</v>
      </c>
      <c r="O115" s="1" t="s">
        <v>50</v>
      </c>
      <c r="P115" s="1">
        <v>0.39</v>
      </c>
      <c r="Q115" s="1">
        <v>4.78</v>
      </c>
      <c r="R115" s="1">
        <v>437</v>
      </c>
      <c r="T115" s="6">
        <v>1</v>
      </c>
      <c r="U115" s="6">
        <v>1</v>
      </c>
      <c r="V115" s="6"/>
      <c r="W115" s="12">
        <f t="shared" si="12"/>
        <v>28.2</v>
      </c>
      <c r="X115" s="7">
        <f>'Calibration-S40 to end'!$U$11*(QAQC!L115^2)+'Calibration-S40 to end'!$U$12*QAQC!L115+'Calibration-S40 to end'!$U$13</f>
        <v>24.751627479999993</v>
      </c>
      <c r="Y115" s="7">
        <f t="shared" si="14"/>
        <v>24.751627479999993</v>
      </c>
      <c r="Z115" s="6">
        <f>100*(Y115-25)/25</f>
        <v>-0.99349008000002925</v>
      </c>
      <c r="AA115" s="6" t="str">
        <f>IF((ABS(Z115))&lt;=20,"PASS","FAIL")</f>
        <v>PASS</v>
      </c>
      <c r="AB115" s="12"/>
      <c r="AC115" s="14"/>
      <c r="AD115" s="14"/>
      <c r="AE115" s="14"/>
      <c r="AF115" s="6">
        <v>1</v>
      </c>
      <c r="AG115" s="6"/>
      <c r="AH115" s="6">
        <f t="shared" si="15"/>
        <v>437</v>
      </c>
      <c r="AI115" s="13">
        <f>'Calibration-S40 to end'!$I$11*(QAQC!Q115^2)+'Calibration-S40 to end'!$I$12*QAQC!Q115+'Calibration-S40 to end'!$I$13</f>
        <v>259.83061552000004</v>
      </c>
      <c r="AJ115" s="13">
        <f t="shared" si="17"/>
        <v>259.83061552000004</v>
      </c>
      <c r="AK115" s="9">
        <f>100*(AJ115-250)/250</f>
        <v>3.9322462080000151</v>
      </c>
      <c r="AL115" s="6" t="str">
        <f>IF((ABS(AK115))&lt;=20,"PASS","FAIL")</f>
        <v>PASS</v>
      </c>
      <c r="AM115" s="12"/>
      <c r="AN115" s="14"/>
      <c r="AO115" s="12"/>
      <c r="AP115" s="14"/>
      <c r="AQ115" s="6"/>
      <c r="AR115" s="6">
        <v>109</v>
      </c>
      <c r="AS115" s="6"/>
    </row>
    <row r="116" spans="1:64" ht="15.75" customHeight="1" x14ac:dyDescent="0.2">
      <c r="A116" s="10">
        <v>46085</v>
      </c>
      <c r="B116" s="11">
        <v>0.53260416666666666</v>
      </c>
      <c r="C116" s="1" t="s">
        <v>122</v>
      </c>
      <c r="D116" s="1" t="s">
        <v>51</v>
      </c>
      <c r="E116" s="1" t="s">
        <v>52</v>
      </c>
      <c r="F116" s="1" t="s">
        <v>46</v>
      </c>
      <c r="G116" s="1">
        <v>1</v>
      </c>
      <c r="H116" s="1">
        <v>1</v>
      </c>
      <c r="I116" s="1" t="s">
        <v>47</v>
      </c>
      <c r="J116" s="1" t="s">
        <v>48</v>
      </c>
      <c r="K116" s="1">
        <v>0.13500000000000001</v>
      </c>
      <c r="L116" s="1">
        <v>1.64</v>
      </c>
      <c r="M116" s="1">
        <v>41.7</v>
      </c>
      <c r="N116" s="1" t="s">
        <v>49</v>
      </c>
      <c r="O116" s="1" t="s">
        <v>50</v>
      </c>
      <c r="P116" s="1">
        <v>1.85</v>
      </c>
      <c r="Q116" s="1">
        <v>24.5</v>
      </c>
      <c r="R116" s="1">
        <v>2480</v>
      </c>
      <c r="S116" s="6">
        <f>100*(Q117/Q116)</f>
        <v>101.63265306122449</v>
      </c>
      <c r="T116" s="6">
        <v>1</v>
      </c>
      <c r="U116" s="6">
        <v>1</v>
      </c>
      <c r="V116" s="6"/>
      <c r="W116" s="12">
        <f t="shared" si="12"/>
        <v>41.7</v>
      </c>
      <c r="X116" s="7">
        <f>'Calibration-S40 to end'!$U$11*(QAQC!L116^2)+'Calibration-S40 to end'!$U$12*QAQC!L116+'Calibration-S40 to end'!$U$13</f>
        <v>36.265882079999997</v>
      </c>
      <c r="Y116" s="7">
        <f t="shared" si="14"/>
        <v>36.265882079999997</v>
      </c>
      <c r="Z116" s="6"/>
      <c r="AA116" s="6"/>
      <c r="AB116" s="12"/>
      <c r="AC116" s="14"/>
      <c r="AD116" s="6"/>
      <c r="AE116" s="6"/>
      <c r="AF116" s="6">
        <v>1</v>
      </c>
      <c r="AG116" s="6"/>
      <c r="AH116" s="6">
        <f t="shared" si="15"/>
        <v>2480</v>
      </c>
      <c r="AI116" s="13">
        <f>'Calibration-S40 to end'!$I$11*(QAQC!Q116^2)+'Calibration-S40 to end'!$I$12*QAQC!Q116+'Calibration-S40 to end'!$I$13</f>
        <v>1336.0000000000002</v>
      </c>
      <c r="AJ116" s="13">
        <f t="shared" si="17"/>
        <v>1336.0000000000002</v>
      </c>
      <c r="AK116" s="9"/>
      <c r="AL116" s="6"/>
      <c r="AM116" s="12"/>
      <c r="AN116" s="14"/>
      <c r="AO116" s="9"/>
      <c r="AP116" s="6"/>
      <c r="AQ116" s="6"/>
      <c r="AR116" s="6">
        <v>110</v>
      </c>
      <c r="AS116" s="6"/>
    </row>
    <row r="117" spans="1:64" ht="15.75" customHeight="1" x14ac:dyDescent="0.2">
      <c r="A117" s="10">
        <v>46085</v>
      </c>
      <c r="B117" s="11">
        <v>0.53349537037037043</v>
      </c>
      <c r="C117" s="1" t="s">
        <v>122</v>
      </c>
      <c r="D117" s="1" t="s">
        <v>53</v>
      </c>
      <c r="E117" s="1" t="s">
        <v>54</v>
      </c>
      <c r="F117" s="1" t="s">
        <v>46</v>
      </c>
      <c r="G117" s="1">
        <v>1</v>
      </c>
      <c r="H117" s="1">
        <v>1</v>
      </c>
      <c r="I117" s="1" t="s">
        <v>47</v>
      </c>
      <c r="J117" s="1" t="s">
        <v>48</v>
      </c>
      <c r="K117" s="1">
        <v>0.13900000000000001</v>
      </c>
      <c r="L117" s="1">
        <v>1.72</v>
      </c>
      <c r="M117" s="1">
        <v>44.5</v>
      </c>
      <c r="N117" s="1" t="s">
        <v>49</v>
      </c>
      <c r="O117" s="1" t="s">
        <v>50</v>
      </c>
      <c r="P117" s="1">
        <v>1.94</v>
      </c>
      <c r="Q117" s="1">
        <v>24.9</v>
      </c>
      <c r="R117" s="1">
        <v>2510</v>
      </c>
      <c r="T117" s="6">
        <v>1</v>
      </c>
      <c r="U117" s="6">
        <v>1</v>
      </c>
      <c r="V117" s="6"/>
      <c r="W117" s="12">
        <f t="shared" si="12"/>
        <v>44.5</v>
      </c>
      <c r="X117" s="7">
        <f>'Calibration-S40 to end'!$U$11*(QAQC!L117^2)+'Calibration-S40 to end'!$U$12*QAQC!L117+'Calibration-S40 to end'!$U$13</f>
        <v>38.676588319999993</v>
      </c>
      <c r="Y117" s="7">
        <f t="shared" si="14"/>
        <v>38.676588319999993</v>
      </c>
      <c r="Z117" s="6"/>
      <c r="AA117" s="6"/>
      <c r="AB117" s="12"/>
      <c r="AC117" s="14"/>
      <c r="AD117" s="14"/>
      <c r="AE117" s="14"/>
      <c r="AF117" s="6">
        <v>1</v>
      </c>
      <c r="AG117" s="6"/>
      <c r="AH117" s="6">
        <f t="shared" si="15"/>
        <v>2510</v>
      </c>
      <c r="AI117" s="13">
        <f>'Calibration-S40 to end'!$I$11*(QAQC!Q117^2)+'Calibration-S40 to end'!$I$12*QAQC!Q117+'Calibration-S40 to end'!$I$13</f>
        <v>1351.050968</v>
      </c>
      <c r="AJ117" s="13">
        <f t="shared" si="17"/>
        <v>1351.050968</v>
      </c>
      <c r="AK117" s="9"/>
      <c r="AL117" s="6"/>
      <c r="AM117" s="12"/>
      <c r="AN117" s="14"/>
      <c r="AO117" s="12"/>
      <c r="AP117" s="14"/>
      <c r="AQ117" s="6"/>
      <c r="AR117" s="6">
        <v>111</v>
      </c>
      <c r="AS117" s="6"/>
    </row>
    <row r="118" spans="1:64" ht="15.75" customHeight="1" x14ac:dyDescent="0.2">
      <c r="A118" s="10">
        <v>46085</v>
      </c>
      <c r="B118" s="11">
        <v>0.53437500000000004</v>
      </c>
      <c r="C118" s="1" t="s">
        <v>122</v>
      </c>
      <c r="D118" s="1" t="s">
        <v>127</v>
      </c>
      <c r="E118" s="1">
        <v>82</v>
      </c>
      <c r="F118" s="1" t="s">
        <v>46</v>
      </c>
      <c r="G118" s="1">
        <v>1</v>
      </c>
      <c r="H118" s="1">
        <v>1</v>
      </c>
      <c r="I118" s="1" t="s">
        <v>47</v>
      </c>
      <c r="J118" s="1" t="s">
        <v>48</v>
      </c>
      <c r="K118" s="1">
        <v>1.9400000000000001E-2</v>
      </c>
      <c r="L118" s="1">
        <v>0.56699999999999995</v>
      </c>
      <c r="M118" s="1">
        <v>4.33</v>
      </c>
      <c r="N118" s="1" t="s">
        <v>49</v>
      </c>
      <c r="O118" s="1" t="s">
        <v>50</v>
      </c>
      <c r="P118" s="1">
        <v>0.29899999999999999</v>
      </c>
      <c r="Q118" s="1">
        <v>4.0199999999999996</v>
      </c>
      <c r="R118" s="1">
        <v>354</v>
      </c>
      <c r="S118" s="6"/>
      <c r="T118" s="6">
        <v>1</v>
      </c>
      <c r="U118" s="6">
        <v>1</v>
      </c>
      <c r="V118" s="6"/>
      <c r="W118" s="12">
        <f t="shared" si="12"/>
        <v>4.33</v>
      </c>
      <c r="X118" s="7">
        <f>'Calibration-S40 to end'!$U$11*(QAQC!L118^2)+'Calibration-S40 to end'!$U$12*QAQC!L118+'Calibration-S40 to end'!$U$13</f>
        <v>3.4835634396999993</v>
      </c>
      <c r="Y118" s="7">
        <f t="shared" si="14"/>
        <v>3.4835634396999993</v>
      </c>
      <c r="Z118" s="6"/>
      <c r="AA118" s="6"/>
      <c r="AB118" s="12"/>
      <c r="AC118" s="14"/>
      <c r="AD118" s="6"/>
      <c r="AE118" s="6"/>
      <c r="AF118" s="6">
        <v>1</v>
      </c>
      <c r="AG118" s="6"/>
      <c r="AH118" s="6">
        <f t="shared" si="15"/>
        <v>354</v>
      </c>
      <c r="AI118" s="13">
        <f>'Calibration-S40 to end'!$I$11*(QAQC!Q118^2)+'Calibration-S40 to end'!$I$12*QAQC!Q118+'Calibration-S40 to end'!$I$13</f>
        <v>205.24685312</v>
      </c>
      <c r="AJ118" s="13">
        <f t="shared" si="17"/>
        <v>205.24685312</v>
      </c>
      <c r="AK118" s="9"/>
      <c r="AL118" s="6"/>
      <c r="AM118" s="12"/>
      <c r="AN118" s="14"/>
      <c r="AO118" s="9"/>
      <c r="AP118" s="6"/>
      <c r="AQ118" s="6"/>
      <c r="AR118" s="6">
        <v>112</v>
      </c>
      <c r="AS118" s="6"/>
    </row>
    <row r="119" spans="1:64" ht="15.75" customHeight="1" x14ac:dyDescent="0.2">
      <c r="A119" s="10">
        <v>46085</v>
      </c>
      <c r="B119" s="11">
        <v>0.5352662037037037</v>
      </c>
      <c r="C119" s="1" t="s">
        <v>122</v>
      </c>
      <c r="D119" s="1" t="s">
        <v>128</v>
      </c>
      <c r="E119" s="1">
        <v>83</v>
      </c>
      <c r="F119" s="1" t="s">
        <v>46</v>
      </c>
      <c r="G119" s="1">
        <v>1</v>
      </c>
      <c r="H119" s="1">
        <v>1</v>
      </c>
      <c r="I119" s="1" t="s">
        <v>47</v>
      </c>
      <c r="J119" s="1" t="s">
        <v>48</v>
      </c>
      <c r="K119" s="1">
        <v>4.19E-2</v>
      </c>
      <c r="L119" s="1">
        <v>1.04</v>
      </c>
      <c r="M119" s="1">
        <v>20.7</v>
      </c>
      <c r="N119" s="1" t="s">
        <v>49</v>
      </c>
      <c r="O119" s="1" t="s">
        <v>50</v>
      </c>
      <c r="P119" s="1">
        <v>0.55400000000000005</v>
      </c>
      <c r="Q119" s="1">
        <v>7.31</v>
      </c>
      <c r="R119" s="1">
        <v>710</v>
      </c>
      <c r="T119" s="6">
        <v>1</v>
      </c>
      <c r="U119" s="6">
        <v>1</v>
      </c>
      <c r="V119" s="6"/>
      <c r="W119" s="12">
        <f t="shared" si="12"/>
        <v>20.7</v>
      </c>
      <c r="X119" s="7">
        <f>'Calibration-S40 to end'!$U$11*(QAQC!L119^2)+'Calibration-S40 to end'!$U$12*QAQC!L119+'Calibration-S40 to end'!$U$13</f>
        <v>18.03760368</v>
      </c>
      <c r="Y119" s="7">
        <f t="shared" si="14"/>
        <v>18.03760368</v>
      </c>
      <c r="Z119" s="6"/>
      <c r="AA119" s="6"/>
      <c r="AB119" s="12"/>
      <c r="AC119" s="14"/>
      <c r="AD119" s="6"/>
      <c r="AE119" s="6"/>
      <c r="AF119" s="6">
        <v>1</v>
      </c>
      <c r="AG119" s="6"/>
      <c r="AH119" s="6">
        <f t="shared" si="15"/>
        <v>710</v>
      </c>
      <c r="AI119" s="13">
        <f>'Calibration-S40 to end'!$I$11*(QAQC!Q119^2)+'Calibration-S40 to end'!$I$12*QAQC!Q119+'Calibration-S40 to end'!$I$13</f>
        <v>434.52686758000004</v>
      </c>
      <c r="AJ119" s="13">
        <f t="shared" si="17"/>
        <v>434.52686758000004</v>
      </c>
      <c r="AK119" s="9"/>
      <c r="AL119" s="6"/>
      <c r="AM119" s="12"/>
      <c r="AN119" s="14"/>
      <c r="AO119" s="9"/>
      <c r="AP119" s="6"/>
      <c r="AQ119" s="6"/>
      <c r="AR119" s="6">
        <v>113</v>
      </c>
      <c r="AS119" s="6"/>
    </row>
    <row r="120" spans="1:64" ht="15.75" customHeight="1" x14ac:dyDescent="0.2">
      <c r="A120" s="10">
        <v>46085</v>
      </c>
      <c r="B120" s="11">
        <v>0.53614583333333332</v>
      </c>
      <c r="C120" s="1" t="s">
        <v>122</v>
      </c>
      <c r="D120" s="1" t="s">
        <v>129</v>
      </c>
      <c r="E120" s="1">
        <v>84</v>
      </c>
      <c r="F120" s="1" t="s">
        <v>46</v>
      </c>
      <c r="G120" s="1">
        <v>1</v>
      </c>
      <c r="H120" s="1">
        <v>1</v>
      </c>
      <c r="I120" s="1" t="s">
        <v>47</v>
      </c>
      <c r="J120" s="1" t="s">
        <v>48</v>
      </c>
      <c r="K120" s="1">
        <v>2.23E-2</v>
      </c>
      <c r="L120" s="1">
        <v>0.63800000000000001</v>
      </c>
      <c r="M120" s="1">
        <v>6.77</v>
      </c>
      <c r="N120" s="1" t="s">
        <v>49</v>
      </c>
      <c r="O120" s="1" t="s">
        <v>50</v>
      </c>
      <c r="P120" s="1">
        <v>0.29899999999999999</v>
      </c>
      <c r="Q120" s="1">
        <v>3.91</v>
      </c>
      <c r="R120" s="1">
        <v>341</v>
      </c>
      <c r="T120" s="6">
        <v>1</v>
      </c>
      <c r="U120" s="6">
        <v>1</v>
      </c>
      <c r="V120" s="6"/>
      <c r="W120" s="12">
        <f t="shared" si="12"/>
        <v>6.77</v>
      </c>
      <c r="X120" s="7">
        <f>'Calibration-S40 to end'!$U$11*(QAQC!L120^2)+'Calibration-S40 to end'!$U$12*QAQC!L120+'Calibration-S40 to end'!$U$13</f>
        <v>5.6785601411999984</v>
      </c>
      <c r="Y120" s="7">
        <f t="shared" si="14"/>
        <v>5.6785601411999984</v>
      </c>
      <c r="Z120" s="6"/>
      <c r="AA120" s="6"/>
      <c r="AB120" s="12"/>
      <c r="AC120" s="14"/>
      <c r="AD120" s="6"/>
      <c r="AE120" s="6"/>
      <c r="AF120" s="6">
        <v>1</v>
      </c>
      <c r="AG120" s="6"/>
      <c r="AH120" s="6">
        <f t="shared" si="15"/>
        <v>341</v>
      </c>
      <c r="AI120" s="13">
        <f>'Calibration-S40 to end'!$I$11*(QAQC!Q120^2)+'Calibration-S40 to end'!$I$12*QAQC!Q120+'Calibration-S40 to end'!$I$13</f>
        <v>197.26597318000003</v>
      </c>
      <c r="AJ120" s="13">
        <f t="shared" si="17"/>
        <v>197.26597318000003</v>
      </c>
      <c r="AK120" s="9"/>
      <c r="AL120" s="6"/>
      <c r="AM120" s="12"/>
      <c r="AN120" s="14"/>
      <c r="AO120" s="9"/>
      <c r="AP120" s="6"/>
      <c r="AQ120" s="6"/>
      <c r="AR120" s="6">
        <v>114</v>
      </c>
      <c r="AS120" s="6"/>
    </row>
    <row r="121" spans="1:64" ht="15.75" customHeight="1" x14ac:dyDescent="0.2">
      <c r="A121" s="10">
        <v>46085</v>
      </c>
      <c r="B121" s="11">
        <v>0.53703703703703709</v>
      </c>
      <c r="C121" s="1" t="s">
        <v>122</v>
      </c>
      <c r="D121" s="1" t="s">
        <v>130</v>
      </c>
      <c r="E121" s="1">
        <v>85</v>
      </c>
      <c r="F121" s="1" t="s">
        <v>46</v>
      </c>
      <c r="G121" s="1">
        <v>1</v>
      </c>
      <c r="H121" s="1">
        <v>1</v>
      </c>
      <c r="I121" s="1" t="s">
        <v>47</v>
      </c>
      <c r="J121" s="1" t="s">
        <v>48</v>
      </c>
      <c r="K121" s="1">
        <v>5.5199999999999999E-2</v>
      </c>
      <c r="L121" s="1">
        <v>1.33</v>
      </c>
      <c r="M121" s="1">
        <v>30.9</v>
      </c>
      <c r="N121" s="1" t="s">
        <v>49</v>
      </c>
      <c r="O121" s="1" t="s">
        <v>50</v>
      </c>
      <c r="P121" s="1">
        <v>0.625</v>
      </c>
      <c r="Q121" s="1">
        <v>8.11</v>
      </c>
      <c r="R121" s="1">
        <v>796</v>
      </c>
      <c r="T121" s="6">
        <v>1</v>
      </c>
      <c r="U121" s="6">
        <v>1</v>
      </c>
      <c r="V121" s="6"/>
      <c r="W121" s="12">
        <f t="shared" si="12"/>
        <v>30.9</v>
      </c>
      <c r="X121" s="7">
        <f>'Calibration-S40 to end'!$U$11*(QAQC!L121^2)+'Calibration-S40 to end'!$U$12*QAQC!L121+'Calibration-S40 to end'!$U$13</f>
        <v>26.880544969999999</v>
      </c>
      <c r="Y121" s="7">
        <f t="shared" si="14"/>
        <v>26.880544969999999</v>
      </c>
      <c r="Z121" s="6"/>
      <c r="AA121" s="6"/>
      <c r="AB121" s="9"/>
      <c r="AC121" s="6"/>
      <c r="AD121" s="14"/>
      <c r="AE121" s="14"/>
      <c r="AF121" s="6">
        <v>1</v>
      </c>
      <c r="AG121" s="6"/>
      <c r="AH121" s="6">
        <f t="shared" si="15"/>
        <v>796</v>
      </c>
      <c r="AI121" s="13">
        <f>'Calibration-S40 to end'!$I$11*(QAQC!Q121^2)+'Calibration-S40 to end'!$I$12*QAQC!Q121+'Calibration-S40 to end'!$I$13</f>
        <v>487.52316838000002</v>
      </c>
      <c r="AJ121" s="13">
        <f t="shared" si="17"/>
        <v>487.52316838000002</v>
      </c>
      <c r="AK121" s="9"/>
      <c r="AL121" s="6"/>
      <c r="AM121" s="9"/>
      <c r="AN121" s="6"/>
      <c r="AO121" s="12"/>
      <c r="AP121" s="14"/>
      <c r="AQ121" s="6"/>
      <c r="AR121" s="6">
        <v>115</v>
      </c>
      <c r="AS121" s="6"/>
    </row>
    <row r="122" spans="1:64" ht="15.75" customHeight="1" x14ac:dyDescent="0.2">
      <c r="A122" s="10">
        <v>46085</v>
      </c>
      <c r="B122" s="11">
        <v>0.53791666666666671</v>
      </c>
      <c r="C122" s="1" t="s">
        <v>122</v>
      </c>
      <c r="D122" s="1" t="s">
        <v>131</v>
      </c>
      <c r="E122" s="1">
        <v>86</v>
      </c>
      <c r="F122" s="1" t="s">
        <v>75</v>
      </c>
      <c r="G122" s="1">
        <v>1</v>
      </c>
      <c r="H122" s="1">
        <v>1</v>
      </c>
      <c r="I122" s="1" t="s">
        <v>47</v>
      </c>
      <c r="J122" s="1" t="s">
        <v>48</v>
      </c>
      <c r="K122" s="1">
        <v>2.29E-2</v>
      </c>
      <c r="L122" s="1">
        <v>0.66200000000000003</v>
      </c>
      <c r="M122" s="1">
        <v>7.62</v>
      </c>
      <c r="N122" s="1" t="s">
        <v>49</v>
      </c>
      <c r="O122" s="1" t="s">
        <v>50</v>
      </c>
      <c r="P122" s="1">
        <v>0.34</v>
      </c>
      <c r="Q122" s="1">
        <v>4.5599999999999996</v>
      </c>
      <c r="R122" s="1">
        <v>412</v>
      </c>
      <c r="T122" s="6">
        <v>1</v>
      </c>
      <c r="U122" s="6">
        <v>1</v>
      </c>
      <c r="V122" s="6"/>
      <c r="W122" s="12">
        <f t="shared" si="12"/>
        <v>7.62</v>
      </c>
      <c r="X122" s="7">
        <f>'Calibration-S40 to end'!$U$11*(QAQC!L122^2)+'Calibration-S40 to end'!$U$12*QAQC!L122+'Calibration-S40 to end'!$U$13</f>
        <v>6.4197039012000019</v>
      </c>
      <c r="Y122" s="7">
        <f t="shared" si="14"/>
        <v>6.4197039012000019</v>
      </c>
      <c r="AB122" s="12"/>
      <c r="AC122" s="14"/>
      <c r="AD122" s="14"/>
      <c r="AE122" s="14"/>
      <c r="AF122" s="6">
        <v>1</v>
      </c>
      <c r="AG122" s="6"/>
      <c r="AH122" s="6">
        <f t="shared" si="15"/>
        <v>412</v>
      </c>
      <c r="AI122" s="13">
        <f>'Calibration-S40 to end'!$I$11*(QAQC!Q122^2)+'Calibration-S40 to end'!$I$12*QAQC!Q122+'Calibration-S40 to end'!$I$13</f>
        <v>244.13010607999999</v>
      </c>
      <c r="AJ122" s="13">
        <f t="shared" si="17"/>
        <v>244.13010607999999</v>
      </c>
      <c r="AK122" s="12"/>
      <c r="AM122" s="12"/>
      <c r="AN122" s="14"/>
      <c r="AO122" s="12"/>
      <c r="AP122" s="14"/>
      <c r="AQ122" s="6"/>
      <c r="AR122" s="6">
        <v>116</v>
      </c>
      <c r="AS122" s="6"/>
    </row>
    <row r="123" spans="1:64" ht="15.75" customHeight="1" x14ac:dyDescent="0.2">
      <c r="A123" s="10">
        <v>46085</v>
      </c>
      <c r="B123" s="11">
        <v>0.53880787037037037</v>
      </c>
      <c r="C123" s="1" t="s">
        <v>122</v>
      </c>
      <c r="D123" s="1" t="s">
        <v>132</v>
      </c>
      <c r="E123" s="1">
        <v>92</v>
      </c>
      <c r="F123" s="1" t="s">
        <v>75</v>
      </c>
      <c r="G123" s="1">
        <v>1</v>
      </c>
      <c r="H123" s="1">
        <v>1</v>
      </c>
      <c r="I123" s="1" t="s">
        <v>47</v>
      </c>
      <c r="J123" s="1" t="s">
        <v>48</v>
      </c>
      <c r="K123" s="1">
        <v>2.35E-2</v>
      </c>
      <c r="L123" s="1">
        <v>0.69</v>
      </c>
      <c r="M123" s="1">
        <v>8.59</v>
      </c>
      <c r="N123" s="1" t="s">
        <v>49</v>
      </c>
      <c r="O123" s="1" t="s">
        <v>50</v>
      </c>
      <c r="P123" s="1">
        <v>0.38100000000000001</v>
      </c>
      <c r="Q123" s="1">
        <v>4.6500000000000004</v>
      </c>
      <c r="R123" s="1">
        <v>422</v>
      </c>
      <c r="T123" s="6">
        <v>1</v>
      </c>
      <c r="U123" s="6">
        <v>1</v>
      </c>
      <c r="V123" s="6"/>
      <c r="W123" s="12">
        <f t="shared" si="12"/>
        <v>8.59</v>
      </c>
      <c r="X123" s="7">
        <f>'Calibration-S40 to end'!$U$11*(QAQC!L123^2)+'Calibration-S40 to end'!$U$12*QAQC!L123+'Calibration-S40 to end'!$U$13</f>
        <v>7.2838435299999986</v>
      </c>
      <c r="Y123" s="7">
        <f t="shared" si="14"/>
        <v>7.2838435299999986</v>
      </c>
      <c r="Z123" s="6"/>
      <c r="AA123" s="6"/>
      <c r="AB123" s="12">
        <f>ABS(100*ABS(Y123-Y122)/AVERAGE(Y123,Y122))</f>
        <v>12.611911377524605</v>
      </c>
      <c r="AC123" s="14" t="str">
        <f>IF(Y123&gt;10, (IF((AND(AB123&gt;=0,AB123&lt;=20)=TRUE),"PASS","FAIL")),(IF((AND(AB123&gt;=0,AB123&lt;=50)=TRUE),"PASS","FAIL")))</f>
        <v>PASS</v>
      </c>
      <c r="AF123" s="6">
        <v>1</v>
      </c>
      <c r="AG123" s="6"/>
      <c r="AH123" s="6">
        <f t="shared" si="15"/>
        <v>422</v>
      </c>
      <c r="AI123" s="13">
        <f>'Calibration-S40 to end'!$I$11*(QAQC!Q123^2)+'Calibration-S40 to end'!$I$12*QAQC!Q123+'Calibration-S40 to end'!$I$13</f>
        <v>250.56289550000005</v>
      </c>
      <c r="AJ123" s="13">
        <f t="shared" si="17"/>
        <v>250.56289550000005</v>
      </c>
      <c r="AK123" s="9"/>
      <c r="AL123" s="6"/>
      <c r="AM123" s="12">
        <f>ABS(100*ABS(AJ123-AJ122)/AVERAGE(AJ123,AJ122))</f>
        <v>2.60071979973615</v>
      </c>
      <c r="AN123" s="14" t="str">
        <f>IF(AJ123&gt;10, (IF((AND(AM123&gt;=0,AM123&lt;=20)=TRUE),"PASS","FAIL")),(IF((AND(AM123&gt;=0,AM123&lt;=50)=TRUE),"PASS","FAIL")))</f>
        <v>PASS</v>
      </c>
      <c r="AO123" s="12"/>
      <c r="AQ123" s="6"/>
      <c r="AR123" s="6">
        <v>117</v>
      </c>
      <c r="AS123" s="6"/>
    </row>
    <row r="124" spans="1:64" ht="15.75" customHeight="1" x14ac:dyDescent="0.2">
      <c r="A124" s="10">
        <v>46085</v>
      </c>
      <c r="B124" s="11">
        <v>0.53969907407407403</v>
      </c>
      <c r="C124" s="1" t="s">
        <v>122</v>
      </c>
      <c r="D124" s="1" t="s">
        <v>133</v>
      </c>
      <c r="E124" s="1">
        <v>87</v>
      </c>
      <c r="F124" s="1" t="s">
        <v>46</v>
      </c>
      <c r="G124" s="1">
        <v>1</v>
      </c>
      <c r="H124" s="1">
        <v>1</v>
      </c>
      <c r="I124" s="1" t="s">
        <v>47</v>
      </c>
      <c r="J124" s="1" t="s">
        <v>48</v>
      </c>
      <c r="K124" s="1">
        <v>3.0099999999999998E-2</v>
      </c>
      <c r="L124" s="1">
        <v>0.82399999999999995</v>
      </c>
      <c r="M124" s="1">
        <v>13.2</v>
      </c>
      <c r="N124" s="1" t="s">
        <v>49</v>
      </c>
      <c r="O124" s="1" t="s">
        <v>50</v>
      </c>
      <c r="P124" s="1">
        <v>0.35799999999999998</v>
      </c>
      <c r="Q124" s="1">
        <v>4.84</v>
      </c>
      <c r="R124" s="1">
        <v>443</v>
      </c>
      <c r="S124" s="6"/>
      <c r="T124" s="6">
        <v>1</v>
      </c>
      <c r="U124" s="6">
        <v>1</v>
      </c>
      <c r="V124" s="6"/>
      <c r="W124" s="12">
        <f t="shared" si="12"/>
        <v>13.2</v>
      </c>
      <c r="X124" s="7">
        <f>'Calibration-S40 to end'!$U$11*(QAQC!L124^2)+'Calibration-S40 to end'!$U$12*QAQC!L124+'Calibration-S40 to end'!$U$13</f>
        <v>11.411495404799997</v>
      </c>
      <c r="Y124" s="7">
        <f t="shared" si="14"/>
        <v>11.411495404799997</v>
      </c>
      <c r="Z124" s="6"/>
      <c r="AA124" s="6"/>
      <c r="AB124" s="12"/>
      <c r="AD124" s="14"/>
      <c r="AE124" s="14"/>
      <c r="AF124" s="6">
        <v>1</v>
      </c>
      <c r="AG124" s="6"/>
      <c r="AH124" s="6">
        <f t="shared" si="15"/>
        <v>443</v>
      </c>
      <c r="AI124" s="13">
        <f>'Calibration-S40 to end'!$I$11*(QAQC!Q124^2)+'Calibration-S40 to end'!$I$12*QAQC!Q124+'Calibration-S40 to end'!$I$13</f>
        <v>264.09842368</v>
      </c>
      <c r="AJ124" s="13">
        <f t="shared" si="17"/>
        <v>264.09842368</v>
      </c>
      <c r="AK124" s="9"/>
      <c r="AL124" s="6"/>
      <c r="AM124" s="12"/>
      <c r="AO124" s="12"/>
      <c r="AP124" s="14"/>
      <c r="AQ124" s="6"/>
      <c r="AR124" s="6">
        <v>118</v>
      </c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</row>
    <row r="125" spans="1:64" ht="15.75" customHeight="1" x14ac:dyDescent="0.2">
      <c r="A125" s="10">
        <v>46085</v>
      </c>
      <c r="B125" s="11">
        <v>0.54057870370370376</v>
      </c>
      <c r="C125" s="1" t="s">
        <v>122</v>
      </c>
      <c r="D125" s="1" t="s">
        <v>134</v>
      </c>
      <c r="E125" s="1">
        <v>88</v>
      </c>
      <c r="F125" s="1" t="s">
        <v>46</v>
      </c>
      <c r="G125" s="1">
        <v>1</v>
      </c>
      <c r="H125" s="1">
        <v>1</v>
      </c>
      <c r="I125" s="1" t="s">
        <v>47</v>
      </c>
      <c r="J125" s="1" t="s">
        <v>48</v>
      </c>
      <c r="K125" s="1">
        <v>0.14099999999999999</v>
      </c>
      <c r="L125" s="1">
        <v>2.87</v>
      </c>
      <c r="M125" s="1">
        <v>84.9</v>
      </c>
      <c r="N125" s="1" t="s">
        <v>49</v>
      </c>
      <c r="O125" s="1" t="s">
        <v>50</v>
      </c>
      <c r="P125" s="1">
        <v>0.998</v>
      </c>
      <c r="Q125" s="1">
        <v>12.9</v>
      </c>
      <c r="R125" s="1">
        <v>1300</v>
      </c>
      <c r="S125" s="6"/>
      <c r="T125" s="6">
        <v>1</v>
      </c>
      <c r="U125" s="6">
        <v>1</v>
      </c>
      <c r="V125" s="6"/>
      <c r="W125" s="12">
        <f t="shared" si="12"/>
        <v>84.9</v>
      </c>
      <c r="X125" s="7">
        <f>'Calibration-S40 to end'!$U$11*(QAQC!L125^2)+'Calibration-S40 to end'!$U$12*QAQC!L125+'Calibration-S40 to end'!$U$13</f>
        <v>72.817451370000001</v>
      </c>
      <c r="Y125" s="7">
        <f t="shared" si="14"/>
        <v>72.817451370000001</v>
      </c>
      <c r="Z125" s="6"/>
      <c r="AA125" s="6"/>
      <c r="AB125" s="12"/>
      <c r="AC125" s="14"/>
      <c r="AF125" s="6">
        <v>1</v>
      </c>
      <c r="AG125" s="6"/>
      <c r="AH125" s="6">
        <f t="shared" si="15"/>
        <v>1300</v>
      </c>
      <c r="AI125" s="13">
        <f>'Calibration-S40 to end'!$I$11*(QAQC!Q125^2)+'Calibration-S40 to end'!$I$12*QAQC!Q125+'Calibration-S40 to end'!$I$13</f>
        <v>782.28768800000012</v>
      </c>
      <c r="AJ125" s="13">
        <f t="shared" si="17"/>
        <v>782.28768800000012</v>
      </c>
      <c r="AK125" s="9"/>
      <c r="AL125" s="6"/>
      <c r="AM125" s="12"/>
      <c r="AN125" s="14"/>
      <c r="AO125" s="12"/>
      <c r="AQ125" s="6"/>
      <c r="AR125" s="6">
        <v>119</v>
      </c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</row>
    <row r="126" spans="1:64" ht="15.75" customHeight="1" x14ac:dyDescent="0.2">
      <c r="A126" s="10">
        <v>46085</v>
      </c>
      <c r="B126" s="11">
        <v>0.54146990740740741</v>
      </c>
      <c r="C126" s="1" t="s">
        <v>122</v>
      </c>
      <c r="D126" s="1" t="s">
        <v>135</v>
      </c>
      <c r="E126" s="1">
        <v>89</v>
      </c>
      <c r="F126" s="1" t="s">
        <v>46</v>
      </c>
      <c r="G126" s="1">
        <v>1</v>
      </c>
      <c r="H126" s="1">
        <v>1</v>
      </c>
      <c r="I126" s="1" t="s">
        <v>47</v>
      </c>
      <c r="J126" s="1" t="s">
        <v>48</v>
      </c>
      <c r="K126" s="1">
        <v>8.48E-2</v>
      </c>
      <c r="L126" s="1">
        <v>1.83</v>
      </c>
      <c r="M126" s="1">
        <v>48.2</v>
      </c>
      <c r="N126" s="1" t="s">
        <v>49</v>
      </c>
      <c r="O126" s="1" t="s">
        <v>50</v>
      </c>
      <c r="P126" s="1">
        <v>1.05</v>
      </c>
      <c r="Q126" s="1">
        <v>13.5</v>
      </c>
      <c r="R126" s="1">
        <v>1360</v>
      </c>
      <c r="S126" s="6"/>
      <c r="T126" s="6">
        <v>1</v>
      </c>
      <c r="U126" s="6">
        <v>1</v>
      </c>
      <c r="V126" s="6"/>
      <c r="W126" s="12">
        <f t="shared" si="12"/>
        <v>48.2</v>
      </c>
      <c r="X126" s="7">
        <f>'Calibration-S40 to end'!$U$11*(QAQC!L126^2)+'Calibration-S40 to end'!$U$12*QAQC!L126+'Calibration-S40 to end'!$U$13</f>
        <v>41.983728970000001</v>
      </c>
      <c r="Y126" s="7">
        <f t="shared" si="14"/>
        <v>41.983728970000001</v>
      </c>
      <c r="Z126" s="6"/>
      <c r="AA126" s="6"/>
      <c r="AB126" s="12"/>
      <c r="AC126" s="14"/>
      <c r="AD126" s="14"/>
      <c r="AE126" s="14"/>
      <c r="AF126" s="6">
        <v>1</v>
      </c>
      <c r="AG126" s="6"/>
      <c r="AH126" s="6">
        <f t="shared" si="15"/>
        <v>1360</v>
      </c>
      <c r="AI126" s="13">
        <f>'Calibration-S40 to end'!$I$11*(QAQC!Q126^2)+'Calibration-S40 to end'!$I$12*QAQC!Q126+'Calibration-S40 to end'!$I$13</f>
        <v>816.48650000000009</v>
      </c>
      <c r="AJ126" s="13">
        <f t="shared" si="17"/>
        <v>816.48650000000009</v>
      </c>
      <c r="AK126" s="9"/>
      <c r="AL126" s="6"/>
      <c r="AM126" s="12"/>
      <c r="AN126" s="14"/>
      <c r="AO126" s="12"/>
      <c r="AP126" s="14"/>
      <c r="AQ126" s="6"/>
      <c r="AR126" s="6">
        <v>120</v>
      </c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</row>
    <row r="127" spans="1:64" ht="15.75" customHeight="1" x14ac:dyDescent="0.2">
      <c r="A127" s="10">
        <v>46085</v>
      </c>
      <c r="B127" s="11">
        <v>0.54234953703703703</v>
      </c>
      <c r="C127" s="1" t="s">
        <v>122</v>
      </c>
      <c r="D127" s="1" t="s">
        <v>136</v>
      </c>
      <c r="E127" s="1">
        <v>90</v>
      </c>
      <c r="F127" s="1" t="s">
        <v>46</v>
      </c>
      <c r="G127" s="1">
        <v>1</v>
      </c>
      <c r="H127" s="1">
        <v>1</v>
      </c>
      <c r="I127" s="1" t="s">
        <v>47</v>
      </c>
      <c r="J127" s="1" t="s">
        <v>48</v>
      </c>
      <c r="K127" s="1">
        <v>2.93E-2</v>
      </c>
      <c r="L127" s="1">
        <v>0.80200000000000005</v>
      </c>
      <c r="M127" s="1">
        <v>12.5</v>
      </c>
      <c r="N127" s="1" t="s">
        <v>49</v>
      </c>
      <c r="O127" s="1" t="s">
        <v>50</v>
      </c>
      <c r="P127" s="1">
        <v>0.34799999999999998</v>
      </c>
      <c r="Q127" s="1">
        <v>4.3600000000000003</v>
      </c>
      <c r="R127" s="1">
        <v>391</v>
      </c>
      <c r="S127" s="6"/>
      <c r="T127" s="6">
        <v>1</v>
      </c>
      <c r="U127" s="6">
        <v>1</v>
      </c>
      <c r="V127" s="6"/>
      <c r="W127" s="12">
        <f t="shared" si="12"/>
        <v>12.5</v>
      </c>
      <c r="X127" s="7">
        <f>'Calibration-S40 to end'!$U$11*(QAQC!L127^2)+'Calibration-S40 to end'!$U$12*QAQC!L127+'Calibration-S40 to end'!$U$13</f>
        <v>10.734714909200001</v>
      </c>
      <c r="Y127" s="7">
        <f t="shared" si="14"/>
        <v>10.734714909200001</v>
      </c>
      <c r="Z127" s="6"/>
      <c r="AA127" s="6"/>
      <c r="AB127" s="12"/>
      <c r="AC127" s="14"/>
      <c r="AD127" s="14"/>
      <c r="AE127" s="14"/>
      <c r="AF127" s="6">
        <v>1</v>
      </c>
      <c r="AG127" s="6"/>
      <c r="AH127" s="6">
        <f t="shared" si="15"/>
        <v>391</v>
      </c>
      <c r="AI127" s="13">
        <f>'Calibration-S40 to end'!$I$11*(QAQC!Q127^2)+'Calibration-S40 to end'!$I$12*QAQC!Q127+'Calibration-S40 to end'!$I$13</f>
        <v>229.78617088000007</v>
      </c>
      <c r="AJ127" s="13">
        <f t="shared" si="17"/>
        <v>229.78617088000007</v>
      </c>
      <c r="AK127" s="9"/>
      <c r="AL127" s="6"/>
      <c r="AM127" s="12"/>
      <c r="AN127" s="14"/>
      <c r="AO127" s="12"/>
      <c r="AP127" s="14"/>
      <c r="AQ127" s="6"/>
      <c r="AR127" s="6">
        <v>121</v>
      </c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</row>
    <row r="128" spans="1:64" ht="15.75" customHeight="1" x14ac:dyDescent="0.2">
      <c r="A128" s="10">
        <v>46085</v>
      </c>
      <c r="B128" s="11">
        <v>0.54325231481481484</v>
      </c>
      <c r="C128" s="1" t="s">
        <v>122</v>
      </c>
      <c r="D128" s="1" t="s">
        <v>137</v>
      </c>
      <c r="E128" s="1">
        <v>91</v>
      </c>
      <c r="F128" s="1" t="s">
        <v>84</v>
      </c>
      <c r="G128" s="1">
        <v>1</v>
      </c>
      <c r="H128" s="1">
        <v>1</v>
      </c>
      <c r="I128" s="1" t="s">
        <v>47</v>
      </c>
      <c r="J128" s="1" t="s">
        <v>48</v>
      </c>
      <c r="K128" s="1">
        <v>0.104</v>
      </c>
      <c r="L128" s="1">
        <v>2.25</v>
      </c>
      <c r="M128" s="1">
        <v>62.9</v>
      </c>
      <c r="N128" s="1" t="s">
        <v>49</v>
      </c>
      <c r="O128" s="1" t="s">
        <v>50</v>
      </c>
      <c r="P128" s="1">
        <v>0.84</v>
      </c>
      <c r="Q128" s="1">
        <v>10.8</v>
      </c>
      <c r="R128" s="1">
        <v>1080</v>
      </c>
      <c r="T128" s="6">
        <v>1</v>
      </c>
      <c r="U128" s="6">
        <v>1</v>
      </c>
      <c r="V128" s="6"/>
      <c r="W128" s="12">
        <f t="shared" si="12"/>
        <v>62.9</v>
      </c>
      <c r="X128" s="7">
        <f>'Calibration-S40 to end'!$U$11*(QAQC!L128^2)+'Calibration-S40 to end'!$U$12*QAQC!L128+'Calibration-S40 to end'!$U$13</f>
        <v>54.530256250000008</v>
      </c>
      <c r="Y128" s="7">
        <f t="shared" si="14"/>
        <v>54.530256250000008</v>
      </c>
      <c r="Z128" s="6"/>
      <c r="AA128" s="6"/>
      <c r="AB128" s="9"/>
      <c r="AC128" s="6"/>
      <c r="AD128" s="6"/>
      <c r="AE128" s="6"/>
      <c r="AF128" s="6">
        <v>1</v>
      </c>
      <c r="AG128" s="6"/>
      <c r="AH128" s="6">
        <f t="shared" si="15"/>
        <v>1080</v>
      </c>
      <c r="AI128" s="13">
        <f>'Calibration-S40 to end'!$I$11*(QAQC!Q128^2)+'Calibration-S40 to end'!$I$12*QAQC!Q128+'Calibration-S40 to end'!$I$13</f>
        <v>657.81657200000018</v>
      </c>
      <c r="AJ128" s="13">
        <f t="shared" si="17"/>
        <v>657.81657200000018</v>
      </c>
      <c r="AK128" s="12"/>
      <c r="AM128" s="9"/>
      <c r="AN128" s="6"/>
      <c r="AO128" s="9"/>
      <c r="AP128" s="6"/>
      <c r="AQ128" s="6"/>
      <c r="AR128" s="6">
        <v>122</v>
      </c>
      <c r="AS128" s="6"/>
    </row>
    <row r="129" spans="1:64" ht="15.75" customHeight="1" x14ac:dyDescent="0.2">
      <c r="A129" s="10">
        <v>46085</v>
      </c>
      <c r="B129" s="11">
        <v>0.5441435185185185</v>
      </c>
      <c r="C129" s="1" t="s">
        <v>122</v>
      </c>
      <c r="D129" s="1" t="s">
        <v>138</v>
      </c>
      <c r="E129" s="1">
        <v>93</v>
      </c>
      <c r="F129" s="1" t="s">
        <v>84</v>
      </c>
      <c r="G129" s="1">
        <v>1</v>
      </c>
      <c r="H129" s="1">
        <v>1</v>
      </c>
      <c r="I129" s="1" t="s">
        <v>47</v>
      </c>
      <c r="J129" s="1" t="s">
        <v>48</v>
      </c>
      <c r="K129" s="1">
        <v>0.159</v>
      </c>
      <c r="L129" s="1">
        <v>3.07</v>
      </c>
      <c r="M129" s="1">
        <v>92</v>
      </c>
      <c r="N129" s="1" t="s">
        <v>49</v>
      </c>
      <c r="O129" s="1" t="s">
        <v>50</v>
      </c>
      <c r="P129" s="1">
        <v>1.1200000000000001</v>
      </c>
      <c r="Q129" s="1">
        <v>14.1</v>
      </c>
      <c r="R129" s="1">
        <v>1430</v>
      </c>
      <c r="T129" s="6">
        <v>1</v>
      </c>
      <c r="U129" s="6">
        <v>1</v>
      </c>
      <c r="V129" s="6"/>
      <c r="W129" s="12">
        <f t="shared" si="12"/>
        <v>92</v>
      </c>
      <c r="X129" s="7">
        <f>'Calibration-S40 to end'!$U$11*(QAQC!L129^2)+'Calibration-S40 to end'!$U$12*QAQC!L129+'Calibration-S40 to end'!$U$13</f>
        <v>78.657063769999993</v>
      </c>
      <c r="Y129" s="7">
        <f t="shared" si="14"/>
        <v>78.657063769999993</v>
      </c>
      <c r="AB129" s="12"/>
      <c r="AC129" s="14"/>
      <c r="AD129" s="14">
        <f>100*((Y129*10250)-(Y128*10000))/(1000*250)</f>
        <v>104.37293645699992</v>
      </c>
      <c r="AE129" s="14" t="str">
        <f>IF(Y129&gt;30, (IF((AND(AD129&gt;=80,AD129&lt;=120)=TRUE),"PASS","FAIL")),(IF((AND(AD129&gt;=50,AD129&lt;=150)=TRUE),"PASS","FAIL")))</f>
        <v>PASS</v>
      </c>
      <c r="AF129" s="6">
        <v>1</v>
      </c>
      <c r="AG129" s="6"/>
      <c r="AH129" s="6">
        <f t="shared" si="15"/>
        <v>1430</v>
      </c>
      <c r="AI129" s="13">
        <f>'Calibration-S40 to end'!$I$11*(QAQC!Q129^2)+'Calibration-S40 to end'!$I$12*QAQC!Q129+'Calibration-S40 to end'!$I$13</f>
        <v>850.07892800000013</v>
      </c>
      <c r="AJ129" s="13">
        <f t="shared" si="17"/>
        <v>850.07892800000013</v>
      </c>
      <c r="AK129" s="9"/>
      <c r="AL129" s="6"/>
      <c r="AM129" s="12"/>
      <c r="AN129" s="14"/>
      <c r="AO129" s="12">
        <f>100*((AJ129*10250)-(AJ128*10000))/(1000*2500)</f>
        <v>85.405731680000017</v>
      </c>
      <c r="AP129" s="14" t="str">
        <f>IF(AJ129&gt;30, (IF((AND(AO129&gt;=80,AO129&lt;=120)=TRUE),"PASS","FAIL")),(IF((AND(AO129&gt;=50,AO129&lt;=150)=TRUE),"PASS","FAIL")))</f>
        <v>PASS</v>
      </c>
      <c r="AQ129" s="6"/>
      <c r="AR129" s="6">
        <v>123</v>
      </c>
      <c r="AS129" s="6"/>
    </row>
    <row r="130" spans="1:64" ht="15.75" customHeight="1" x14ac:dyDescent="0.2">
      <c r="A130" s="10">
        <v>46085</v>
      </c>
      <c r="B130" s="11">
        <v>0.54503472222222227</v>
      </c>
      <c r="C130" s="1" t="s">
        <v>122</v>
      </c>
      <c r="D130" s="1" t="s">
        <v>139</v>
      </c>
      <c r="E130" s="1" t="s">
        <v>56</v>
      </c>
      <c r="F130" s="1" t="s">
        <v>46</v>
      </c>
      <c r="G130" s="1">
        <v>1</v>
      </c>
      <c r="H130" s="1">
        <v>1</v>
      </c>
      <c r="I130" s="1" t="s">
        <v>47</v>
      </c>
      <c r="J130" s="1" t="s">
        <v>48</v>
      </c>
      <c r="K130" s="1">
        <v>0.13500000000000001</v>
      </c>
      <c r="L130" s="1">
        <v>1.62</v>
      </c>
      <c r="M130" s="1">
        <v>40.9</v>
      </c>
      <c r="N130" s="1" t="s">
        <v>49</v>
      </c>
      <c r="O130" s="1" t="s">
        <v>50</v>
      </c>
      <c r="P130" s="1">
        <v>9.9299999999999996E-3</v>
      </c>
      <c r="Q130" s="1">
        <v>0.13700000000000001</v>
      </c>
      <c r="R130" s="1">
        <v>-74.900000000000006</v>
      </c>
      <c r="T130" s="6">
        <v>1</v>
      </c>
      <c r="U130" s="6">
        <v>1</v>
      </c>
      <c r="V130" s="6"/>
      <c r="W130" s="12">
        <f t="shared" si="12"/>
        <v>40.9</v>
      </c>
      <c r="X130" s="7">
        <f>'Calibration-S40 to end'!$U$11*(QAQC!L130^2)+'Calibration-S40 to end'!$U$12*QAQC!L130+'Calibration-S40 to end'!$U$13</f>
        <v>35.662480119999998</v>
      </c>
      <c r="Y130" s="7">
        <f t="shared" si="14"/>
        <v>35.662480119999998</v>
      </c>
      <c r="Z130" s="6"/>
      <c r="AA130" s="6"/>
      <c r="AB130" s="12"/>
      <c r="AC130" s="14"/>
      <c r="AD130" s="6"/>
      <c r="AE130" s="6"/>
      <c r="AF130" s="6">
        <v>1</v>
      </c>
      <c r="AG130" s="6"/>
      <c r="AH130" s="6">
        <f t="shared" si="15"/>
        <v>-74.900000000000006</v>
      </c>
      <c r="AI130" s="13">
        <f>'Calibration-S40 to end'!$I$11*(QAQC!Q130^2)+'Calibration-S40 to end'!$I$12*QAQC!Q130+'Calibration-S40 to end'!$I$13</f>
        <v>-88.816909551799995</v>
      </c>
      <c r="AJ130" s="13">
        <f t="shared" si="17"/>
        <v>-88.816909551799995</v>
      </c>
      <c r="AK130" s="9"/>
      <c r="AL130" s="6"/>
      <c r="AM130" s="12"/>
      <c r="AN130" s="14"/>
      <c r="AO130" s="9"/>
      <c r="AP130" s="6"/>
      <c r="AQ130" s="6"/>
      <c r="AR130" s="6">
        <v>124</v>
      </c>
      <c r="AS130" s="6"/>
    </row>
    <row r="131" spans="1:64" ht="15.75" customHeight="1" x14ac:dyDescent="0.2">
      <c r="A131" s="10">
        <v>46085</v>
      </c>
      <c r="B131" s="11">
        <v>0.54591435185185189</v>
      </c>
      <c r="C131" s="1" t="s">
        <v>122</v>
      </c>
      <c r="D131" s="1" t="s">
        <v>126</v>
      </c>
      <c r="E131" s="1">
        <v>15</v>
      </c>
      <c r="F131" s="1" t="s">
        <v>88</v>
      </c>
      <c r="G131" s="1">
        <v>1</v>
      </c>
      <c r="H131" s="1">
        <v>1</v>
      </c>
      <c r="I131" s="1" t="s">
        <v>47</v>
      </c>
      <c r="J131" s="1" t="s">
        <v>48</v>
      </c>
      <c r="K131" s="1">
        <v>5.5899999999999998E-2</v>
      </c>
      <c r="L131" s="1">
        <v>1.28</v>
      </c>
      <c r="M131" s="1">
        <v>29</v>
      </c>
      <c r="N131" s="1" t="s">
        <v>49</v>
      </c>
      <c r="O131" s="1" t="s">
        <v>50</v>
      </c>
      <c r="P131" s="1">
        <v>0.38900000000000001</v>
      </c>
      <c r="Q131" s="1">
        <v>4.93</v>
      </c>
      <c r="R131" s="1">
        <v>453</v>
      </c>
      <c r="T131" s="6">
        <v>1</v>
      </c>
      <c r="U131" s="6">
        <v>1</v>
      </c>
      <c r="V131" s="6"/>
      <c r="W131" s="12">
        <f t="shared" si="12"/>
        <v>29</v>
      </c>
      <c r="X131" s="7">
        <f>'Calibration-S40 to end'!$U$11*(QAQC!L131^2)+'Calibration-S40 to end'!$U$12*QAQC!L131+'Calibration-S40 to end'!$U$13</f>
        <v>25.360252319999997</v>
      </c>
      <c r="Y131" s="7">
        <f t="shared" si="14"/>
        <v>25.360252319999997</v>
      </c>
      <c r="Z131" s="6">
        <f>100*(Y131-25)/25</f>
        <v>1.4410092799999887</v>
      </c>
      <c r="AA131" s="6" t="str">
        <f>IF((ABS(Z131))&lt;=20,"PASS","FAIL")</f>
        <v>PASS</v>
      </c>
      <c r="AB131" s="9"/>
      <c r="AC131" s="6"/>
      <c r="AD131" s="14"/>
      <c r="AE131" s="14"/>
      <c r="AF131" s="6">
        <v>1</v>
      </c>
      <c r="AG131" s="6"/>
      <c r="AH131" s="6">
        <f t="shared" si="15"/>
        <v>453</v>
      </c>
      <c r="AI131" s="13">
        <f>'Calibration-S40 to end'!$I$11*(QAQC!Q131^2)+'Calibration-S40 to end'!$I$12*QAQC!Q131+'Calibration-S40 to end'!$I$13</f>
        <v>270.48876622</v>
      </c>
      <c r="AJ131" s="13">
        <f t="shared" si="17"/>
        <v>270.48876622</v>
      </c>
      <c r="AK131" s="9">
        <f>100*(AJ131-250)/250</f>
        <v>8.1955064880000013</v>
      </c>
      <c r="AL131" s="6" t="str">
        <f>IF((ABS(AK131))&lt;=20,"PASS","FAIL")</f>
        <v>PASS</v>
      </c>
      <c r="AM131" s="9"/>
      <c r="AN131" s="6"/>
      <c r="AO131" s="12"/>
      <c r="AP131" s="14"/>
      <c r="AQ131" s="6"/>
      <c r="AR131" s="6">
        <v>125</v>
      </c>
      <c r="AS131" s="6"/>
    </row>
    <row r="132" spans="1:64" ht="15.75" customHeight="1" x14ac:dyDescent="0.2">
      <c r="A132" s="10">
        <v>46085</v>
      </c>
      <c r="B132" s="11">
        <v>0.54680555555555554</v>
      </c>
      <c r="C132" s="1" t="s">
        <v>122</v>
      </c>
      <c r="D132" s="1" t="s">
        <v>140</v>
      </c>
      <c r="E132" s="1">
        <v>94</v>
      </c>
      <c r="F132" s="1" t="s">
        <v>46</v>
      </c>
      <c r="G132" s="1">
        <v>1</v>
      </c>
      <c r="H132" s="1">
        <v>1</v>
      </c>
      <c r="I132" s="1" t="s">
        <v>47</v>
      </c>
      <c r="J132" s="1" t="s">
        <v>48</v>
      </c>
      <c r="K132" s="1">
        <v>0.13100000000000001</v>
      </c>
      <c r="L132" s="1">
        <v>1.91</v>
      </c>
      <c r="M132" s="1">
        <v>51.1</v>
      </c>
      <c r="N132" s="1" t="s">
        <v>49</v>
      </c>
      <c r="O132" s="1" t="s">
        <v>50</v>
      </c>
      <c r="P132" s="1">
        <v>0.8</v>
      </c>
      <c r="Q132" s="1">
        <v>10.4</v>
      </c>
      <c r="R132" s="1">
        <v>1040</v>
      </c>
      <c r="S132" s="6"/>
      <c r="T132" s="6">
        <v>1</v>
      </c>
      <c r="U132" s="6">
        <v>1</v>
      </c>
      <c r="V132" s="6"/>
      <c r="W132" s="12">
        <f t="shared" si="12"/>
        <v>51.1</v>
      </c>
      <c r="X132" s="7">
        <f>'Calibration-S40 to end'!$U$11*(QAQC!L132^2)+'Calibration-S40 to end'!$U$12*QAQC!L132+'Calibration-S40 to end'!$U$13</f>
        <v>44.383409130000004</v>
      </c>
      <c r="Y132" s="7">
        <f t="shared" si="14"/>
        <v>44.383409130000004</v>
      </c>
      <c r="Z132" s="6"/>
      <c r="AA132" s="6"/>
      <c r="AB132" s="12"/>
      <c r="AC132" s="6"/>
      <c r="AD132" s="14"/>
      <c r="AE132" s="14"/>
      <c r="AF132" s="6">
        <v>1</v>
      </c>
      <c r="AG132" s="6"/>
      <c r="AH132" s="6">
        <f t="shared" si="15"/>
        <v>1040</v>
      </c>
      <c r="AI132" s="13">
        <f>'Calibration-S40 to end'!$I$11*(QAQC!Q132^2)+'Calibration-S40 to end'!$I$12*QAQC!Q132+'Calibration-S40 to end'!$I$13</f>
        <v>633.26558800000009</v>
      </c>
      <c r="AJ132" s="13">
        <f t="shared" si="17"/>
        <v>633.26558800000009</v>
      </c>
      <c r="AK132" s="9"/>
      <c r="AL132" s="6"/>
      <c r="AM132" s="12"/>
      <c r="AN132" s="6"/>
      <c r="AO132" s="9"/>
      <c r="AP132" s="14"/>
      <c r="AQ132" s="6"/>
      <c r="AR132" s="6">
        <v>126</v>
      </c>
      <c r="AS132" s="6"/>
    </row>
    <row r="133" spans="1:64" ht="15.75" customHeight="1" x14ac:dyDescent="0.2">
      <c r="A133" s="10">
        <v>46085</v>
      </c>
      <c r="B133" s="11">
        <v>0.54768518518518516</v>
      </c>
      <c r="C133" s="1" t="s">
        <v>122</v>
      </c>
      <c r="D133" s="1" t="s">
        <v>141</v>
      </c>
      <c r="E133" s="1">
        <v>95</v>
      </c>
      <c r="F133" s="1" t="s">
        <v>46</v>
      </c>
      <c r="G133" s="1">
        <v>1</v>
      </c>
      <c r="H133" s="1">
        <v>1</v>
      </c>
      <c r="I133" s="1" t="s">
        <v>47</v>
      </c>
      <c r="J133" s="1" t="s">
        <v>48</v>
      </c>
      <c r="K133" s="1">
        <v>3.6700000000000003E-2</v>
      </c>
      <c r="L133" s="1">
        <v>0.88200000000000001</v>
      </c>
      <c r="M133" s="1">
        <v>15.2</v>
      </c>
      <c r="N133" s="1" t="s">
        <v>49</v>
      </c>
      <c r="O133" s="1" t="s">
        <v>50</v>
      </c>
      <c r="P133" s="1">
        <v>0.34100000000000003</v>
      </c>
      <c r="Q133" s="1">
        <v>4.6500000000000004</v>
      </c>
      <c r="R133" s="1">
        <v>423</v>
      </c>
      <c r="T133" s="6">
        <v>1</v>
      </c>
      <c r="U133" s="6">
        <v>1</v>
      </c>
      <c r="V133" s="6"/>
      <c r="W133" s="12">
        <f t="shared" si="12"/>
        <v>15.2</v>
      </c>
      <c r="X133" s="7">
        <f>'Calibration-S40 to end'!$U$11*(QAQC!L133^2)+'Calibration-S40 to end'!$U$12*QAQC!L133+'Calibration-S40 to end'!$U$13</f>
        <v>13.1940519652</v>
      </c>
      <c r="Y133" s="7">
        <f t="shared" si="14"/>
        <v>13.1940519652</v>
      </c>
      <c r="Z133" s="6"/>
      <c r="AA133" s="6"/>
      <c r="AB133" s="9"/>
      <c r="AC133" s="6"/>
      <c r="AD133" s="6"/>
      <c r="AE133" s="6"/>
      <c r="AF133" s="6">
        <v>1</v>
      </c>
      <c r="AG133" s="6"/>
      <c r="AH133" s="6">
        <f t="shared" si="15"/>
        <v>423</v>
      </c>
      <c r="AI133" s="13">
        <f>'Calibration-S40 to end'!$I$11*(QAQC!Q133^2)+'Calibration-S40 to end'!$I$12*QAQC!Q133+'Calibration-S40 to end'!$I$13</f>
        <v>250.56289550000005</v>
      </c>
      <c r="AJ133" s="13">
        <f t="shared" si="17"/>
        <v>250.56289550000005</v>
      </c>
      <c r="AK133" s="9"/>
      <c r="AL133" s="6"/>
      <c r="AM133" s="9"/>
      <c r="AN133" s="6"/>
      <c r="AO133" s="9"/>
      <c r="AP133" s="6"/>
      <c r="AQ133" s="6"/>
      <c r="AR133" s="6">
        <v>127</v>
      </c>
      <c r="AS133" s="6"/>
    </row>
    <row r="134" spans="1:64" ht="15.75" customHeight="1" x14ac:dyDescent="0.2">
      <c r="A134" s="10">
        <v>46085</v>
      </c>
      <c r="B134" s="11">
        <v>0.54858796296296297</v>
      </c>
      <c r="C134" s="1" t="s">
        <v>122</v>
      </c>
      <c r="D134" s="1" t="s">
        <v>142</v>
      </c>
      <c r="E134" s="1">
        <v>96</v>
      </c>
      <c r="F134" s="1" t="s">
        <v>46</v>
      </c>
      <c r="G134" s="1">
        <v>1</v>
      </c>
      <c r="H134" s="1">
        <v>1</v>
      </c>
      <c r="I134" s="1" t="s">
        <v>47</v>
      </c>
      <c r="J134" s="1" t="s">
        <v>48</v>
      </c>
      <c r="K134" s="1">
        <v>7.9100000000000004E-2</v>
      </c>
      <c r="L134" s="1">
        <v>1.75</v>
      </c>
      <c r="M134" s="1">
        <v>45.6</v>
      </c>
      <c r="N134" s="1" t="s">
        <v>49</v>
      </c>
      <c r="O134" s="1" t="s">
        <v>50</v>
      </c>
      <c r="P134" s="1">
        <v>1.05</v>
      </c>
      <c r="Q134" s="1">
        <v>13.3</v>
      </c>
      <c r="R134" s="1">
        <v>1350</v>
      </c>
      <c r="T134" s="6">
        <v>1</v>
      </c>
      <c r="U134" s="6">
        <v>1</v>
      </c>
      <c r="V134" s="6"/>
      <c r="W134" s="12">
        <f t="shared" si="12"/>
        <v>45.6</v>
      </c>
      <c r="X134" s="7">
        <f>'Calibration-S40 to end'!$U$11*(QAQC!L134^2)+'Calibration-S40 to end'!$U$12*QAQC!L134+'Calibration-S40 to end'!$U$13</f>
        <v>39.579406250000005</v>
      </c>
      <c r="Y134" s="7">
        <f t="shared" si="14"/>
        <v>39.579406250000005</v>
      </c>
      <c r="Z134" s="6"/>
      <c r="AA134" s="6"/>
      <c r="AB134" s="12"/>
      <c r="AC134" s="6"/>
      <c r="AD134" s="14"/>
      <c r="AE134" s="14"/>
      <c r="AF134" s="6">
        <v>1</v>
      </c>
      <c r="AG134" s="6"/>
      <c r="AH134" s="6">
        <f t="shared" si="15"/>
        <v>1350</v>
      </c>
      <c r="AI134" s="13">
        <f>'Calibration-S40 to end'!$I$11*(QAQC!Q134^2)+'Calibration-S40 to end'!$I$12*QAQC!Q134+'Calibration-S40 to end'!$I$13</f>
        <v>805.15427199999999</v>
      </c>
      <c r="AJ134" s="13">
        <f t="shared" si="17"/>
        <v>805.15427199999999</v>
      </c>
      <c r="AK134" s="9"/>
      <c r="AL134" s="6"/>
      <c r="AM134" s="12"/>
      <c r="AN134" s="6"/>
      <c r="AO134" s="9"/>
      <c r="AP134" s="14"/>
      <c r="AQ134" s="6"/>
      <c r="AR134" s="6">
        <v>128</v>
      </c>
      <c r="AS134" s="6"/>
    </row>
    <row r="135" spans="1:64" ht="15.75" customHeight="1" x14ac:dyDescent="0.2">
      <c r="A135" s="10">
        <v>46085</v>
      </c>
      <c r="B135" s="11">
        <v>0.54946759259259259</v>
      </c>
      <c r="C135" s="1" t="s">
        <v>122</v>
      </c>
      <c r="D135" s="1" t="s">
        <v>143</v>
      </c>
      <c r="E135" s="1">
        <v>97</v>
      </c>
      <c r="F135" s="1" t="s">
        <v>46</v>
      </c>
      <c r="G135" s="1">
        <v>1</v>
      </c>
      <c r="H135" s="1">
        <v>1</v>
      </c>
      <c r="I135" s="1" t="s">
        <v>47</v>
      </c>
      <c r="J135" s="1" t="s">
        <v>48</v>
      </c>
      <c r="K135" s="1">
        <v>6.6500000000000004E-2</v>
      </c>
      <c r="L135" s="1">
        <v>1.34</v>
      </c>
      <c r="M135" s="1">
        <v>31.1</v>
      </c>
      <c r="N135" s="1" t="s">
        <v>49</v>
      </c>
      <c r="O135" s="1" t="s">
        <v>50</v>
      </c>
      <c r="P135" s="1">
        <v>0.84399999999999997</v>
      </c>
      <c r="Q135" s="1">
        <v>10.9</v>
      </c>
      <c r="R135" s="1">
        <v>1090</v>
      </c>
      <c r="T135" s="6">
        <v>1</v>
      </c>
      <c r="U135" s="6">
        <v>1</v>
      </c>
      <c r="V135" s="6"/>
      <c r="W135" s="12">
        <f t="shared" si="12"/>
        <v>31.1</v>
      </c>
      <c r="X135" s="7">
        <f>'Calibration-S40 to end'!$U$11*(QAQC!L135^2)+'Calibration-S40 to end'!$U$12*QAQC!L135+'Calibration-S40 to end'!$U$13</f>
        <v>27.184385879999997</v>
      </c>
      <c r="Y135" s="7">
        <f t="shared" si="14"/>
        <v>27.184385879999997</v>
      </c>
      <c r="Z135" s="6"/>
      <c r="AA135" s="6"/>
      <c r="AB135" s="12"/>
      <c r="AC135" s="6"/>
      <c r="AD135" s="6"/>
      <c r="AE135" s="6"/>
      <c r="AF135" s="6">
        <v>1</v>
      </c>
      <c r="AG135" s="6"/>
      <c r="AH135" s="6">
        <f t="shared" si="15"/>
        <v>1090</v>
      </c>
      <c r="AI135" s="13">
        <f>'Calibration-S40 to end'!$I$11*(QAQC!Q135^2)+'Calibration-S40 to end'!$I$12*QAQC!Q135+'Calibration-S40 to end'!$I$13</f>
        <v>663.91220800000008</v>
      </c>
      <c r="AJ135" s="13">
        <f t="shared" si="17"/>
        <v>663.91220800000008</v>
      </c>
      <c r="AK135" s="9"/>
      <c r="AL135" s="6"/>
      <c r="AM135" s="12"/>
      <c r="AN135" s="6"/>
      <c r="AO135" s="9"/>
      <c r="AP135" s="6"/>
      <c r="AQ135" s="6"/>
      <c r="AR135" s="6">
        <v>129</v>
      </c>
      <c r="AS135" s="6"/>
    </row>
    <row r="136" spans="1:64" ht="15.75" customHeight="1" x14ac:dyDescent="0.2">
      <c r="A136" s="10">
        <v>46085</v>
      </c>
      <c r="B136" s="11">
        <v>0.55035879629629625</v>
      </c>
      <c r="C136" s="1" t="s">
        <v>122</v>
      </c>
      <c r="D136" s="1" t="s">
        <v>144</v>
      </c>
      <c r="E136" s="1">
        <v>98</v>
      </c>
      <c r="F136" s="1" t="s">
        <v>75</v>
      </c>
      <c r="G136" s="1">
        <v>1</v>
      </c>
      <c r="H136" s="1">
        <v>1</v>
      </c>
      <c r="I136" s="1" t="s">
        <v>47</v>
      </c>
      <c r="J136" s="1" t="s">
        <v>48</v>
      </c>
      <c r="K136" s="1">
        <v>3.32E-2</v>
      </c>
      <c r="L136" s="1">
        <v>0.872</v>
      </c>
      <c r="M136" s="1">
        <v>14.9</v>
      </c>
      <c r="N136" s="1" t="s">
        <v>49</v>
      </c>
      <c r="O136" s="1" t="s">
        <v>50</v>
      </c>
      <c r="P136" s="1">
        <v>0.40500000000000003</v>
      </c>
      <c r="Q136" s="1">
        <v>5.35</v>
      </c>
      <c r="R136" s="1">
        <v>499</v>
      </c>
      <c r="S136" s="6"/>
      <c r="T136" s="6">
        <v>1</v>
      </c>
      <c r="U136" s="6">
        <v>1</v>
      </c>
      <c r="V136" s="6"/>
      <c r="W136" s="12">
        <f t="shared" si="12"/>
        <v>14.9</v>
      </c>
      <c r="X136" s="7">
        <f>'Calibration-S40 to end'!$U$11*(QAQC!L136^2)+'Calibration-S40 to end'!$U$12*QAQC!L136+'Calibration-S40 to end'!$U$13</f>
        <v>12.886888723199998</v>
      </c>
      <c r="Y136" s="7">
        <f t="shared" si="14"/>
        <v>12.886888723199998</v>
      </c>
      <c r="Z136" s="6"/>
      <c r="AA136" s="6"/>
      <c r="AB136" s="9"/>
      <c r="AC136" s="6"/>
      <c r="AD136" s="14"/>
      <c r="AE136" s="14"/>
      <c r="AF136" s="6">
        <v>1</v>
      </c>
      <c r="AG136" s="6"/>
      <c r="AH136" s="6">
        <f t="shared" si="15"/>
        <v>499</v>
      </c>
      <c r="AI136" s="13">
        <f>'Calibration-S40 to end'!$I$11*(QAQC!Q136^2)+'Calibration-S40 to end'!$I$12*QAQC!Q136+'Calibration-S40 to end'!$I$13</f>
        <v>300.12996550000003</v>
      </c>
      <c r="AJ136" s="13">
        <f t="shared" si="17"/>
        <v>300.12996550000003</v>
      </c>
      <c r="AK136" s="9"/>
      <c r="AL136" s="6"/>
      <c r="AM136" s="9"/>
      <c r="AN136" s="6"/>
      <c r="AO136" s="9"/>
      <c r="AP136" s="14"/>
      <c r="AQ136" s="6"/>
      <c r="AR136" s="6">
        <v>130</v>
      </c>
      <c r="AS136" s="6"/>
    </row>
    <row r="137" spans="1:64" ht="15.75" customHeight="1" x14ac:dyDescent="0.2">
      <c r="A137" s="10">
        <v>46085</v>
      </c>
      <c r="B137" s="11">
        <v>0.55125000000000002</v>
      </c>
      <c r="C137" s="1" t="s">
        <v>122</v>
      </c>
      <c r="D137" s="1" t="s">
        <v>145</v>
      </c>
      <c r="E137" s="1">
        <v>104</v>
      </c>
      <c r="F137" s="1" t="s">
        <v>75</v>
      </c>
      <c r="G137" s="1">
        <v>1</v>
      </c>
      <c r="H137" s="1">
        <v>1</v>
      </c>
      <c r="I137" s="1" t="s">
        <v>47</v>
      </c>
      <c r="J137" s="1" t="s">
        <v>48</v>
      </c>
      <c r="K137" s="1">
        <v>3.4700000000000002E-2</v>
      </c>
      <c r="L137" s="1">
        <v>0.873</v>
      </c>
      <c r="M137" s="1">
        <v>14.9</v>
      </c>
      <c r="N137" s="1" t="s">
        <v>49</v>
      </c>
      <c r="O137" s="1" t="s">
        <v>50</v>
      </c>
      <c r="P137" s="1">
        <v>0.371</v>
      </c>
      <c r="Q137" s="1">
        <v>4.9000000000000004</v>
      </c>
      <c r="R137" s="1">
        <v>450</v>
      </c>
      <c r="T137" s="6">
        <v>1</v>
      </c>
      <c r="U137" s="6">
        <v>1</v>
      </c>
      <c r="V137" s="6"/>
      <c r="W137" s="12">
        <f t="shared" si="12"/>
        <v>14.9</v>
      </c>
      <c r="X137" s="7">
        <f>'Calibration-S40 to end'!$U$11*(QAQC!L137^2)+'Calibration-S40 to end'!$U$12*QAQC!L137+'Calibration-S40 to end'!$U$13</f>
        <v>12.9176083117</v>
      </c>
      <c r="Y137" s="7">
        <f t="shared" si="14"/>
        <v>12.9176083117</v>
      </c>
      <c r="Z137" s="6"/>
      <c r="AA137" s="6"/>
      <c r="AB137" s="12">
        <f>ABS(100*ABS(Y137-Y136)/AVERAGE(Y137,Y136))</f>
        <v>0.23809484415413681</v>
      </c>
      <c r="AC137" s="14" t="str">
        <f>IF(Y137&gt;10, (IF((AND(AB137&gt;=0,AB137&lt;=20)=TRUE),"PASS","FAIL")),(IF((AND(AB137&gt;=0,AB137&lt;=50)=TRUE),"PASS","FAIL")))</f>
        <v>PASS</v>
      </c>
      <c r="AD137" s="14"/>
      <c r="AE137" s="14"/>
      <c r="AF137" s="6">
        <v>1</v>
      </c>
      <c r="AG137" s="6"/>
      <c r="AH137" s="6">
        <f t="shared" si="15"/>
        <v>450</v>
      </c>
      <c r="AI137" s="13">
        <f>'Calibration-S40 to end'!$I$11*(QAQC!Q137^2)+'Calibration-S40 to end'!$I$12*QAQC!Q137+'Calibration-S40 to end'!$I$13</f>
        <v>268.36016800000004</v>
      </c>
      <c r="AJ137" s="13">
        <f t="shared" si="17"/>
        <v>268.36016800000004</v>
      </c>
      <c r="AK137" s="9"/>
      <c r="AL137" s="6"/>
      <c r="AM137" s="12">
        <f>ABS(100*ABS(AJ137-AJ136)/AVERAGE(AJ137,AJ136))</f>
        <v>11.176903741285416</v>
      </c>
      <c r="AN137" s="14" t="str">
        <f>IF(AJ137&gt;10, (IF((AND(AM137&gt;=0,AM137&lt;=20)=TRUE),"PASS","FAIL")),(IF((AND(AM137&gt;=0,AM137&lt;=50)=TRUE),"PASS","FAIL")))</f>
        <v>PASS</v>
      </c>
      <c r="AO137" s="9"/>
      <c r="AP137" s="14"/>
      <c r="AQ137" s="6"/>
      <c r="AR137" s="6">
        <v>131</v>
      </c>
      <c r="AS137" s="6"/>
    </row>
    <row r="138" spans="1:64" ht="15.75" customHeight="1" x14ac:dyDescent="0.2">
      <c r="A138" s="10">
        <v>46085</v>
      </c>
      <c r="B138" s="11">
        <v>0.55212962962962964</v>
      </c>
      <c r="C138" s="1" t="s">
        <v>122</v>
      </c>
      <c r="D138" s="1" t="s">
        <v>146</v>
      </c>
      <c r="E138" s="1">
        <v>99</v>
      </c>
      <c r="F138" s="1" t="s">
        <v>46</v>
      </c>
      <c r="G138" s="1">
        <v>1</v>
      </c>
      <c r="H138" s="1">
        <v>1</v>
      </c>
      <c r="I138" s="1" t="s">
        <v>47</v>
      </c>
      <c r="J138" s="1" t="s">
        <v>48</v>
      </c>
      <c r="K138" s="1">
        <v>3.0200000000000001E-2</v>
      </c>
      <c r="L138" s="1">
        <v>0.72599999999999998</v>
      </c>
      <c r="M138" s="1">
        <v>9.84</v>
      </c>
      <c r="N138" s="1" t="s">
        <v>49</v>
      </c>
      <c r="O138" s="1" t="s">
        <v>50</v>
      </c>
      <c r="P138" s="1">
        <v>0.50900000000000001</v>
      </c>
      <c r="Q138" s="1">
        <v>6.64</v>
      </c>
      <c r="R138" s="1">
        <v>638</v>
      </c>
      <c r="T138" s="6">
        <v>1</v>
      </c>
      <c r="U138" s="6">
        <v>1</v>
      </c>
      <c r="V138" s="6"/>
      <c r="W138" s="12">
        <f t="shared" si="12"/>
        <v>9.84</v>
      </c>
      <c r="X138" s="7">
        <f>'Calibration-S40 to end'!$U$11*(QAQC!L138^2)+'Calibration-S40 to end'!$U$12*QAQC!L138+'Calibration-S40 to end'!$U$13</f>
        <v>8.394044534799999</v>
      </c>
      <c r="Y138" s="7">
        <f t="shared" si="14"/>
        <v>8.394044534799999</v>
      </c>
      <c r="Z138" s="6"/>
      <c r="AA138" s="6"/>
      <c r="AB138" s="9"/>
      <c r="AC138" s="6"/>
      <c r="AD138" s="6"/>
      <c r="AE138" s="6"/>
      <c r="AF138" s="6">
        <v>1</v>
      </c>
      <c r="AG138" s="6"/>
      <c r="AH138" s="6">
        <f t="shared" si="15"/>
        <v>638</v>
      </c>
      <c r="AI138" s="13">
        <f>'Calibration-S40 to end'!$I$11*(QAQC!Q138^2)+'Calibration-S40 to end'!$I$12*QAQC!Q138+'Calibration-S40 to end'!$I$13</f>
        <v>389.31298287999994</v>
      </c>
      <c r="AJ138" s="13">
        <f t="shared" si="17"/>
        <v>389.31298287999994</v>
      </c>
      <c r="AK138" s="9"/>
      <c r="AL138" s="6"/>
      <c r="AM138" s="9"/>
      <c r="AN138" s="6"/>
      <c r="AO138" s="9"/>
      <c r="AP138" s="6"/>
      <c r="AQ138" s="6"/>
      <c r="AR138" s="6">
        <v>132</v>
      </c>
      <c r="AS138" s="6"/>
    </row>
    <row r="139" spans="1:64" ht="15.75" customHeight="1" x14ac:dyDescent="0.2">
      <c r="A139" s="10">
        <v>46085</v>
      </c>
      <c r="B139" s="11">
        <v>0.55302083333333329</v>
      </c>
      <c r="C139" s="1" t="s">
        <v>122</v>
      </c>
      <c r="D139" s="1" t="s">
        <v>147</v>
      </c>
      <c r="E139" s="1">
        <v>100</v>
      </c>
      <c r="F139" s="1" t="s">
        <v>46</v>
      </c>
      <c r="G139" s="1">
        <v>1</v>
      </c>
      <c r="H139" s="1">
        <v>1</v>
      </c>
      <c r="I139" s="1" t="s">
        <v>47</v>
      </c>
      <c r="J139" s="1" t="s">
        <v>48</v>
      </c>
      <c r="K139" s="1">
        <v>6.6400000000000001E-2</v>
      </c>
      <c r="L139" s="1">
        <v>1.5</v>
      </c>
      <c r="M139" s="1">
        <v>36.799999999999997</v>
      </c>
      <c r="N139" s="1" t="s">
        <v>49</v>
      </c>
      <c r="O139" s="1" t="s">
        <v>50</v>
      </c>
      <c r="P139" s="1">
        <v>0.77200000000000002</v>
      </c>
      <c r="Q139" s="1">
        <v>9.8699999999999992</v>
      </c>
      <c r="R139" s="1">
        <v>984</v>
      </c>
      <c r="T139" s="6">
        <v>1</v>
      </c>
      <c r="U139" s="6">
        <v>1</v>
      </c>
      <c r="V139" s="6"/>
      <c r="W139" s="12">
        <f t="shared" si="12"/>
        <v>36.799999999999997</v>
      </c>
      <c r="X139" s="7">
        <f>'Calibration-S40 to end'!$U$11*(QAQC!L139^2)+'Calibration-S40 to end'!$U$12*QAQC!L139+'Calibration-S40 to end'!$U$13</f>
        <v>32.035975000000008</v>
      </c>
      <c r="Y139" s="7">
        <f t="shared" si="14"/>
        <v>32.035975000000008</v>
      </c>
      <c r="Z139" s="6"/>
      <c r="AA139" s="6"/>
      <c r="AB139" s="12"/>
      <c r="AC139" s="14"/>
      <c r="AF139" s="6">
        <v>1</v>
      </c>
      <c r="AG139" s="6"/>
      <c r="AH139" s="6">
        <f t="shared" si="15"/>
        <v>984</v>
      </c>
      <c r="AI139" s="13">
        <f>'Calibration-S40 to end'!$I$11*(QAQC!Q139^2)+'Calibration-S40 to end'!$I$12*QAQC!Q139+'Calibration-S40 to end'!$I$13</f>
        <v>600.32041382</v>
      </c>
      <c r="AJ139" s="13">
        <f t="shared" si="17"/>
        <v>600.32041382</v>
      </c>
      <c r="AK139" s="9"/>
      <c r="AL139" s="6"/>
      <c r="AM139" s="12"/>
      <c r="AN139" s="14"/>
      <c r="AO139" s="9"/>
      <c r="AP139" s="6"/>
      <c r="AQ139" s="6"/>
      <c r="AR139" s="6">
        <v>133</v>
      </c>
      <c r="AS139" s="6"/>
    </row>
    <row r="140" spans="1:64" ht="15.75" customHeight="1" x14ac:dyDescent="0.2">
      <c r="A140" s="10">
        <v>46085</v>
      </c>
      <c r="B140" s="11">
        <v>0.55390046296296291</v>
      </c>
      <c r="C140" s="1" t="s">
        <v>122</v>
      </c>
      <c r="D140" s="1" t="s">
        <v>148</v>
      </c>
      <c r="E140" s="1">
        <v>101</v>
      </c>
      <c r="F140" s="1" t="s">
        <v>46</v>
      </c>
      <c r="G140" s="1">
        <v>1</v>
      </c>
      <c r="H140" s="1">
        <v>1</v>
      </c>
      <c r="I140" s="1" t="s">
        <v>47</v>
      </c>
      <c r="J140" s="1" t="s">
        <v>48</v>
      </c>
      <c r="K140" s="1">
        <v>6.8400000000000002E-2</v>
      </c>
      <c r="L140" s="1">
        <v>1.5</v>
      </c>
      <c r="M140" s="1">
        <v>36.799999999999997</v>
      </c>
      <c r="N140" s="1" t="s">
        <v>49</v>
      </c>
      <c r="O140" s="1" t="s">
        <v>50</v>
      </c>
      <c r="P140" s="1">
        <v>1.98</v>
      </c>
      <c r="Q140" s="1">
        <v>25.4</v>
      </c>
      <c r="R140" s="1">
        <v>2560</v>
      </c>
      <c r="S140" s="6"/>
      <c r="T140" s="6">
        <v>1</v>
      </c>
      <c r="U140" s="6">
        <v>1</v>
      </c>
      <c r="V140" s="6"/>
      <c r="W140" s="12">
        <f t="shared" si="12"/>
        <v>36.799999999999997</v>
      </c>
      <c r="X140" s="7">
        <f>'Calibration-S40 to end'!$U$11*(QAQC!L140^2)+'Calibration-S40 to end'!$U$12*QAQC!L140+'Calibration-S40 to end'!$U$13</f>
        <v>32.035975000000008</v>
      </c>
      <c r="Y140" s="7">
        <f t="shared" si="14"/>
        <v>32.035975000000008</v>
      </c>
      <c r="Z140" s="6"/>
      <c r="AA140" s="6"/>
      <c r="AB140" s="12"/>
      <c r="AC140" s="14"/>
      <c r="AD140" s="14"/>
      <c r="AE140" s="14"/>
      <c r="AF140" s="6">
        <v>1</v>
      </c>
      <c r="AG140" s="6"/>
      <c r="AH140" s="6">
        <f t="shared" si="15"/>
        <v>2560</v>
      </c>
      <c r="AI140" s="13">
        <f>'Calibration-S40 to end'!$I$11*(QAQC!Q140^2)+'Calibration-S40 to end'!$I$12*QAQC!Q140+'Calibration-S40 to end'!$I$13</f>
        <v>1369.485688</v>
      </c>
      <c r="AJ140" s="13">
        <f t="shared" si="17"/>
        <v>1369.485688</v>
      </c>
      <c r="AK140" s="9"/>
      <c r="AL140" s="6"/>
      <c r="AM140" s="12"/>
      <c r="AN140" s="14"/>
      <c r="AO140" s="9"/>
      <c r="AP140" s="6"/>
      <c r="AQ140" s="6"/>
      <c r="AR140" s="6">
        <v>134</v>
      </c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</row>
    <row r="141" spans="1:64" ht="15.75" customHeight="1" x14ac:dyDescent="0.2">
      <c r="A141" s="10">
        <v>46085</v>
      </c>
      <c r="B141" s="11">
        <v>0.55478009259259264</v>
      </c>
      <c r="C141" s="1" t="s">
        <v>122</v>
      </c>
      <c r="D141" s="1" t="s">
        <v>149</v>
      </c>
      <c r="E141" s="1">
        <v>102</v>
      </c>
      <c r="F141" s="1" t="s">
        <v>46</v>
      </c>
      <c r="G141" s="1">
        <v>1</v>
      </c>
      <c r="H141" s="1">
        <v>1</v>
      </c>
      <c r="I141" s="1" t="s">
        <v>47</v>
      </c>
      <c r="J141" s="1" t="s">
        <v>48</v>
      </c>
      <c r="K141" s="1">
        <v>0.16700000000000001</v>
      </c>
      <c r="L141" s="1">
        <v>3.27</v>
      </c>
      <c r="M141" s="1">
        <v>99.1</v>
      </c>
      <c r="N141" s="1" t="s">
        <v>49</v>
      </c>
      <c r="O141" s="1" t="s">
        <v>50</v>
      </c>
      <c r="P141" s="1">
        <v>2.08</v>
      </c>
      <c r="Q141" s="1">
        <v>26.6</v>
      </c>
      <c r="R141" s="1">
        <v>2680</v>
      </c>
      <c r="S141" s="6"/>
      <c r="T141" s="6">
        <v>1</v>
      </c>
      <c r="U141" s="6">
        <v>1</v>
      </c>
      <c r="V141" s="6"/>
      <c r="W141" s="12">
        <f t="shared" si="12"/>
        <v>99.1</v>
      </c>
      <c r="X141" s="7">
        <f>'Calibration-S40 to end'!$U$11*(QAQC!L141^2)+'Calibration-S40 to end'!$U$12*QAQC!L141+'Calibration-S40 to end'!$U$13</f>
        <v>84.467660170000002</v>
      </c>
      <c r="Y141" s="7">
        <f t="shared" si="14"/>
        <v>84.467660170000002</v>
      </c>
      <c r="Z141" s="6"/>
      <c r="AA141" s="6"/>
      <c r="AB141" s="12"/>
      <c r="AC141" s="14"/>
      <c r="AD141" s="14"/>
      <c r="AE141" s="14"/>
      <c r="AF141" s="6">
        <v>1</v>
      </c>
      <c r="AG141" s="6"/>
      <c r="AH141" s="6">
        <f t="shared" si="15"/>
        <v>2680</v>
      </c>
      <c r="AI141" s="13">
        <f>'Calibration-S40 to end'!$I$11*(QAQC!Q141^2)+'Calibration-S40 to end'!$I$12*QAQC!Q141+'Calibration-S40 to end'!$I$13</f>
        <v>1412.0109279999999</v>
      </c>
      <c r="AJ141" s="13">
        <f t="shared" si="17"/>
        <v>1412.0109279999999</v>
      </c>
      <c r="AK141" s="9"/>
      <c r="AL141" s="6"/>
      <c r="AM141" s="12"/>
      <c r="AN141" s="14"/>
      <c r="AO141" s="9"/>
      <c r="AP141" s="6"/>
      <c r="AQ141" s="6"/>
      <c r="AR141" s="6">
        <v>135</v>
      </c>
      <c r="AS141" s="6"/>
    </row>
    <row r="142" spans="1:64" ht="15.75" customHeight="1" x14ac:dyDescent="0.2">
      <c r="A142" s="10">
        <v>46085</v>
      </c>
      <c r="B142" s="11">
        <v>0.5556712962962963</v>
      </c>
      <c r="C142" s="1" t="s">
        <v>122</v>
      </c>
      <c r="D142" s="1" t="s">
        <v>150</v>
      </c>
      <c r="E142" s="1">
        <v>103</v>
      </c>
      <c r="F142" s="1" t="s">
        <v>84</v>
      </c>
      <c r="G142" s="1">
        <v>1</v>
      </c>
      <c r="H142" s="1">
        <v>1</v>
      </c>
      <c r="I142" s="1" t="s">
        <v>47</v>
      </c>
      <c r="J142" s="1" t="s">
        <v>48</v>
      </c>
      <c r="K142" s="1">
        <v>0.13900000000000001</v>
      </c>
      <c r="L142" s="1">
        <v>2.73</v>
      </c>
      <c r="M142" s="1">
        <v>80</v>
      </c>
      <c r="N142" s="1" t="s">
        <v>49</v>
      </c>
      <c r="O142" s="1" t="s">
        <v>50</v>
      </c>
      <c r="P142" s="1">
        <v>1.08</v>
      </c>
      <c r="Q142" s="1">
        <v>13.9</v>
      </c>
      <c r="R142" s="1">
        <v>1400</v>
      </c>
      <c r="S142" s="6"/>
      <c r="T142" s="6">
        <v>1</v>
      </c>
      <c r="U142" s="6">
        <v>1</v>
      </c>
      <c r="V142" s="6"/>
      <c r="W142" s="12">
        <f t="shared" si="12"/>
        <v>80</v>
      </c>
      <c r="X142" s="7">
        <f>'Calibration-S40 to end'!$U$11*(QAQC!L142^2)+'Calibration-S40 to end'!$U$12*QAQC!L142+'Calibration-S40 to end'!$U$13</f>
        <v>68.712458170000005</v>
      </c>
      <c r="Y142" s="7">
        <f t="shared" si="14"/>
        <v>68.712458170000005</v>
      </c>
      <c r="Z142" s="6"/>
      <c r="AA142" s="6"/>
      <c r="AB142" s="9"/>
      <c r="AC142" s="6"/>
      <c r="AD142" s="6"/>
      <c r="AE142" s="6"/>
      <c r="AF142" s="6">
        <v>1</v>
      </c>
      <c r="AG142" s="6"/>
      <c r="AH142" s="6">
        <f t="shared" si="15"/>
        <v>1400</v>
      </c>
      <c r="AI142" s="13">
        <f>'Calibration-S40 to end'!$I$11*(QAQC!Q142^2)+'Calibration-S40 to end'!$I$12*QAQC!Q142+'Calibration-S40 to end'!$I$13</f>
        <v>838.94882800000005</v>
      </c>
      <c r="AJ142" s="13">
        <f t="shared" si="17"/>
        <v>838.94882800000005</v>
      </c>
      <c r="AK142" s="9"/>
      <c r="AL142" s="6"/>
      <c r="AM142" s="9"/>
      <c r="AN142" s="6"/>
      <c r="AO142" s="9"/>
      <c r="AP142" s="6"/>
      <c r="AQ142" s="6"/>
      <c r="AR142" s="6">
        <v>136</v>
      </c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</row>
    <row r="143" spans="1:64" ht="15.75" customHeight="1" x14ac:dyDescent="0.2">
      <c r="A143" s="10">
        <v>46085</v>
      </c>
      <c r="B143" s="11">
        <v>0.55656249999999996</v>
      </c>
      <c r="C143" s="1" t="s">
        <v>122</v>
      </c>
      <c r="D143" s="1" t="s">
        <v>151</v>
      </c>
      <c r="E143" s="1">
        <v>105</v>
      </c>
      <c r="F143" s="1" t="s">
        <v>84</v>
      </c>
      <c r="G143" s="1">
        <v>1</v>
      </c>
      <c r="H143" s="1">
        <v>1</v>
      </c>
      <c r="I143" s="1" t="s">
        <v>47</v>
      </c>
      <c r="J143" s="1" t="s">
        <v>48</v>
      </c>
      <c r="K143" s="1">
        <v>0.32100000000000001</v>
      </c>
      <c r="L143" s="1">
        <v>6.03</v>
      </c>
      <c r="M143" s="1">
        <v>199</v>
      </c>
      <c r="N143" s="1" t="s">
        <v>49</v>
      </c>
      <c r="O143" s="1" t="s">
        <v>50</v>
      </c>
      <c r="P143" s="1">
        <v>1.59</v>
      </c>
      <c r="Q143" s="1">
        <v>20.399999999999999</v>
      </c>
      <c r="R143" s="1">
        <v>2070</v>
      </c>
      <c r="S143" s="6"/>
      <c r="T143" s="6">
        <v>1</v>
      </c>
      <c r="U143" s="6">
        <v>3</v>
      </c>
      <c r="V143" s="6" t="s">
        <v>152</v>
      </c>
      <c r="W143" s="12">
        <f t="shared" si="12"/>
        <v>199</v>
      </c>
      <c r="X143" s="7">
        <f>'Calibration-S40 to end'!$U$11*(QAQC!L143^2)+'Calibration-S40 to end'!$U$12*QAQC!L143+'Calibration-S40 to end'!$U$13</f>
        <v>161.69077657</v>
      </c>
      <c r="Y143" s="7">
        <f t="shared" si="14"/>
        <v>161.69077657</v>
      </c>
      <c r="Z143" s="6"/>
      <c r="AA143" s="6"/>
      <c r="AB143" s="12"/>
      <c r="AC143" s="14"/>
      <c r="AD143" s="14">
        <f>100*((Y143*10250)-(Y142*10000))/(1000*250)</f>
        <v>388.08235125699997</v>
      </c>
      <c r="AE143" s="14" t="str">
        <f>IF(Y143&gt;30, (IF((AND(AD143&gt;=80,AD143&lt;=120)=TRUE),"PASS","FAIL")),(IF((AND(AD143&gt;=50,AD143&lt;=150)=TRUE),"PASS","FAIL")))</f>
        <v>FAIL</v>
      </c>
      <c r="AF143" s="6">
        <v>3</v>
      </c>
      <c r="AG143" s="6" t="s">
        <v>152</v>
      </c>
      <c r="AH143" s="6">
        <f t="shared" si="15"/>
        <v>2070</v>
      </c>
      <c r="AI143" s="13">
        <f>'Calibration-S40 to end'!$I$11*(QAQC!Q143^2)+'Calibration-S40 to end'!$I$12*QAQC!Q143+'Calibration-S40 to end'!$I$13</f>
        <v>1166.1889880000001</v>
      </c>
      <c r="AJ143" s="13">
        <f t="shared" si="17"/>
        <v>1166.1889880000001</v>
      </c>
      <c r="AK143" s="9"/>
      <c r="AL143" s="6"/>
      <c r="AM143" s="12"/>
      <c r="AN143" s="14"/>
      <c r="AO143" s="12">
        <f>100*((AJ143*10250)-(AJ142*10000))/(1000*2500)</f>
        <v>142.55795387999999</v>
      </c>
      <c r="AP143" s="14" t="str">
        <f>IF(AJ143&gt;30, (IF((AND(AO143&gt;=80,AO143&lt;=120)=TRUE),"PASS","FAIL")),(IF((AND(AO143&gt;=50,AO143&lt;=150)=TRUE),"PASS","FAIL")))</f>
        <v>FAIL</v>
      </c>
      <c r="AQ143" s="6"/>
      <c r="AR143" s="6">
        <v>137</v>
      </c>
      <c r="AS143" s="6"/>
    </row>
    <row r="144" spans="1:64" ht="15.75" customHeight="1" x14ac:dyDescent="0.2">
      <c r="A144" s="10">
        <v>46085</v>
      </c>
      <c r="B144" s="11">
        <v>0.55745370370370373</v>
      </c>
      <c r="C144" s="1" t="s">
        <v>122</v>
      </c>
      <c r="D144" s="1" t="s">
        <v>125</v>
      </c>
      <c r="E144" s="1" t="s">
        <v>58</v>
      </c>
      <c r="F144" s="1" t="s">
        <v>46</v>
      </c>
      <c r="G144" s="1">
        <v>1</v>
      </c>
      <c r="H144" s="1">
        <v>1</v>
      </c>
      <c r="I144" s="1" t="s">
        <v>47</v>
      </c>
      <c r="J144" s="1" t="s">
        <v>48</v>
      </c>
      <c r="K144" s="1">
        <v>1.0800000000000001E-2</v>
      </c>
      <c r="L144" s="1">
        <v>0.114</v>
      </c>
      <c r="M144" s="1">
        <v>-11.3</v>
      </c>
      <c r="N144" s="1" t="s">
        <v>49</v>
      </c>
      <c r="O144" s="1" t="s">
        <v>50</v>
      </c>
      <c r="P144" s="1">
        <v>1.7100000000000001E-2</v>
      </c>
      <c r="Q144" s="1">
        <v>0.18099999999999999</v>
      </c>
      <c r="R144" s="1">
        <v>-70.099999999999994</v>
      </c>
      <c r="S144" s="6"/>
      <c r="T144" s="6">
        <v>1</v>
      </c>
      <c r="U144" s="6">
        <v>1</v>
      </c>
      <c r="V144" s="6"/>
      <c r="W144" s="12">
        <f t="shared" si="12"/>
        <v>-11.3</v>
      </c>
      <c r="X144" s="7">
        <f>'Calibration-S40 to end'!$U$11*(QAQC!L144^2)+'Calibration-S40 to end'!$U$12*QAQC!L144+'Calibration-S40 to end'!$U$13</f>
        <v>-10.6072286492</v>
      </c>
      <c r="Y144" s="7">
        <f t="shared" si="14"/>
        <v>-10.6072286492</v>
      </c>
      <c r="Z144" s="6"/>
      <c r="AA144" s="6"/>
      <c r="AB144" s="12"/>
      <c r="AC144" s="14"/>
      <c r="AD144" s="6"/>
      <c r="AE144" s="6"/>
      <c r="AF144" s="6">
        <v>1</v>
      </c>
      <c r="AG144" s="6"/>
      <c r="AH144" s="6">
        <f t="shared" si="15"/>
        <v>-70.099999999999994</v>
      </c>
      <c r="AI144" s="13">
        <f>'Calibration-S40 to end'!$I$11*(QAQC!Q144^2)+'Calibration-S40 to end'!$I$12*QAQC!Q144+'Calibration-S40 to end'!$I$13</f>
        <v>-85.342481214200006</v>
      </c>
      <c r="AJ144" s="13">
        <f t="shared" si="17"/>
        <v>-85.342481214200006</v>
      </c>
      <c r="AK144" s="9"/>
      <c r="AL144" s="6"/>
      <c r="AM144" s="12"/>
      <c r="AN144" s="14"/>
      <c r="AO144" s="12"/>
      <c r="AP144" s="14"/>
      <c r="AQ144" s="6"/>
      <c r="AR144" s="6">
        <v>138</v>
      </c>
      <c r="AS144" s="6"/>
    </row>
    <row r="145" spans="1:64" ht="15.75" customHeight="1" x14ac:dyDescent="0.2">
      <c r="A145" s="10">
        <v>46085</v>
      </c>
      <c r="B145" s="11">
        <v>0.55834490740740739</v>
      </c>
      <c r="C145" s="1" t="s">
        <v>122</v>
      </c>
      <c r="D145" s="1" t="s">
        <v>126</v>
      </c>
      <c r="E145" s="1">
        <v>16</v>
      </c>
      <c r="F145" s="1" t="s">
        <v>88</v>
      </c>
      <c r="G145" s="1">
        <v>1</v>
      </c>
      <c r="H145" s="1">
        <v>1</v>
      </c>
      <c r="I145" s="1" t="s">
        <v>47</v>
      </c>
      <c r="J145" s="1" t="s">
        <v>48</v>
      </c>
      <c r="K145" s="1">
        <v>5.4699999999999999E-2</v>
      </c>
      <c r="L145" s="1">
        <v>1.26</v>
      </c>
      <c r="M145" s="1">
        <v>28.5</v>
      </c>
      <c r="N145" s="1" t="s">
        <v>49</v>
      </c>
      <c r="O145" s="1" t="s">
        <v>50</v>
      </c>
      <c r="P145" s="1">
        <v>0.374</v>
      </c>
      <c r="Q145" s="1">
        <v>4.87</v>
      </c>
      <c r="R145" s="1">
        <v>446</v>
      </c>
      <c r="T145" s="6">
        <v>1</v>
      </c>
      <c r="U145" s="6">
        <v>1</v>
      </c>
      <c r="V145" s="6"/>
      <c r="W145" s="12">
        <f t="shared" si="12"/>
        <v>28.5</v>
      </c>
      <c r="X145" s="7">
        <f>'Calibration-S40 to end'!$U$11*(QAQC!L145^2)+'Calibration-S40 to end'!$U$12*QAQC!L145+'Calibration-S40 to end'!$U$13</f>
        <v>24.751627479999993</v>
      </c>
      <c r="Y145" s="7">
        <f t="shared" si="14"/>
        <v>24.751627479999993</v>
      </c>
      <c r="Z145" s="6">
        <f>100*(Y145-25)/25</f>
        <v>-0.99349008000002925</v>
      </c>
      <c r="AA145" s="6" t="str">
        <f>IF((ABS(Z145))&lt;=20,"PASS","FAIL")</f>
        <v>PASS</v>
      </c>
      <c r="AB145" s="9"/>
      <c r="AC145" s="6"/>
      <c r="AD145" s="14"/>
      <c r="AE145" s="14"/>
      <c r="AF145" s="6">
        <v>1</v>
      </c>
      <c r="AG145" s="6"/>
      <c r="AH145" s="6">
        <f t="shared" si="15"/>
        <v>446</v>
      </c>
      <c r="AI145" s="13">
        <f>'Calibration-S40 to end'!$I$11*(QAQC!Q145^2)+'Calibration-S40 to end'!$I$12*QAQC!Q145+'Calibration-S40 to end'!$I$13</f>
        <v>266.23005382000008</v>
      </c>
      <c r="AJ145" s="13">
        <f t="shared" si="17"/>
        <v>266.23005382000008</v>
      </c>
      <c r="AK145" s="9">
        <f>100*(AJ145-250)/250</f>
        <v>6.4920215280000324</v>
      </c>
      <c r="AL145" s="6" t="str">
        <f>IF((ABS(AK145))&lt;=20,"PASS","FAIL")</f>
        <v>PASS</v>
      </c>
      <c r="AM145" s="9"/>
      <c r="AN145" s="6"/>
      <c r="AO145" s="12"/>
      <c r="AP145" s="14"/>
      <c r="AQ145" s="6"/>
      <c r="AR145" s="6">
        <v>139</v>
      </c>
      <c r="AS145" s="6"/>
    </row>
    <row r="146" spans="1:64" ht="15.75" customHeight="1" x14ac:dyDescent="0.2">
      <c r="A146" s="10">
        <v>46085</v>
      </c>
      <c r="B146" s="11">
        <v>0.55922453703703701</v>
      </c>
      <c r="C146" s="1" t="s">
        <v>122</v>
      </c>
      <c r="D146" s="1" t="s">
        <v>51</v>
      </c>
      <c r="E146" s="1" t="s">
        <v>52</v>
      </c>
      <c r="F146" s="1" t="s">
        <v>46</v>
      </c>
      <c r="G146" s="1">
        <v>1</v>
      </c>
      <c r="H146" s="1">
        <v>1</v>
      </c>
      <c r="I146" s="1" t="s">
        <v>47</v>
      </c>
      <c r="J146" s="1" t="s">
        <v>48</v>
      </c>
      <c r="K146" s="1">
        <v>0.13600000000000001</v>
      </c>
      <c r="L146" s="1">
        <v>1.67</v>
      </c>
      <c r="M146" s="1">
        <v>42.5</v>
      </c>
      <c r="N146" s="1" t="s">
        <v>49</v>
      </c>
      <c r="O146" s="1" t="s">
        <v>50</v>
      </c>
      <c r="P146" s="1">
        <v>1.89</v>
      </c>
      <c r="Q146" s="1">
        <v>24.7</v>
      </c>
      <c r="R146" s="1">
        <v>2490</v>
      </c>
      <c r="S146" s="6">
        <f>100*(Q147/Q146)</f>
        <v>99.595141700404866</v>
      </c>
      <c r="T146" s="6">
        <v>1</v>
      </c>
      <c r="U146" s="6">
        <v>1</v>
      </c>
      <c r="V146" s="6"/>
      <c r="W146" s="12">
        <f t="shared" si="12"/>
        <v>42.5</v>
      </c>
      <c r="X146" s="7">
        <f>'Calibration-S40 to end'!$U$11*(QAQC!L146^2)+'Calibration-S40 to end'!$U$12*QAQC!L146+'Calibration-S40 to end'!$U$13</f>
        <v>37.170440970000001</v>
      </c>
      <c r="Y146" s="7">
        <f t="shared" si="14"/>
        <v>37.170440970000001</v>
      </c>
      <c r="Z146" s="6"/>
      <c r="AA146" s="6"/>
      <c r="AB146" s="12"/>
      <c r="AF146" s="6">
        <v>1</v>
      </c>
      <c r="AG146" s="6"/>
      <c r="AH146" s="6">
        <f t="shared" si="15"/>
        <v>2490</v>
      </c>
      <c r="AI146" s="13">
        <f>'Calibration-S40 to end'!$I$11*(QAQC!Q146^2)+'Calibration-S40 to end'!$I$12*QAQC!Q146+'Calibration-S40 to end'!$I$13</f>
        <v>1343.559172</v>
      </c>
      <c r="AJ146" s="13">
        <f t="shared" si="17"/>
        <v>1343.559172</v>
      </c>
      <c r="AK146" s="9"/>
      <c r="AL146" s="6"/>
      <c r="AM146" s="12"/>
      <c r="AO146" s="12"/>
      <c r="AP146" s="14"/>
      <c r="AQ146" s="6"/>
      <c r="AR146" s="6">
        <v>140</v>
      </c>
      <c r="AS146" s="6"/>
    </row>
    <row r="147" spans="1:64" ht="15.75" customHeight="1" x14ac:dyDescent="0.2">
      <c r="A147" s="10">
        <v>46085</v>
      </c>
      <c r="B147" s="11">
        <v>0.56010416666666663</v>
      </c>
      <c r="C147" s="1" t="s">
        <v>122</v>
      </c>
      <c r="D147" s="1" t="s">
        <v>53</v>
      </c>
      <c r="E147" s="1" t="s">
        <v>54</v>
      </c>
      <c r="F147" s="1" t="s">
        <v>46</v>
      </c>
      <c r="G147" s="1">
        <v>1</v>
      </c>
      <c r="H147" s="1">
        <v>1</v>
      </c>
      <c r="I147" s="1" t="s">
        <v>47</v>
      </c>
      <c r="J147" s="1" t="s">
        <v>48</v>
      </c>
      <c r="K147" s="1">
        <v>0.13800000000000001</v>
      </c>
      <c r="L147" s="1">
        <v>1.7</v>
      </c>
      <c r="M147" s="1">
        <v>43.8</v>
      </c>
      <c r="N147" s="1" t="s">
        <v>49</v>
      </c>
      <c r="O147" s="1" t="s">
        <v>50</v>
      </c>
      <c r="P147" s="1">
        <v>1.91</v>
      </c>
      <c r="Q147" s="1">
        <v>24.6</v>
      </c>
      <c r="R147" s="1">
        <v>2480</v>
      </c>
      <c r="S147" s="6"/>
      <c r="T147" s="6">
        <v>1</v>
      </c>
      <c r="U147" s="6">
        <v>1</v>
      </c>
      <c r="V147" s="6"/>
      <c r="W147" s="12">
        <f t="shared" si="12"/>
        <v>43.8</v>
      </c>
      <c r="X147" s="7">
        <f>'Calibration-S40 to end'!$U$11*(QAQC!L147^2)+'Calibration-S40 to end'!$U$12*QAQC!L147+'Calibration-S40 to end'!$U$13</f>
        <v>38.074347000000003</v>
      </c>
      <c r="Y147" s="7">
        <f t="shared" si="14"/>
        <v>38.074347000000003</v>
      </c>
      <c r="Z147" s="6"/>
      <c r="AA147" s="6"/>
      <c r="AB147" s="12"/>
      <c r="AC147" s="14"/>
      <c r="AD147" s="6"/>
      <c r="AE147" s="6"/>
      <c r="AF147" s="6">
        <v>1</v>
      </c>
      <c r="AG147" s="6"/>
      <c r="AH147" s="6">
        <f t="shared" si="15"/>
        <v>2480</v>
      </c>
      <c r="AI147" s="13">
        <f>'Calibration-S40 to end'!$I$11*(QAQC!Q147^2)+'Calibration-S40 to end'!$I$12*QAQC!Q147+'Calibration-S40 to end'!$I$13</f>
        <v>1339.788008</v>
      </c>
      <c r="AJ147" s="13">
        <f t="shared" si="17"/>
        <v>1339.788008</v>
      </c>
      <c r="AK147" s="9"/>
      <c r="AL147" s="6"/>
      <c r="AM147" s="12"/>
      <c r="AN147" s="14"/>
      <c r="AO147" s="9"/>
      <c r="AP147" s="6"/>
      <c r="AQ147" s="6"/>
      <c r="AR147" s="6">
        <v>141</v>
      </c>
      <c r="AS147" s="6"/>
    </row>
    <row r="148" spans="1:64" ht="15.75" customHeight="1" x14ac:dyDescent="0.2">
      <c r="A148" s="10">
        <v>46085</v>
      </c>
      <c r="B148" s="11">
        <v>0.56100694444444443</v>
      </c>
      <c r="C148" s="1" t="s">
        <v>122</v>
      </c>
      <c r="D148" s="1" t="s">
        <v>153</v>
      </c>
      <c r="E148" s="1">
        <v>106</v>
      </c>
      <c r="F148" s="1" t="s">
        <v>46</v>
      </c>
      <c r="G148" s="1">
        <v>1</v>
      </c>
      <c r="H148" s="1">
        <v>1</v>
      </c>
      <c r="I148" s="1" t="s">
        <v>47</v>
      </c>
      <c r="J148" s="1" t="s">
        <v>48</v>
      </c>
      <c r="K148" s="1">
        <v>0.36799999999999999</v>
      </c>
      <c r="L148" s="1">
        <v>6.95</v>
      </c>
      <c r="M148" s="1">
        <v>233</v>
      </c>
      <c r="N148" s="1" t="s">
        <v>49</v>
      </c>
      <c r="O148" s="1" t="s">
        <v>50</v>
      </c>
      <c r="P148" s="1">
        <v>2</v>
      </c>
      <c r="Q148" s="1">
        <v>25.8</v>
      </c>
      <c r="R148" s="1">
        <v>2600</v>
      </c>
      <c r="T148" s="6">
        <v>1</v>
      </c>
      <c r="U148" s="6">
        <v>3</v>
      </c>
      <c r="V148" s="6" t="s">
        <v>154</v>
      </c>
      <c r="W148" s="12">
        <f t="shared" si="12"/>
        <v>233</v>
      </c>
      <c r="X148" s="7">
        <f>'Calibration-S40 to end'!$U$11*(QAQC!L148^2)+'Calibration-S40 to end'!$U$12*QAQC!L148+'Calibration-S40 to end'!$U$13</f>
        <v>186.20385825</v>
      </c>
      <c r="Y148" s="7">
        <f t="shared" si="14"/>
        <v>186.20385825</v>
      </c>
      <c r="Z148" s="6"/>
      <c r="AA148" s="6"/>
      <c r="AB148" s="9"/>
      <c r="AC148" s="6"/>
      <c r="AD148" s="14"/>
      <c r="AE148" s="14"/>
      <c r="AF148" s="6">
        <v>1</v>
      </c>
      <c r="AG148" s="6"/>
      <c r="AH148" s="6">
        <f t="shared" si="15"/>
        <v>2600</v>
      </c>
      <c r="AI148" s="13">
        <f>'Calibration-S40 to end'!$I$11*(QAQC!Q148^2)+'Calibration-S40 to end'!$I$12*QAQC!Q148+'Calibration-S40 to end'!$I$13</f>
        <v>1383.9302720000003</v>
      </c>
      <c r="AJ148" s="13">
        <f t="shared" si="17"/>
        <v>1383.9302720000003</v>
      </c>
      <c r="AK148" s="9"/>
      <c r="AL148" s="6"/>
      <c r="AM148" s="9"/>
      <c r="AN148" s="6"/>
      <c r="AO148" s="12"/>
      <c r="AP148" s="14"/>
      <c r="AQ148" s="6"/>
      <c r="AR148" s="6">
        <v>142</v>
      </c>
      <c r="AS148" s="6"/>
    </row>
    <row r="149" spans="1:64" ht="15.75" customHeight="1" x14ac:dyDescent="0.2">
      <c r="A149" s="10">
        <v>46085</v>
      </c>
      <c r="B149" s="11">
        <v>0.5618981481481482</v>
      </c>
      <c r="C149" s="1" t="s">
        <v>122</v>
      </c>
      <c r="D149" s="1" t="s">
        <v>155</v>
      </c>
      <c r="E149" s="1">
        <v>107</v>
      </c>
      <c r="F149" s="1" t="s">
        <v>46</v>
      </c>
      <c r="G149" s="1">
        <v>1</v>
      </c>
      <c r="H149" s="1">
        <v>1</v>
      </c>
      <c r="I149" s="1" t="s">
        <v>47</v>
      </c>
      <c r="J149" s="1" t="s">
        <v>48</v>
      </c>
      <c r="K149" s="1">
        <v>7.0199999999999999E-2</v>
      </c>
      <c r="L149" s="1">
        <v>1.57</v>
      </c>
      <c r="M149" s="1">
        <v>39.1</v>
      </c>
      <c r="N149" s="1" t="s">
        <v>49</v>
      </c>
      <c r="O149" s="1" t="s">
        <v>50</v>
      </c>
      <c r="P149" s="1">
        <v>1.1599999999999999</v>
      </c>
      <c r="Q149" s="1">
        <v>13.5</v>
      </c>
      <c r="R149" s="1">
        <v>1360</v>
      </c>
      <c r="T149" s="6">
        <v>1</v>
      </c>
      <c r="U149" s="6">
        <v>1</v>
      </c>
      <c r="V149" s="6"/>
      <c r="W149" s="12">
        <f t="shared" si="12"/>
        <v>39.1</v>
      </c>
      <c r="X149" s="7">
        <f>'Calibration-S40 to end'!$U$11*(QAQC!L149^2)+'Calibration-S40 to end'!$U$12*QAQC!L149+'Calibration-S40 to end'!$U$13</f>
        <v>34.152705769999997</v>
      </c>
      <c r="Y149" s="7">
        <f t="shared" si="14"/>
        <v>34.152705769999997</v>
      </c>
      <c r="Z149" s="6"/>
      <c r="AA149" s="6"/>
      <c r="AB149" s="12"/>
      <c r="AC149" s="14"/>
      <c r="AD149" s="6"/>
      <c r="AE149" s="6"/>
      <c r="AF149" s="6">
        <v>1</v>
      </c>
      <c r="AG149" s="6"/>
      <c r="AH149" s="6">
        <f t="shared" si="15"/>
        <v>1360</v>
      </c>
      <c r="AI149" s="13">
        <f>'Calibration-S40 to end'!$I$11*(QAQC!Q149^2)+'Calibration-S40 to end'!$I$12*QAQC!Q149+'Calibration-S40 to end'!$I$13</f>
        <v>816.48650000000009</v>
      </c>
      <c r="AJ149" s="13">
        <f t="shared" si="17"/>
        <v>816.48650000000009</v>
      </c>
      <c r="AK149" s="9"/>
      <c r="AL149" s="6"/>
      <c r="AM149" s="12"/>
      <c r="AN149" s="14"/>
      <c r="AO149" s="9"/>
      <c r="AP149" s="6"/>
      <c r="AQ149" s="6"/>
      <c r="AR149" s="6">
        <v>143</v>
      </c>
      <c r="AS149" s="6"/>
    </row>
    <row r="150" spans="1:64" ht="15.75" customHeight="1" x14ac:dyDescent="0.2">
      <c r="A150" s="10">
        <v>46085</v>
      </c>
      <c r="B150" s="11">
        <v>0.56278935185185186</v>
      </c>
      <c r="C150" s="1" t="s">
        <v>122</v>
      </c>
      <c r="D150" s="1" t="s">
        <v>156</v>
      </c>
      <c r="E150" s="1">
        <v>108</v>
      </c>
      <c r="F150" s="1" t="s">
        <v>46</v>
      </c>
      <c r="G150" s="1">
        <v>1</v>
      </c>
      <c r="H150" s="1">
        <v>1</v>
      </c>
      <c r="I150" s="1" t="s">
        <v>47</v>
      </c>
      <c r="J150" s="1" t="s">
        <v>48</v>
      </c>
      <c r="K150" s="1">
        <v>7.2099999999999997E-2</v>
      </c>
      <c r="L150" s="1">
        <v>1.58</v>
      </c>
      <c r="M150" s="1">
        <v>39.4</v>
      </c>
      <c r="N150" s="1" t="s">
        <v>49</v>
      </c>
      <c r="O150" s="1" t="s">
        <v>50</v>
      </c>
      <c r="P150" s="1">
        <v>1.78</v>
      </c>
      <c r="Q150" s="1">
        <v>22.8</v>
      </c>
      <c r="R150" s="1">
        <v>2310</v>
      </c>
      <c r="T150" s="6">
        <v>1</v>
      </c>
      <c r="U150" s="6">
        <v>1</v>
      </c>
      <c r="V150" s="6"/>
      <c r="W150" s="12">
        <f t="shared" si="12"/>
        <v>39.4</v>
      </c>
      <c r="X150" s="7">
        <f>'Calibration-S40 to end'!$U$11*(QAQC!L150^2)+'Calibration-S40 to end'!$U$12*QAQC!L150+'Calibration-S40 to end'!$U$13</f>
        <v>34.454805719999996</v>
      </c>
      <c r="Y150" s="7">
        <f t="shared" si="14"/>
        <v>34.454805719999996</v>
      </c>
      <c r="Z150" s="6"/>
      <c r="AA150" s="6"/>
      <c r="AB150" s="9"/>
      <c r="AC150" s="6"/>
      <c r="AD150" s="14"/>
      <c r="AE150" s="14"/>
      <c r="AF150" s="6">
        <v>1</v>
      </c>
      <c r="AG150" s="6"/>
      <c r="AH150" s="6">
        <f t="shared" si="15"/>
        <v>2310</v>
      </c>
      <c r="AI150" s="13">
        <f>'Calibration-S40 to end'!$I$11*(QAQC!Q150^2)+'Calibration-S40 to end'!$I$12*QAQC!Q150+'Calibration-S40 to end'!$I$13</f>
        <v>1269.026732</v>
      </c>
      <c r="AJ150" s="13">
        <f t="shared" si="17"/>
        <v>1269.026732</v>
      </c>
      <c r="AK150" s="9"/>
      <c r="AL150" s="6"/>
      <c r="AM150" s="9"/>
      <c r="AN150" s="6"/>
      <c r="AO150" s="12"/>
      <c r="AP150" s="14"/>
      <c r="AQ150" s="6"/>
      <c r="AR150" s="6">
        <v>144</v>
      </c>
      <c r="AS150" s="6"/>
    </row>
    <row r="151" spans="1:64" ht="15.75" customHeight="1" x14ac:dyDescent="0.2">
      <c r="A151" s="10">
        <v>46085</v>
      </c>
      <c r="B151" s="11">
        <v>0.56368055555555552</v>
      </c>
      <c r="C151" s="1" t="s">
        <v>122</v>
      </c>
      <c r="D151" s="1" t="s">
        <v>157</v>
      </c>
      <c r="E151" s="1">
        <v>109</v>
      </c>
      <c r="F151" s="1" t="s">
        <v>46</v>
      </c>
      <c r="G151" s="1">
        <v>1</v>
      </c>
      <c r="H151" s="1">
        <v>1</v>
      </c>
      <c r="I151" s="1" t="s">
        <v>47</v>
      </c>
      <c r="J151" s="1" t="s">
        <v>48</v>
      </c>
      <c r="K151" s="1">
        <v>9.4399999999999998E-2</v>
      </c>
      <c r="L151" s="1">
        <v>1.85</v>
      </c>
      <c r="M151" s="1">
        <v>49.1</v>
      </c>
      <c r="N151" s="1" t="s">
        <v>49</v>
      </c>
      <c r="O151" s="1" t="s">
        <v>50</v>
      </c>
      <c r="P151" s="1">
        <v>0.88100000000000001</v>
      </c>
      <c r="Q151" s="1">
        <v>11.3</v>
      </c>
      <c r="R151" s="1">
        <v>1140</v>
      </c>
      <c r="T151" s="6">
        <v>1</v>
      </c>
      <c r="U151" s="6">
        <v>1</v>
      </c>
      <c r="V151" s="6"/>
      <c r="W151" s="12">
        <f t="shared" si="12"/>
        <v>49.1</v>
      </c>
      <c r="X151" s="7">
        <f>'Calibration-S40 to end'!$U$11*(QAQC!L151^2)+'Calibration-S40 to end'!$U$12*QAQC!L151+'Calibration-S40 to end'!$U$13</f>
        <v>42.584084250000004</v>
      </c>
      <c r="Y151" s="7">
        <f t="shared" si="14"/>
        <v>42.584084250000004</v>
      </c>
      <c r="Z151" s="6"/>
      <c r="AA151" s="6"/>
      <c r="AB151" s="12"/>
      <c r="AC151" s="14"/>
      <c r="AD151" s="14"/>
      <c r="AE151" s="14"/>
      <c r="AF151" s="6">
        <v>1</v>
      </c>
      <c r="AG151" s="6"/>
      <c r="AH151" s="6">
        <f t="shared" si="15"/>
        <v>1140</v>
      </c>
      <c r="AI151" s="13">
        <f>'Calibration-S40 to end'!$I$11*(QAQC!Q151^2)+'Calibration-S40 to end'!$I$12*QAQC!Q151+'Calibration-S40 to end'!$I$13</f>
        <v>688.1263120000001</v>
      </c>
      <c r="AJ151" s="13">
        <f t="shared" si="17"/>
        <v>688.1263120000001</v>
      </c>
      <c r="AK151" s="9"/>
      <c r="AL151" s="6"/>
      <c r="AM151" s="12"/>
      <c r="AN151" s="14"/>
      <c r="AO151" s="12"/>
      <c r="AP151" s="14"/>
      <c r="AQ151" s="6"/>
      <c r="AR151" s="6">
        <v>145</v>
      </c>
      <c r="AS151" s="6"/>
    </row>
    <row r="152" spans="1:64" ht="15.75" customHeight="1" x14ac:dyDescent="0.2">
      <c r="A152" s="10">
        <v>46085</v>
      </c>
      <c r="B152" s="11">
        <v>0.56457175925925929</v>
      </c>
      <c r="C152" s="1" t="s">
        <v>122</v>
      </c>
      <c r="D152" s="1" t="s">
        <v>158</v>
      </c>
      <c r="E152" s="1">
        <v>110</v>
      </c>
      <c r="F152" s="1" t="s">
        <v>75</v>
      </c>
      <c r="G152" s="1">
        <v>1</v>
      </c>
      <c r="H152" s="1">
        <v>1</v>
      </c>
      <c r="I152" s="1" t="s">
        <v>47</v>
      </c>
      <c r="J152" s="1" t="s">
        <v>48</v>
      </c>
      <c r="K152" s="1">
        <v>2.5700000000000001E-2</v>
      </c>
      <c r="L152" s="1">
        <v>0.69699999999999995</v>
      </c>
      <c r="M152" s="1">
        <v>8.81</v>
      </c>
      <c r="N152" s="1" t="s">
        <v>49</v>
      </c>
      <c r="O152" s="1" t="s">
        <v>50</v>
      </c>
      <c r="P152" s="1">
        <v>0.22600000000000001</v>
      </c>
      <c r="Q152" s="1">
        <v>3.03</v>
      </c>
      <c r="R152" s="1">
        <v>245</v>
      </c>
      <c r="T152" s="6">
        <v>1</v>
      </c>
      <c r="U152" s="6">
        <v>1</v>
      </c>
      <c r="V152" s="6"/>
      <c r="W152" s="12">
        <f t="shared" si="12"/>
        <v>8.81</v>
      </c>
      <c r="X152" s="7">
        <f>'Calibration-S40 to end'!$U$11*(QAQC!L152^2)+'Calibration-S40 to end'!$U$12*QAQC!L152+'Calibration-S40 to end'!$U$13</f>
        <v>7.4997895756999959</v>
      </c>
      <c r="Y152" s="7">
        <f t="shared" si="14"/>
        <v>7.4997895756999959</v>
      </c>
      <c r="Z152" s="6"/>
      <c r="AA152" s="6"/>
      <c r="AB152" s="12"/>
      <c r="AC152" s="14"/>
      <c r="AD152" s="6"/>
      <c r="AE152" s="6"/>
      <c r="AF152" s="6">
        <v>1</v>
      </c>
      <c r="AG152" s="6"/>
      <c r="AH152" s="6">
        <f t="shared" si="15"/>
        <v>245</v>
      </c>
      <c r="AI152" s="13">
        <f>'Calibration-S40 to end'!$I$11*(QAQC!Q152^2)+'Calibration-S40 to end'!$I$12*QAQC!Q152+'Calibration-S40 to end'!$I$13</f>
        <v>132.68520902</v>
      </c>
      <c r="AJ152" s="13">
        <f t="shared" si="17"/>
        <v>132.68520902</v>
      </c>
      <c r="AK152" s="9"/>
      <c r="AL152" s="6"/>
      <c r="AM152" s="12"/>
      <c r="AN152" s="14"/>
      <c r="AO152" s="12"/>
      <c r="AP152" s="14"/>
      <c r="AQ152" s="6"/>
      <c r="AR152" s="6">
        <v>146</v>
      </c>
      <c r="AS152" s="6"/>
    </row>
    <row r="153" spans="1:64" ht="15.75" customHeight="1" x14ac:dyDescent="0.2">
      <c r="A153" s="10">
        <v>46085</v>
      </c>
      <c r="B153" s="11">
        <v>0.56546296296296295</v>
      </c>
      <c r="C153" s="1" t="s">
        <v>122</v>
      </c>
      <c r="D153" s="1" t="s">
        <v>159</v>
      </c>
      <c r="E153" s="1">
        <v>116</v>
      </c>
      <c r="F153" s="1" t="s">
        <v>75</v>
      </c>
      <c r="G153" s="1">
        <v>1</v>
      </c>
      <c r="H153" s="1">
        <v>1</v>
      </c>
      <c r="I153" s="1" t="s">
        <v>47</v>
      </c>
      <c r="J153" s="1" t="s">
        <v>48</v>
      </c>
      <c r="K153" s="1">
        <v>2.6100000000000002E-2</v>
      </c>
      <c r="L153" s="1">
        <v>0.72499999999999998</v>
      </c>
      <c r="M153" s="1">
        <v>9.7899999999999991</v>
      </c>
      <c r="N153" s="1" t="s">
        <v>49</v>
      </c>
      <c r="O153" s="1" t="s">
        <v>50</v>
      </c>
      <c r="P153" s="1">
        <v>0.221</v>
      </c>
      <c r="Q153" s="1">
        <v>2.87</v>
      </c>
      <c r="R153" s="1">
        <v>228</v>
      </c>
      <c r="S153" s="6"/>
      <c r="T153" s="6">
        <v>1</v>
      </c>
      <c r="U153" s="6">
        <v>2</v>
      </c>
      <c r="V153" s="6" t="s">
        <v>160</v>
      </c>
      <c r="W153" s="12">
        <f t="shared" si="12"/>
        <v>9.7899999999999991</v>
      </c>
      <c r="X153" s="7">
        <f>'Calibration-S40 to end'!$U$11*(QAQC!L153^2)+'Calibration-S40 to end'!$U$12*QAQC!L153+'Calibration-S40 to end'!$U$13</f>
        <v>8.363218312499999</v>
      </c>
      <c r="Y153" s="7">
        <f t="shared" si="14"/>
        <v>8.363218312499999</v>
      </c>
      <c r="Z153" s="6"/>
      <c r="AA153" s="6"/>
      <c r="AB153" s="12">
        <f>ABS(100*ABS(Y153-Y152)/AVERAGE(Y153,Y152))</f>
        <v>10.886065781285795</v>
      </c>
      <c r="AC153" s="14" t="str">
        <f>IF(Y153&gt;10, (IF((AND(AB153&gt;=0,AB153&lt;=20)=TRUE),"PASS","FAIL")),(IF((AND(AB153&gt;=0,AB153&lt;=50)=TRUE),"PASS","FAIL")))</f>
        <v>PASS</v>
      </c>
      <c r="AD153" s="14"/>
      <c r="AE153" s="14"/>
      <c r="AF153" s="6">
        <v>2</v>
      </c>
      <c r="AG153" s="6" t="s">
        <v>161</v>
      </c>
      <c r="AH153" s="6">
        <f t="shared" si="15"/>
        <v>228</v>
      </c>
      <c r="AI153" s="13">
        <f>'Calibration-S40 to end'!$I$11*(QAQC!Q153^2)+'Calibration-S40 to end'!$I$12*QAQC!Q153+'Calibration-S40 to end'!$I$13</f>
        <v>120.80310982</v>
      </c>
      <c r="AJ153" s="13">
        <f t="shared" si="17"/>
        <v>120.80310982</v>
      </c>
      <c r="AK153" s="9"/>
      <c r="AL153" s="6"/>
      <c r="AM153" s="12">
        <f>ABS(100*ABS(AJ153-AJ152)/AVERAGE(AJ153,AJ152))</f>
        <v>9.3748692281950028</v>
      </c>
      <c r="AN153" s="14" t="str">
        <f>IF(AJ153&gt;10, (IF((AND(AM153&gt;=0,AM153&lt;=20)=TRUE),"PASS","FAIL")),(IF((AND(AM153&gt;=0,AM153&lt;=50)=TRUE),"PASS","FAIL")))</f>
        <v>PASS</v>
      </c>
      <c r="AO153" s="9"/>
      <c r="AP153" s="6"/>
      <c r="AQ153" s="6"/>
      <c r="AR153" s="6">
        <v>147</v>
      </c>
      <c r="AS153" s="6"/>
    </row>
    <row r="154" spans="1:64" ht="15.75" customHeight="1" x14ac:dyDescent="0.2">
      <c r="A154" s="10">
        <v>46085</v>
      </c>
      <c r="B154" s="11">
        <v>0.56635416666666671</v>
      </c>
      <c r="C154" s="1" t="s">
        <v>122</v>
      </c>
      <c r="D154" s="1" t="s">
        <v>162</v>
      </c>
      <c r="E154" s="1">
        <v>111</v>
      </c>
      <c r="F154" s="1" t="s">
        <v>46</v>
      </c>
      <c r="G154" s="1">
        <v>1</v>
      </c>
      <c r="H154" s="1">
        <v>1</v>
      </c>
      <c r="I154" s="1" t="s">
        <v>47</v>
      </c>
      <c r="J154" s="1" t="s">
        <v>48</v>
      </c>
      <c r="K154" s="1">
        <v>0.128</v>
      </c>
      <c r="L154" s="1">
        <v>2.62</v>
      </c>
      <c r="M154" s="1">
        <v>76</v>
      </c>
      <c r="N154" s="1" t="s">
        <v>49</v>
      </c>
      <c r="O154" s="1" t="s">
        <v>50</v>
      </c>
      <c r="P154" s="1">
        <v>1.95</v>
      </c>
      <c r="Q154" s="1">
        <v>24.9</v>
      </c>
      <c r="R154" s="1">
        <v>2510</v>
      </c>
      <c r="S154" s="6"/>
      <c r="T154" s="6">
        <v>1</v>
      </c>
      <c r="U154" s="6">
        <v>1</v>
      </c>
      <c r="V154" s="6"/>
      <c r="W154" s="12">
        <f t="shared" si="12"/>
        <v>76</v>
      </c>
      <c r="X154" s="7">
        <f>'Calibration-S40 to end'!$U$11*(QAQC!L154^2)+'Calibration-S40 to end'!$U$12*QAQC!L154+'Calibration-S40 to end'!$U$13</f>
        <v>65.477132120000007</v>
      </c>
      <c r="Y154" s="7">
        <f t="shared" si="14"/>
        <v>65.477132120000007</v>
      </c>
      <c r="Z154" s="6"/>
      <c r="AA154" s="6"/>
      <c r="AB154" s="12"/>
      <c r="AC154" s="14"/>
      <c r="AD154" s="14"/>
      <c r="AE154" s="14"/>
      <c r="AF154" s="6">
        <v>1</v>
      </c>
      <c r="AG154" s="6"/>
      <c r="AH154" s="6">
        <f t="shared" si="15"/>
        <v>2510</v>
      </c>
      <c r="AI154" s="13">
        <f>'Calibration-S40 to end'!$I$11*(QAQC!Q154^2)+'Calibration-S40 to end'!$I$12*QAQC!Q154+'Calibration-S40 to end'!$I$13</f>
        <v>1351.050968</v>
      </c>
      <c r="AJ154" s="13">
        <f t="shared" si="17"/>
        <v>1351.050968</v>
      </c>
      <c r="AK154" s="9"/>
      <c r="AL154" s="6"/>
      <c r="AM154" s="12"/>
      <c r="AN154" s="14"/>
      <c r="AO154" s="12"/>
      <c r="AP154" s="14"/>
      <c r="AQ154" s="6"/>
      <c r="AR154" s="6">
        <v>148</v>
      </c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</row>
    <row r="155" spans="1:64" ht="15.75" customHeight="1" x14ac:dyDescent="0.2">
      <c r="A155" s="10">
        <v>46085</v>
      </c>
      <c r="B155" s="11">
        <v>0.56724537037037037</v>
      </c>
      <c r="C155" s="1" t="s">
        <v>122</v>
      </c>
      <c r="D155" s="1" t="s">
        <v>163</v>
      </c>
      <c r="E155" s="1">
        <v>112</v>
      </c>
      <c r="F155" s="1" t="s">
        <v>46</v>
      </c>
      <c r="G155" s="1">
        <v>1</v>
      </c>
      <c r="H155" s="1">
        <v>1</v>
      </c>
      <c r="I155" s="1" t="s">
        <v>47</v>
      </c>
      <c r="J155" s="1" t="s">
        <v>48</v>
      </c>
      <c r="K155" s="1">
        <v>3.1199999999999999E-2</v>
      </c>
      <c r="L155" s="1">
        <v>0.81899999999999995</v>
      </c>
      <c r="M155" s="1">
        <v>13.1</v>
      </c>
      <c r="N155" s="1" t="s">
        <v>49</v>
      </c>
      <c r="O155" s="1" t="s">
        <v>50</v>
      </c>
      <c r="P155" s="1">
        <v>0.26200000000000001</v>
      </c>
      <c r="Q155" s="1">
        <v>3.55</v>
      </c>
      <c r="R155" s="1">
        <v>302</v>
      </c>
      <c r="S155" s="6"/>
      <c r="T155" s="6">
        <v>1</v>
      </c>
      <c r="U155" s="6">
        <v>1</v>
      </c>
      <c r="V155" s="6"/>
      <c r="W155" s="12">
        <f t="shared" si="12"/>
        <v>13.1</v>
      </c>
      <c r="X155" s="7">
        <f>'Calibration-S40 to end'!$U$11*(QAQC!L155^2)+'Calibration-S40 to end'!$U$12*QAQC!L155+'Calibration-S40 to end'!$U$13</f>
        <v>11.257712485299997</v>
      </c>
      <c r="Y155" s="7">
        <f t="shared" si="14"/>
        <v>11.257712485299997</v>
      </c>
      <c r="Z155" s="6"/>
      <c r="AA155" s="6"/>
      <c r="AB155" s="9"/>
      <c r="AC155" s="6"/>
      <c r="AD155" s="14"/>
      <c r="AE155" s="14"/>
      <c r="AF155" s="6">
        <v>1</v>
      </c>
      <c r="AG155" s="6"/>
      <c r="AH155" s="6">
        <f t="shared" si="15"/>
        <v>302</v>
      </c>
      <c r="AI155" s="13">
        <f>'Calibration-S40 to end'!$I$11*(QAQC!Q155^2)+'Calibration-S40 to end'!$I$12*QAQC!Q155+'Calibration-S40 to end'!$I$13</f>
        <v>171.00422949999998</v>
      </c>
      <c r="AJ155" s="13">
        <f t="shared" si="17"/>
        <v>171.00422949999998</v>
      </c>
      <c r="AK155" s="9"/>
      <c r="AL155" s="6"/>
      <c r="AM155" s="9"/>
      <c r="AN155" s="6"/>
      <c r="AO155" s="12"/>
      <c r="AP155" s="14"/>
      <c r="AQ155" s="6"/>
      <c r="AR155" s="6">
        <v>149</v>
      </c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</row>
    <row r="156" spans="1:64" ht="15.75" customHeight="1" x14ac:dyDescent="0.2">
      <c r="A156" s="10">
        <v>46085</v>
      </c>
      <c r="B156" s="11">
        <v>0.56813657407407403</v>
      </c>
      <c r="C156" s="1" t="s">
        <v>122</v>
      </c>
      <c r="D156" s="1" t="s">
        <v>164</v>
      </c>
      <c r="E156" s="1">
        <v>113</v>
      </c>
      <c r="F156" s="1" t="s">
        <v>46</v>
      </c>
      <c r="G156" s="1">
        <v>1</v>
      </c>
      <c r="H156" s="1">
        <v>1</v>
      </c>
      <c r="I156" s="1" t="s">
        <v>47</v>
      </c>
      <c r="J156" s="1" t="s">
        <v>48</v>
      </c>
      <c r="K156" s="1">
        <v>5.3699999999999998E-2</v>
      </c>
      <c r="L156" s="1">
        <v>1.23</v>
      </c>
      <c r="M156" s="1">
        <v>27.4</v>
      </c>
      <c r="N156" s="1" t="s">
        <v>49</v>
      </c>
      <c r="O156" s="1" t="s">
        <v>50</v>
      </c>
      <c r="P156" s="1">
        <v>0.57599999999999996</v>
      </c>
      <c r="Q156" s="1">
        <v>7.46</v>
      </c>
      <c r="R156" s="1">
        <v>726</v>
      </c>
      <c r="S156" s="6"/>
      <c r="T156" s="6">
        <v>1</v>
      </c>
      <c r="U156" s="6">
        <v>1</v>
      </c>
      <c r="V156" s="6"/>
      <c r="W156" s="12">
        <f t="shared" si="12"/>
        <v>27.4</v>
      </c>
      <c r="X156" s="7">
        <f>'Calibration-S40 to end'!$U$11*(QAQC!L156^2)+'Calibration-S40 to end'!$U$12*QAQC!L156+'Calibration-S40 to end'!$U$13</f>
        <v>23.838146169999998</v>
      </c>
      <c r="Y156" s="7">
        <f t="shared" si="14"/>
        <v>23.838146169999998</v>
      </c>
      <c r="Z156" s="6"/>
      <c r="AA156" s="6"/>
      <c r="AB156" s="12"/>
      <c r="AC156" s="14"/>
      <c r="AD156" s="14"/>
      <c r="AE156" s="14"/>
      <c r="AF156" s="6">
        <v>1</v>
      </c>
      <c r="AG156" s="6"/>
      <c r="AH156" s="6">
        <f t="shared" si="15"/>
        <v>726</v>
      </c>
      <c r="AI156" s="13">
        <f>'Calibration-S40 to end'!$I$11*(QAQC!Q156^2)+'Calibration-S40 to end'!$I$12*QAQC!Q156+'Calibration-S40 to end'!$I$13</f>
        <v>444.54578848000006</v>
      </c>
      <c r="AJ156" s="13">
        <f t="shared" si="17"/>
        <v>444.54578848000006</v>
      </c>
      <c r="AK156" s="9"/>
      <c r="AL156" s="6"/>
      <c r="AM156" s="12"/>
      <c r="AN156" s="14"/>
      <c r="AO156" s="12"/>
      <c r="AP156" s="14"/>
      <c r="AQ156" s="6"/>
      <c r="AR156" s="6">
        <v>150</v>
      </c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</row>
    <row r="157" spans="1:64" ht="15.75" customHeight="1" x14ac:dyDescent="0.2">
      <c r="A157" s="10">
        <v>46085</v>
      </c>
      <c r="B157" s="11">
        <v>0.56903935185185184</v>
      </c>
      <c r="C157" s="1" t="s">
        <v>122</v>
      </c>
      <c r="D157" s="1" t="s">
        <v>165</v>
      </c>
      <c r="E157" s="1">
        <v>114</v>
      </c>
      <c r="F157" s="1" t="s">
        <v>46</v>
      </c>
      <c r="G157" s="1">
        <v>1</v>
      </c>
      <c r="H157" s="1">
        <v>1</v>
      </c>
      <c r="I157" s="1" t="s">
        <v>47</v>
      </c>
      <c r="J157" s="1" t="s">
        <v>48</v>
      </c>
      <c r="K157" s="1">
        <v>6.2E-2</v>
      </c>
      <c r="L157" s="1">
        <v>1.36</v>
      </c>
      <c r="M157" s="1">
        <v>31.7</v>
      </c>
      <c r="N157" s="1" t="s">
        <v>49</v>
      </c>
      <c r="O157" s="1" t="s">
        <v>50</v>
      </c>
      <c r="P157" s="1">
        <v>1.58</v>
      </c>
      <c r="Q157" s="1">
        <v>20.100000000000001</v>
      </c>
      <c r="R157" s="1">
        <v>2040</v>
      </c>
      <c r="S157" s="6"/>
      <c r="T157" s="6">
        <v>1</v>
      </c>
      <c r="U157" s="6">
        <v>1</v>
      </c>
      <c r="V157" s="6"/>
      <c r="W157" s="12">
        <f t="shared" si="12"/>
        <v>31.7</v>
      </c>
      <c r="X157" s="7">
        <f>'Calibration-S40 to end'!$U$11*(QAQC!L157^2)+'Calibration-S40 to end'!$U$12*QAQC!L157+'Calibration-S40 to end'!$U$13</f>
        <v>27.79185008</v>
      </c>
      <c r="Y157" s="7">
        <f t="shared" si="14"/>
        <v>27.79185008</v>
      </c>
      <c r="Z157" s="6"/>
      <c r="AA157" s="6"/>
      <c r="AB157" s="12"/>
      <c r="AC157" s="14"/>
      <c r="AD157" s="14"/>
      <c r="AE157" s="14"/>
      <c r="AF157" s="6">
        <v>1</v>
      </c>
      <c r="AG157" s="6"/>
      <c r="AH157" s="6">
        <f t="shared" si="15"/>
        <v>2040</v>
      </c>
      <c r="AI157" s="13">
        <f>'Calibration-S40 to end'!$I$11*(QAQC!Q157^2)+'Calibration-S40 to end'!$I$12*QAQC!Q157+'Calibration-S40 to end'!$I$13</f>
        <v>1152.6520880000003</v>
      </c>
      <c r="AJ157" s="13">
        <f t="shared" si="17"/>
        <v>1152.6520880000003</v>
      </c>
      <c r="AK157" s="9"/>
      <c r="AL157" s="6"/>
      <c r="AM157" s="12"/>
      <c r="AN157" s="14"/>
      <c r="AO157" s="12"/>
      <c r="AQ157" s="6"/>
      <c r="AR157" s="6">
        <v>151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</row>
    <row r="158" spans="1:64" ht="15.75" customHeight="1" x14ac:dyDescent="0.2">
      <c r="A158" s="10">
        <v>46085</v>
      </c>
      <c r="B158" s="11">
        <v>0.56991898148148146</v>
      </c>
      <c r="C158" s="1" t="s">
        <v>122</v>
      </c>
      <c r="D158" s="1" t="s">
        <v>166</v>
      </c>
      <c r="E158" s="1">
        <v>115</v>
      </c>
      <c r="F158" s="1" t="s">
        <v>84</v>
      </c>
      <c r="G158" s="1">
        <v>1</v>
      </c>
      <c r="H158" s="1">
        <v>1</v>
      </c>
      <c r="I158" s="1" t="s">
        <v>47</v>
      </c>
      <c r="J158" s="1" t="s">
        <v>48</v>
      </c>
      <c r="K158" s="1">
        <v>3.6400000000000002E-2</v>
      </c>
      <c r="L158" s="1">
        <v>0.873</v>
      </c>
      <c r="M158" s="1">
        <v>14.9</v>
      </c>
      <c r="N158" s="1" t="s">
        <v>49</v>
      </c>
      <c r="O158" s="1" t="s">
        <v>50</v>
      </c>
      <c r="P158" s="1">
        <v>0.35099999999999998</v>
      </c>
      <c r="Q158" s="1">
        <v>4.66</v>
      </c>
      <c r="R158" s="1">
        <v>423</v>
      </c>
      <c r="S158" s="6"/>
      <c r="T158" s="6">
        <v>1</v>
      </c>
      <c r="U158" s="6">
        <v>1</v>
      </c>
      <c r="V158" s="6"/>
      <c r="W158" s="12">
        <f t="shared" si="12"/>
        <v>14.9</v>
      </c>
      <c r="X158" s="7">
        <f>'Calibration-S40 to end'!$U$11*(QAQC!L158^2)+'Calibration-S40 to end'!$U$12*QAQC!L158+'Calibration-S40 to end'!$U$13</f>
        <v>12.9176083117</v>
      </c>
      <c r="Y158" s="7">
        <f t="shared" si="14"/>
        <v>12.9176083117</v>
      </c>
      <c r="AB158" s="12"/>
      <c r="AC158" s="14"/>
      <c r="AF158" s="6">
        <v>1</v>
      </c>
      <c r="AG158" s="6"/>
      <c r="AH158" s="6">
        <f t="shared" si="15"/>
        <v>423</v>
      </c>
      <c r="AI158" s="13">
        <f>'Calibration-S40 to end'!$I$11*(QAQC!Q158^2)+'Calibration-S40 to end'!$I$12*QAQC!Q158+'Calibration-S40 to end'!$I$13</f>
        <v>251.27680768000002</v>
      </c>
      <c r="AJ158" s="13">
        <f t="shared" si="17"/>
        <v>251.27680768000002</v>
      </c>
      <c r="AK158" s="12"/>
      <c r="AM158" s="12"/>
      <c r="AN158" s="14"/>
      <c r="AO158" s="12"/>
      <c r="AP158" s="14"/>
      <c r="AQ158" s="6"/>
      <c r="AR158" s="6">
        <v>152</v>
      </c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</row>
    <row r="159" spans="1:64" ht="15.75" customHeight="1" x14ac:dyDescent="0.2">
      <c r="A159" s="10">
        <v>46085</v>
      </c>
      <c r="B159" s="11">
        <v>0.57082175925925926</v>
      </c>
      <c r="C159" s="1" t="s">
        <v>122</v>
      </c>
      <c r="D159" s="1" t="s">
        <v>167</v>
      </c>
      <c r="E159" s="1">
        <v>117</v>
      </c>
      <c r="F159" s="1" t="s">
        <v>84</v>
      </c>
      <c r="G159" s="1">
        <v>1</v>
      </c>
      <c r="H159" s="1">
        <v>1</v>
      </c>
      <c r="I159" s="1" t="s">
        <v>47</v>
      </c>
      <c r="J159" s="1" t="s">
        <v>48</v>
      </c>
      <c r="K159" s="1">
        <v>8.4500000000000006E-2</v>
      </c>
      <c r="L159" s="1">
        <v>1.8</v>
      </c>
      <c r="M159" s="1">
        <v>47.3</v>
      </c>
      <c r="N159" s="1" t="s">
        <v>49</v>
      </c>
      <c r="O159" s="1" t="s">
        <v>50</v>
      </c>
      <c r="P159" s="1">
        <v>0.69399999999999995</v>
      </c>
      <c r="Q159" s="1">
        <v>8.99</v>
      </c>
      <c r="R159" s="1">
        <v>889</v>
      </c>
      <c r="S159" s="6"/>
      <c r="T159" s="6">
        <v>1</v>
      </c>
      <c r="U159" s="6">
        <v>1</v>
      </c>
      <c r="V159" s="6"/>
      <c r="W159" s="12">
        <f t="shared" si="12"/>
        <v>47.3</v>
      </c>
      <c r="X159" s="7">
        <f>'Calibration-S40 to end'!$U$11*(QAQC!L159^2)+'Calibration-S40 to end'!$U$12*QAQC!L159+'Calibration-S40 to end'!$U$13</f>
        <v>41.082651999999996</v>
      </c>
      <c r="Y159" s="7">
        <f t="shared" si="14"/>
        <v>41.082651999999996</v>
      </c>
      <c r="Z159" s="6"/>
      <c r="AA159" s="6"/>
      <c r="AB159" s="12"/>
      <c r="AC159" s="14"/>
      <c r="AD159" s="14">
        <f>100*((Y159*10250)-(Y158*10000))/(1000*250)</f>
        <v>116.76843995319999</v>
      </c>
      <c r="AE159" s="14" t="str">
        <f>IF(Y159&gt;30, (IF((AND(AD159&gt;=80,AD159&lt;=120)=TRUE),"PASS","FAIL")),(IF((AND(AD159&gt;=50,AD159&lt;=150)=TRUE),"PASS","FAIL")))</f>
        <v>PASS</v>
      </c>
      <c r="AF159" s="6">
        <v>1</v>
      </c>
      <c r="AG159" s="6"/>
      <c r="AH159" s="6">
        <f t="shared" si="15"/>
        <v>889</v>
      </c>
      <c r="AI159" s="13">
        <f>'Calibration-S40 to end'!$I$11*(QAQC!Q159^2)+'Calibration-S40 to end'!$I$12*QAQC!Q159+'Calibration-S40 to end'!$I$13</f>
        <v>544.57399078000003</v>
      </c>
      <c r="AJ159" s="13">
        <f t="shared" si="17"/>
        <v>544.57399078000003</v>
      </c>
      <c r="AK159" s="9"/>
      <c r="AL159" s="6"/>
      <c r="AM159" s="12"/>
      <c r="AN159" s="14"/>
      <c r="AO159" s="12">
        <f>100*((AJ159*10250)-(AJ158*10000))/(1000*2500)</f>
        <v>122.76461314779999</v>
      </c>
      <c r="AP159" s="14" t="str">
        <f>IF(AJ159&gt;30, (IF((AND(AO159&gt;=80,AO159&lt;=120)=TRUE),"PASS","FAIL")),(IF((AND(AO159&gt;=50,AO159&lt;=150)=TRUE),"PASS","FAIL")))</f>
        <v>FAIL</v>
      </c>
      <c r="AQ159" s="6"/>
      <c r="AR159" s="6">
        <v>153</v>
      </c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</row>
    <row r="160" spans="1:64" ht="15.75" customHeight="1" x14ac:dyDescent="0.2">
      <c r="A160" s="10">
        <v>46085</v>
      </c>
      <c r="B160" s="11">
        <v>0.57170138888888888</v>
      </c>
      <c r="C160" s="1" t="s">
        <v>122</v>
      </c>
      <c r="D160" s="1" t="s">
        <v>168</v>
      </c>
      <c r="E160" s="1">
        <v>2</v>
      </c>
      <c r="F160" s="1" t="s">
        <v>88</v>
      </c>
      <c r="G160" s="1">
        <v>1</v>
      </c>
      <c r="H160" s="1">
        <v>1</v>
      </c>
      <c r="I160" s="1" t="s">
        <v>47</v>
      </c>
      <c r="J160" s="1" t="s">
        <v>48</v>
      </c>
      <c r="K160" s="1">
        <v>0.33200000000000002</v>
      </c>
      <c r="L160" s="1">
        <v>5.61</v>
      </c>
      <c r="M160" s="1">
        <v>183</v>
      </c>
      <c r="N160" s="1" t="s">
        <v>49</v>
      </c>
      <c r="O160" s="1" t="s">
        <v>50</v>
      </c>
      <c r="P160" s="1">
        <v>1.98</v>
      </c>
      <c r="Q160" s="1">
        <v>25.3</v>
      </c>
      <c r="R160" s="1">
        <v>2560</v>
      </c>
      <c r="S160" s="6"/>
      <c r="T160" s="6">
        <v>1</v>
      </c>
      <c r="U160" s="6">
        <v>1</v>
      </c>
      <c r="V160" s="6"/>
      <c r="W160" s="12">
        <f t="shared" si="12"/>
        <v>183</v>
      </c>
      <c r="X160" s="7">
        <f>'Calibration-S40 to end'!$U$11*(QAQC!L160^2)+'Calibration-S40 to end'!$U$12*QAQC!L160+'Calibration-S40 to end'!$U$13</f>
        <v>150.29589433000001</v>
      </c>
      <c r="Y160" s="7">
        <f t="shared" si="14"/>
        <v>150.29589433000001</v>
      </c>
      <c r="Z160" s="6">
        <f>100*(Y160-150)/150</f>
        <v>0.19726288666667338</v>
      </c>
      <c r="AA160" s="6" t="str">
        <f t="shared" ref="AA160:AA165" si="18">IF((ABS(Z160))&lt;=20,"PASS","FAIL")</f>
        <v>PASS</v>
      </c>
      <c r="AB160" s="12"/>
      <c r="AC160" s="14"/>
      <c r="AF160" s="6">
        <v>1</v>
      </c>
      <c r="AG160" s="6"/>
      <c r="AH160" s="6">
        <f t="shared" si="15"/>
        <v>2560</v>
      </c>
      <c r="AI160" s="13">
        <f>'Calibration-S40 to end'!$I$11*(QAQC!Q160^2)+'Calibration-S40 to end'!$I$12*QAQC!Q160+'Calibration-S40 to end'!$I$13</f>
        <v>1365.8324319999999</v>
      </c>
      <c r="AJ160" s="13">
        <f t="shared" si="17"/>
        <v>1365.8324319999999</v>
      </c>
      <c r="AK160" s="9">
        <f>100*(AJ160-1500)/1500</f>
        <v>-8.9445045333333368</v>
      </c>
      <c r="AL160" s="6" t="str">
        <f t="shared" ref="AL160:AL165" si="19">IF((ABS(AK160))&lt;=20,"PASS","FAIL")</f>
        <v>PASS</v>
      </c>
      <c r="AM160" s="12"/>
      <c r="AN160" s="14"/>
      <c r="AO160" s="12"/>
      <c r="AP160" s="14"/>
      <c r="AQ160" s="6"/>
      <c r="AR160" s="6">
        <v>154</v>
      </c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</row>
    <row r="161" spans="1:64" ht="15.75" customHeight="1" x14ac:dyDescent="0.2">
      <c r="A161" s="10">
        <v>46085</v>
      </c>
      <c r="B161" s="11">
        <v>0.57260416666666669</v>
      </c>
      <c r="C161" s="1" t="s">
        <v>122</v>
      </c>
      <c r="D161" s="1" t="s">
        <v>169</v>
      </c>
      <c r="E161" s="1">
        <v>4</v>
      </c>
      <c r="F161" s="1" t="s">
        <v>88</v>
      </c>
      <c r="G161" s="1">
        <v>1</v>
      </c>
      <c r="H161" s="1">
        <v>1</v>
      </c>
      <c r="I161" s="1" t="s">
        <v>47</v>
      </c>
      <c r="J161" s="1" t="s">
        <v>48</v>
      </c>
      <c r="K161" s="1">
        <v>0.23100000000000001</v>
      </c>
      <c r="L161" s="1">
        <v>3.99</v>
      </c>
      <c r="M161" s="1">
        <v>125</v>
      </c>
      <c r="N161" s="1" t="s">
        <v>49</v>
      </c>
      <c r="O161" s="1" t="s">
        <v>50</v>
      </c>
      <c r="P161" s="1">
        <v>1.65</v>
      </c>
      <c r="Q161" s="1">
        <v>21</v>
      </c>
      <c r="R161" s="1">
        <v>2130</v>
      </c>
      <c r="S161" s="6"/>
      <c r="T161" s="6">
        <v>1</v>
      </c>
      <c r="U161" s="6">
        <v>1</v>
      </c>
      <c r="V161" s="6"/>
      <c r="W161" s="12">
        <f t="shared" si="12"/>
        <v>125</v>
      </c>
      <c r="X161" s="7">
        <f>'Calibration-S40 to end'!$U$11*(QAQC!L161^2)+'Calibration-S40 to end'!$U$12*QAQC!L161+'Calibration-S40 to end'!$U$13</f>
        <v>105.14555473</v>
      </c>
      <c r="Y161" s="7">
        <f t="shared" si="14"/>
        <v>105.14555473</v>
      </c>
      <c r="Z161" s="6">
        <f>100*(Y161-100)/100</f>
        <v>5.1455547300000015</v>
      </c>
      <c r="AA161" s="6" t="str">
        <f t="shared" si="18"/>
        <v>PASS</v>
      </c>
      <c r="AB161" s="12"/>
      <c r="AD161" s="14"/>
      <c r="AE161" s="14"/>
      <c r="AF161" s="6">
        <v>1</v>
      </c>
      <c r="AG161" s="6"/>
      <c r="AH161" s="6">
        <f t="shared" si="15"/>
        <v>2130</v>
      </c>
      <c r="AI161" s="13">
        <f>'Calibration-S40 to end'!$I$11*(QAQC!Q161^2)+'Calibration-S40 to end'!$I$12*QAQC!Q161+'Calibration-S40 to end'!$I$13</f>
        <v>1192.808</v>
      </c>
      <c r="AJ161" s="13">
        <f t="shared" si="17"/>
        <v>1192.808</v>
      </c>
      <c r="AK161" s="9">
        <f>100*(AJ161-1000)/1000</f>
        <v>19.280799999999999</v>
      </c>
      <c r="AL161" s="6" t="str">
        <f t="shared" si="19"/>
        <v>PASS</v>
      </c>
      <c r="AM161" s="12"/>
      <c r="AO161" s="12"/>
      <c r="AP161" s="14"/>
      <c r="AQ161" s="6"/>
      <c r="AR161" s="6">
        <v>155</v>
      </c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</row>
    <row r="162" spans="1:64" ht="15.75" customHeight="1" x14ac:dyDescent="0.2">
      <c r="A162" s="10">
        <v>46085</v>
      </c>
      <c r="B162" s="11">
        <v>0.57348379629629631</v>
      </c>
      <c r="C162" s="1" t="s">
        <v>122</v>
      </c>
      <c r="D162" s="1" t="s">
        <v>170</v>
      </c>
      <c r="E162" s="1">
        <v>6</v>
      </c>
      <c r="F162" s="1" t="s">
        <v>88</v>
      </c>
      <c r="G162" s="1">
        <v>1</v>
      </c>
      <c r="H162" s="1">
        <v>1</v>
      </c>
      <c r="I162" s="1" t="s">
        <v>47</v>
      </c>
      <c r="J162" s="1" t="s">
        <v>48</v>
      </c>
      <c r="K162" s="1">
        <v>0.121</v>
      </c>
      <c r="L162" s="1">
        <v>2.48</v>
      </c>
      <c r="M162" s="1">
        <v>71</v>
      </c>
      <c r="N162" s="1" t="s">
        <v>49</v>
      </c>
      <c r="O162" s="1" t="s">
        <v>50</v>
      </c>
      <c r="P162" s="1">
        <v>0.76200000000000001</v>
      </c>
      <c r="Q162" s="1">
        <v>9.82</v>
      </c>
      <c r="R162" s="1">
        <v>978</v>
      </c>
      <c r="S162" s="6"/>
      <c r="T162" s="6">
        <v>1</v>
      </c>
      <c r="U162" s="6">
        <v>1</v>
      </c>
      <c r="V162" s="6"/>
      <c r="W162" s="12">
        <f t="shared" si="12"/>
        <v>71</v>
      </c>
      <c r="X162" s="7">
        <f>'Calibration-S40 to end'!$U$11*(QAQC!L162^2)+'Calibration-S40 to end'!$U$12*QAQC!L162+'Calibration-S40 to end'!$U$13</f>
        <v>61.346749919999993</v>
      </c>
      <c r="Y162" s="7">
        <f t="shared" si="14"/>
        <v>61.346749919999993</v>
      </c>
      <c r="Z162" s="6">
        <f>100*(Y162-50)/50</f>
        <v>22.693499839999987</v>
      </c>
      <c r="AA162" s="6" t="str">
        <f t="shared" si="18"/>
        <v>FAIL</v>
      </c>
      <c r="AB162" s="12"/>
      <c r="AF162" s="6">
        <v>1</v>
      </c>
      <c r="AG162" s="6"/>
      <c r="AH162" s="6">
        <f t="shared" si="15"/>
        <v>978</v>
      </c>
      <c r="AI162" s="13">
        <f>'Calibration-S40 to end'!$I$11*(QAQC!Q162^2)+'Calibration-S40 to end'!$I$12*QAQC!Q162+'Calibration-S40 to end'!$I$13</f>
        <v>597.18795472000011</v>
      </c>
      <c r="AJ162" s="13">
        <f t="shared" si="17"/>
        <v>597.18795472000011</v>
      </c>
      <c r="AK162" s="9">
        <f>100*(AJ162-500)/500</f>
        <v>19.437590944000021</v>
      </c>
      <c r="AL162" s="6" t="str">
        <f t="shared" si="19"/>
        <v>PASS</v>
      </c>
      <c r="AM162" s="12"/>
      <c r="AO162" s="12"/>
      <c r="AP162" s="14"/>
      <c r="AQ162" s="6"/>
      <c r="AR162" s="6">
        <v>156</v>
      </c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</row>
    <row r="163" spans="1:64" ht="15.75" customHeight="1" x14ac:dyDescent="0.2">
      <c r="A163" s="10">
        <v>46085</v>
      </c>
      <c r="B163" s="11">
        <v>0.57437499999999997</v>
      </c>
      <c r="C163" s="1" t="s">
        <v>122</v>
      </c>
      <c r="D163" s="1" t="s">
        <v>126</v>
      </c>
      <c r="E163" s="1">
        <v>8</v>
      </c>
      <c r="F163" s="1" t="s">
        <v>88</v>
      </c>
      <c r="G163" s="1">
        <v>1</v>
      </c>
      <c r="H163" s="1">
        <v>1</v>
      </c>
      <c r="I163" s="1" t="s">
        <v>47</v>
      </c>
      <c r="J163" s="1" t="s">
        <v>48</v>
      </c>
      <c r="K163" s="1">
        <v>5.6599999999999998E-2</v>
      </c>
      <c r="L163" s="1">
        <v>1.28</v>
      </c>
      <c r="M163" s="1">
        <v>28.9</v>
      </c>
      <c r="N163" s="1" t="s">
        <v>49</v>
      </c>
      <c r="O163" s="1" t="s">
        <v>50</v>
      </c>
      <c r="P163" s="1">
        <v>0.37</v>
      </c>
      <c r="Q163" s="1">
        <v>5.0599999999999996</v>
      </c>
      <c r="R163" s="1">
        <v>467</v>
      </c>
      <c r="S163" s="6"/>
      <c r="T163" s="6">
        <v>1</v>
      </c>
      <c r="U163" s="6">
        <v>1</v>
      </c>
      <c r="V163" s="6"/>
      <c r="W163" s="12">
        <f t="shared" si="12"/>
        <v>28.9</v>
      </c>
      <c r="X163" s="7">
        <f>'Calibration-S40 to end'!$U$11*(QAQC!L163^2)+'Calibration-S40 to end'!$U$12*QAQC!L163+'Calibration-S40 to end'!$U$13</f>
        <v>25.360252319999997</v>
      </c>
      <c r="Y163" s="7">
        <f t="shared" si="14"/>
        <v>25.360252319999997</v>
      </c>
      <c r="Z163" s="6">
        <f>100*(Y163-25)/25</f>
        <v>1.4410092799999887</v>
      </c>
      <c r="AA163" s="6" t="str">
        <f t="shared" si="18"/>
        <v>PASS</v>
      </c>
      <c r="AB163" s="12"/>
      <c r="AC163" s="14"/>
      <c r="AD163" s="6"/>
      <c r="AE163" s="6"/>
      <c r="AF163" s="6">
        <v>1</v>
      </c>
      <c r="AG163" s="6"/>
      <c r="AH163" s="6">
        <f t="shared" si="15"/>
        <v>467</v>
      </c>
      <c r="AI163" s="13">
        <f>'Calibration-S40 to end'!$I$11*(QAQC!Q163^2)+'Calibration-S40 to end'!$I$12*QAQC!Q163+'Calibration-S40 to end'!$I$13</f>
        <v>279.69517408000002</v>
      </c>
      <c r="AJ163" s="13">
        <f t="shared" si="17"/>
        <v>279.69517408000002</v>
      </c>
      <c r="AK163" s="9">
        <f>100*(AJ163-250)/250</f>
        <v>11.878069632000006</v>
      </c>
      <c r="AL163" s="6" t="str">
        <f t="shared" si="19"/>
        <v>PASS</v>
      </c>
      <c r="AM163" s="12"/>
      <c r="AN163" s="14"/>
      <c r="AO163" s="9"/>
      <c r="AP163" s="6"/>
      <c r="AQ163" s="6"/>
      <c r="AR163" s="6">
        <v>157</v>
      </c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</row>
    <row r="164" spans="1:64" ht="15.75" customHeight="1" x14ac:dyDescent="0.2">
      <c r="A164" s="10">
        <v>46085</v>
      </c>
      <c r="B164" s="11">
        <v>0.57525462962962959</v>
      </c>
      <c r="C164" s="1" t="s">
        <v>122</v>
      </c>
      <c r="D164" s="1" t="s">
        <v>171</v>
      </c>
      <c r="E164" s="1">
        <v>10</v>
      </c>
      <c r="F164" s="1" t="s">
        <v>88</v>
      </c>
      <c r="G164" s="1">
        <v>1</v>
      </c>
      <c r="H164" s="1">
        <v>1</v>
      </c>
      <c r="I164" s="1" t="s">
        <v>47</v>
      </c>
      <c r="J164" s="1" t="s">
        <v>48</v>
      </c>
      <c r="K164" s="1">
        <v>3.4599999999999999E-2</v>
      </c>
      <c r="L164" s="1">
        <v>0.97</v>
      </c>
      <c r="M164" s="1">
        <v>18.3</v>
      </c>
      <c r="N164" s="1" t="s">
        <v>49</v>
      </c>
      <c r="O164" s="1" t="s">
        <v>50</v>
      </c>
      <c r="P164" s="1">
        <v>0.20300000000000001</v>
      </c>
      <c r="Q164" s="1">
        <v>2.77</v>
      </c>
      <c r="R164" s="1">
        <v>216</v>
      </c>
      <c r="S164" s="6"/>
      <c r="T164" s="6">
        <v>1</v>
      </c>
      <c r="U164" s="6">
        <v>1</v>
      </c>
      <c r="V164" s="6"/>
      <c r="W164" s="12">
        <f t="shared" si="12"/>
        <v>18.3</v>
      </c>
      <c r="X164" s="7">
        <f>'Calibration-S40 to end'!$U$11*(QAQC!L164^2)+'Calibration-S40 to end'!$U$12*QAQC!L164+'Calibration-S40 to end'!$U$13</f>
        <v>15.893960570000001</v>
      </c>
      <c r="Y164" s="7">
        <f t="shared" si="14"/>
        <v>15.893960570000001</v>
      </c>
      <c r="Z164" s="6">
        <f>100*(Y164-10)/10</f>
        <v>58.939605700000001</v>
      </c>
      <c r="AA164" s="6" t="str">
        <f t="shared" si="18"/>
        <v>FAIL</v>
      </c>
      <c r="AB164" s="9"/>
      <c r="AC164" s="6"/>
      <c r="AD164" s="14"/>
      <c r="AE164" s="14"/>
      <c r="AF164" s="6">
        <v>1</v>
      </c>
      <c r="AG164" s="6"/>
      <c r="AH164" s="6">
        <f t="shared" si="15"/>
        <v>216</v>
      </c>
      <c r="AI164" s="13">
        <f>'Calibration-S40 to end'!$I$11*(QAQC!Q164^2)+'Calibration-S40 to end'!$I$12*QAQC!Q164+'Calibration-S40 to end'!$I$13</f>
        <v>113.35490062</v>
      </c>
      <c r="AJ164" s="13">
        <f t="shared" si="17"/>
        <v>113.35490062</v>
      </c>
      <c r="AK164" s="9">
        <f>100*(AJ164-100)/100</f>
        <v>13.354900619999993</v>
      </c>
      <c r="AL164" s="6" t="str">
        <f t="shared" si="19"/>
        <v>PASS</v>
      </c>
      <c r="AM164" s="9"/>
      <c r="AN164" s="6"/>
      <c r="AO164" s="12"/>
      <c r="AP164" s="14"/>
      <c r="AQ164" s="6"/>
      <c r="AR164" s="6">
        <v>158</v>
      </c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</row>
    <row r="165" spans="1:64" ht="15.75" customHeight="1" x14ac:dyDescent="0.2">
      <c r="A165" s="10">
        <v>46085</v>
      </c>
      <c r="B165" s="11">
        <v>0.57613425925925921</v>
      </c>
      <c r="C165" s="1" t="s">
        <v>122</v>
      </c>
      <c r="D165" s="1" t="s">
        <v>172</v>
      </c>
      <c r="E165" s="1">
        <v>12</v>
      </c>
      <c r="F165" s="1" t="s">
        <v>88</v>
      </c>
      <c r="G165" s="1">
        <v>1</v>
      </c>
      <c r="H165" s="1">
        <v>1</v>
      </c>
      <c r="I165" s="1" t="s">
        <v>47</v>
      </c>
      <c r="J165" s="1" t="s">
        <v>48</v>
      </c>
      <c r="K165" s="1">
        <v>2.4E-2</v>
      </c>
      <c r="L165" s="1">
        <v>0.61499999999999999</v>
      </c>
      <c r="M165" s="1">
        <v>6</v>
      </c>
      <c r="N165" s="1" t="s">
        <v>49</v>
      </c>
      <c r="O165" s="1" t="s">
        <v>50</v>
      </c>
      <c r="P165" s="1">
        <v>0.14000000000000001</v>
      </c>
      <c r="Q165" s="1">
        <v>2</v>
      </c>
      <c r="R165" s="1">
        <v>132</v>
      </c>
      <c r="S165" s="6"/>
      <c r="T165" s="6">
        <v>1</v>
      </c>
      <c r="U165" s="6">
        <v>1</v>
      </c>
      <c r="V165" s="6"/>
      <c r="W165" s="12">
        <f t="shared" si="12"/>
        <v>6</v>
      </c>
      <c r="X165" s="7">
        <f>'Calibration-S40 to end'!$U$11*(QAQC!L165^2)+'Calibration-S40 to end'!$U$12*QAQC!L165+'Calibration-S40 to end'!$U$13</f>
        <v>4.9679052924999993</v>
      </c>
      <c r="Y165" s="7">
        <f t="shared" si="14"/>
        <v>4.9679052924999993</v>
      </c>
      <c r="Z165" s="6">
        <f>100*(Y165-5)/5</f>
        <v>-0.64189415000001304</v>
      </c>
      <c r="AA165" s="6" t="str">
        <f t="shared" si="18"/>
        <v>PASS</v>
      </c>
      <c r="AB165" s="12"/>
      <c r="AC165" s="14"/>
      <c r="AD165" s="6"/>
      <c r="AE165" s="6"/>
      <c r="AF165" s="6">
        <v>1</v>
      </c>
      <c r="AG165" s="6"/>
      <c r="AH165" s="6">
        <f t="shared" si="15"/>
        <v>132</v>
      </c>
      <c r="AI165" s="13">
        <f>'Calibration-S40 to end'!$I$11*(QAQC!Q165^2)+'Calibration-S40 to end'!$I$12*QAQC!Q165+'Calibration-S40 to end'!$I$13</f>
        <v>55.43950000000001</v>
      </c>
      <c r="AJ165" s="13">
        <f t="shared" si="17"/>
        <v>55.43950000000001</v>
      </c>
      <c r="AK165" s="9">
        <f>100*(AJ165-50)/50</f>
        <v>10.879000000000019</v>
      </c>
      <c r="AL165" s="6" t="str">
        <f t="shared" si="19"/>
        <v>PASS</v>
      </c>
      <c r="AM165" s="12"/>
      <c r="AN165" s="14"/>
      <c r="AO165" s="9"/>
      <c r="AP165" s="6"/>
      <c r="AQ165" s="6"/>
      <c r="AR165" s="6">
        <v>159</v>
      </c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</row>
    <row r="166" spans="1:64" ht="15.75" customHeight="1" x14ac:dyDescent="0.2">
      <c r="A166" s="10">
        <v>46085</v>
      </c>
      <c r="B166" s="11">
        <v>0.57702546296296298</v>
      </c>
      <c r="C166" s="1" t="s">
        <v>122</v>
      </c>
      <c r="D166" s="1" t="s">
        <v>173</v>
      </c>
      <c r="E166" s="1">
        <v>14</v>
      </c>
      <c r="F166" s="1" t="s">
        <v>88</v>
      </c>
      <c r="G166" s="1">
        <v>1</v>
      </c>
      <c r="H166" s="1">
        <v>1</v>
      </c>
      <c r="I166" s="1" t="s">
        <v>47</v>
      </c>
      <c r="J166" s="1" t="s">
        <v>48</v>
      </c>
      <c r="K166" s="1">
        <v>1.72E-2</v>
      </c>
      <c r="L166" s="1">
        <v>0.443</v>
      </c>
      <c r="M166" s="1">
        <v>5.8400000000000001E-2</v>
      </c>
      <c r="N166" s="1" t="s">
        <v>49</v>
      </c>
      <c r="O166" s="1" t="s">
        <v>50</v>
      </c>
      <c r="P166" s="1">
        <v>8.6999999999999994E-2</v>
      </c>
      <c r="Q166" s="1">
        <v>1.17</v>
      </c>
      <c r="R166" s="1">
        <v>39.6</v>
      </c>
      <c r="T166" s="6">
        <v>1</v>
      </c>
      <c r="U166" s="6">
        <v>1</v>
      </c>
      <c r="V166" s="6"/>
      <c r="W166" s="12">
        <f t="shared" si="12"/>
        <v>5.8400000000000001E-2</v>
      </c>
      <c r="X166" s="7">
        <f>'Calibration-S40 to end'!$U$11*(QAQC!L166^2)+'Calibration-S40 to end'!$U$12*QAQC!L166+'Calibration-S40 to end'!$U$13</f>
        <v>-0.35872201230000123</v>
      </c>
      <c r="Y166" s="7">
        <f t="shared" si="14"/>
        <v>-0.35872201230000123</v>
      </c>
      <c r="Z166" s="6"/>
      <c r="AA166" s="6"/>
      <c r="AB166" s="9"/>
      <c r="AC166" s="6"/>
      <c r="AD166" s="14"/>
      <c r="AE166" s="14"/>
      <c r="AF166" s="6">
        <v>1</v>
      </c>
      <c r="AG166" s="6"/>
      <c r="AH166" s="6">
        <f t="shared" si="15"/>
        <v>39.6</v>
      </c>
      <c r="AI166" s="13">
        <f>'Calibration-S40 to end'!$I$11*(QAQC!Q166^2)+'Calibration-S40 to end'!$I$12*QAQC!Q166+'Calibration-S40 to end'!$I$13</f>
        <v>-8.1072305800000066</v>
      </c>
      <c r="AJ166" s="13">
        <f t="shared" si="17"/>
        <v>-8.1072305800000066</v>
      </c>
      <c r="AK166" s="9"/>
      <c r="AL166" s="6"/>
      <c r="AM166" s="9"/>
      <c r="AN166" s="6"/>
      <c r="AO166" s="12"/>
      <c r="AP166" s="14"/>
      <c r="AQ166" s="6"/>
      <c r="AR166" s="6">
        <v>160</v>
      </c>
      <c r="AS166" s="6"/>
    </row>
    <row r="167" spans="1:64" ht="15.75" customHeight="1" x14ac:dyDescent="0.2">
      <c r="A167" s="10">
        <v>46085</v>
      </c>
      <c r="B167" s="11">
        <v>0.57791666666666663</v>
      </c>
      <c r="C167" s="1" t="s">
        <v>122</v>
      </c>
      <c r="D167" s="1" t="s">
        <v>174</v>
      </c>
      <c r="E167" s="1">
        <v>118</v>
      </c>
      <c r="F167" s="1" t="s">
        <v>46</v>
      </c>
      <c r="G167" s="1">
        <v>1</v>
      </c>
      <c r="H167" s="1">
        <v>1</v>
      </c>
      <c r="I167" s="1" t="s">
        <v>47</v>
      </c>
      <c r="J167" s="1" t="s">
        <v>48</v>
      </c>
      <c r="K167" s="1">
        <v>6.1499999999999999E-2</v>
      </c>
      <c r="L167" s="1">
        <v>1.39</v>
      </c>
      <c r="M167" s="1">
        <v>33</v>
      </c>
      <c r="N167" s="1" t="s">
        <v>49</v>
      </c>
      <c r="O167" s="1" t="s">
        <v>50</v>
      </c>
      <c r="P167" s="1">
        <v>0.84399999999999997</v>
      </c>
      <c r="Q167" s="1">
        <v>10.4</v>
      </c>
      <c r="R167" s="1">
        <v>1040</v>
      </c>
      <c r="T167" s="6">
        <v>1</v>
      </c>
      <c r="U167" s="6">
        <v>1</v>
      </c>
      <c r="V167" s="6"/>
      <c r="W167" s="12">
        <f t="shared" si="12"/>
        <v>33</v>
      </c>
      <c r="X167" s="7">
        <f>'Calibration-S40 to end'!$U$11*(QAQC!L167^2)+'Calibration-S40 to end'!$U$12*QAQC!L167+'Calibration-S40 to end'!$U$13</f>
        <v>28.702502329999998</v>
      </c>
      <c r="Y167" s="7">
        <f t="shared" si="14"/>
        <v>28.702502329999998</v>
      </c>
      <c r="Z167" s="6"/>
      <c r="AA167" s="6"/>
      <c r="AB167" s="12"/>
      <c r="AC167" s="14"/>
      <c r="AF167" s="6">
        <v>1</v>
      </c>
      <c r="AG167" s="6"/>
      <c r="AH167" s="6">
        <f t="shared" si="15"/>
        <v>1040</v>
      </c>
      <c r="AI167" s="13">
        <f>'Calibration-S40 to end'!$I$11*(QAQC!Q167^2)+'Calibration-S40 to end'!$I$12*QAQC!Q167+'Calibration-S40 to end'!$I$13</f>
        <v>633.26558800000009</v>
      </c>
      <c r="AJ167" s="13">
        <f t="shared" si="17"/>
        <v>633.26558800000009</v>
      </c>
      <c r="AK167" s="9"/>
      <c r="AL167" s="6"/>
      <c r="AM167" s="12"/>
      <c r="AN167" s="14"/>
      <c r="AO167" s="12"/>
      <c r="AP167" s="14"/>
      <c r="AQ167" s="6"/>
      <c r="AR167" s="6">
        <v>161</v>
      </c>
      <c r="AS167" s="6"/>
    </row>
    <row r="168" spans="1:64" ht="15.75" customHeight="1" x14ac:dyDescent="0.2">
      <c r="A168" s="10">
        <v>46085</v>
      </c>
      <c r="B168" s="11">
        <v>0.57879629629629625</v>
      </c>
      <c r="C168" s="1" t="s">
        <v>122</v>
      </c>
      <c r="D168" s="1" t="s">
        <v>175</v>
      </c>
      <c r="E168" s="1">
        <v>119</v>
      </c>
      <c r="F168" s="1" t="s">
        <v>46</v>
      </c>
      <c r="G168" s="1">
        <v>1</v>
      </c>
      <c r="H168" s="1">
        <v>1</v>
      </c>
      <c r="I168" s="1" t="s">
        <v>47</v>
      </c>
      <c r="J168" s="1" t="s">
        <v>48</v>
      </c>
      <c r="K168" s="1">
        <v>2.7099999999999999E-2</v>
      </c>
      <c r="L168" s="1">
        <v>0.73299999999999998</v>
      </c>
      <c r="M168" s="1">
        <v>10.1</v>
      </c>
      <c r="N168" s="1" t="s">
        <v>49</v>
      </c>
      <c r="O168" s="1" t="s">
        <v>50</v>
      </c>
      <c r="P168" s="1">
        <v>0.38700000000000001</v>
      </c>
      <c r="Q168" s="1">
        <v>5.09</v>
      </c>
      <c r="R168" s="1">
        <v>470</v>
      </c>
      <c r="T168" s="6">
        <v>1</v>
      </c>
      <c r="U168" s="6">
        <v>1</v>
      </c>
      <c r="V168" s="6"/>
      <c r="W168" s="12">
        <f t="shared" si="12"/>
        <v>10.1</v>
      </c>
      <c r="X168" s="7">
        <f>'Calibration-S40 to end'!$U$11*(QAQC!L168^2)+'Calibration-S40 to end'!$U$12*QAQC!L168+'Calibration-S40 to end'!$U$13</f>
        <v>8.6098077796999988</v>
      </c>
      <c r="Y168" s="7">
        <f t="shared" si="14"/>
        <v>8.6098077796999988</v>
      </c>
      <c r="Z168" s="6"/>
      <c r="AA168" s="6"/>
      <c r="AB168" s="12"/>
      <c r="AC168" s="14"/>
      <c r="AD168" s="14"/>
      <c r="AE168" s="14"/>
      <c r="AF168" s="6">
        <v>1</v>
      </c>
      <c r="AG168" s="6"/>
      <c r="AH168" s="6">
        <f t="shared" si="15"/>
        <v>470</v>
      </c>
      <c r="AI168" s="13">
        <f>'Calibration-S40 to end'!$I$11*(QAQC!Q168^2)+'Calibration-S40 to end'!$I$12*QAQC!Q168+'Calibration-S40 to end'!$I$13</f>
        <v>281.81568717999994</v>
      </c>
      <c r="AJ168" s="13">
        <f t="shared" si="17"/>
        <v>281.81568717999994</v>
      </c>
      <c r="AK168" s="9"/>
      <c r="AL168" s="6"/>
      <c r="AM168" s="12"/>
      <c r="AN168" s="14"/>
      <c r="AO168" s="12"/>
      <c r="AP168" s="14"/>
      <c r="AQ168" s="6"/>
      <c r="AR168" s="6">
        <v>162</v>
      </c>
      <c r="AS168" s="6"/>
    </row>
    <row r="169" spans="1:64" ht="15.75" customHeight="1" x14ac:dyDescent="0.2">
      <c r="A169" s="10">
        <v>46085</v>
      </c>
      <c r="B169" s="11">
        <v>0.57968750000000002</v>
      </c>
      <c r="C169" s="1" t="s">
        <v>122</v>
      </c>
      <c r="D169" s="1" t="s">
        <v>176</v>
      </c>
      <c r="E169" s="1">
        <v>120</v>
      </c>
      <c r="F169" s="1" t="s">
        <v>46</v>
      </c>
      <c r="G169" s="1">
        <v>1</v>
      </c>
      <c r="H169" s="1">
        <v>1</v>
      </c>
      <c r="I169" s="1" t="s">
        <v>47</v>
      </c>
      <c r="J169" s="1" t="s">
        <v>48</v>
      </c>
      <c r="K169" s="1">
        <v>7.8399999999999997E-2</v>
      </c>
      <c r="L169" s="1">
        <v>1.65</v>
      </c>
      <c r="M169" s="1">
        <v>41.9</v>
      </c>
      <c r="N169" s="1" t="s">
        <v>49</v>
      </c>
      <c r="O169" s="1" t="s">
        <v>50</v>
      </c>
      <c r="P169" s="1">
        <v>0.81799999999999995</v>
      </c>
      <c r="Q169" s="1">
        <v>10.6</v>
      </c>
      <c r="R169" s="1">
        <v>1060</v>
      </c>
      <c r="T169" s="6">
        <v>1</v>
      </c>
      <c r="U169" s="6">
        <v>1</v>
      </c>
      <c r="V169" s="6"/>
      <c r="W169" s="12">
        <f t="shared" si="12"/>
        <v>41.9</v>
      </c>
      <c r="X169" s="7">
        <f>'Calibration-S40 to end'!$U$11*(QAQC!L169^2)+'Calibration-S40 to end'!$U$12*QAQC!L169+'Calibration-S40 to end'!$U$13</f>
        <v>36.567474249999989</v>
      </c>
      <c r="Y169" s="7">
        <f t="shared" si="14"/>
        <v>36.567474249999989</v>
      </c>
      <c r="Z169" s="6"/>
      <c r="AA169" s="6"/>
      <c r="AB169" s="12"/>
      <c r="AC169" s="14"/>
      <c r="AD169" s="14"/>
      <c r="AE169" s="14"/>
      <c r="AF169" s="6">
        <v>1</v>
      </c>
      <c r="AG169" s="6"/>
      <c r="AH169" s="6">
        <f t="shared" si="15"/>
        <v>1060</v>
      </c>
      <c r="AI169" s="13">
        <f>'Calibration-S40 to end'!$I$11*(QAQC!Q169^2)+'Calibration-S40 to end'!$I$12*QAQC!Q169+'Calibration-S40 to end'!$I$13</f>
        <v>645.57476800000006</v>
      </c>
      <c r="AJ169" s="13">
        <f t="shared" si="17"/>
        <v>645.57476800000006</v>
      </c>
      <c r="AK169" s="9"/>
      <c r="AL169" s="6"/>
      <c r="AM169" s="12"/>
      <c r="AN169" s="14"/>
      <c r="AO169" s="12"/>
      <c r="AP169" s="14"/>
      <c r="AQ169" s="6"/>
      <c r="AR169" s="6">
        <v>163</v>
      </c>
      <c r="AS169" s="6"/>
    </row>
    <row r="170" spans="1:64" ht="15.75" customHeight="1" x14ac:dyDescent="0.2">
      <c r="A170" s="10">
        <v>46085</v>
      </c>
      <c r="B170" s="11">
        <v>0.58059027777777783</v>
      </c>
      <c r="C170" s="1" t="s">
        <v>122</v>
      </c>
      <c r="D170" s="1" t="s">
        <v>177</v>
      </c>
      <c r="E170" s="1">
        <v>121</v>
      </c>
      <c r="F170" s="1" t="s">
        <v>46</v>
      </c>
      <c r="G170" s="1">
        <v>1</v>
      </c>
      <c r="H170" s="1">
        <v>1</v>
      </c>
      <c r="I170" s="1" t="s">
        <v>47</v>
      </c>
      <c r="J170" s="1" t="s">
        <v>48</v>
      </c>
      <c r="K170" s="1">
        <v>3.6400000000000002E-2</v>
      </c>
      <c r="L170" s="1">
        <v>0.98</v>
      </c>
      <c r="M170" s="1">
        <v>18.600000000000001</v>
      </c>
      <c r="N170" s="1" t="s">
        <v>49</v>
      </c>
      <c r="O170" s="1" t="s">
        <v>50</v>
      </c>
      <c r="P170" s="1">
        <v>0.34399999999999997</v>
      </c>
      <c r="Q170" s="1">
        <v>4.5</v>
      </c>
      <c r="R170" s="1">
        <v>406</v>
      </c>
      <c r="S170" s="6"/>
      <c r="T170" s="6">
        <v>1</v>
      </c>
      <c r="U170" s="6">
        <v>1</v>
      </c>
      <c r="V170" s="6"/>
      <c r="W170" s="12">
        <f t="shared" si="12"/>
        <v>18.600000000000001</v>
      </c>
      <c r="X170" s="7">
        <f>'Calibration-S40 to end'!$U$11*(QAQC!L170^2)+'Calibration-S40 to end'!$U$12*QAQC!L170+'Calibration-S40 to end'!$U$13</f>
        <v>16.200412919999998</v>
      </c>
      <c r="Y170" s="7">
        <f t="shared" si="14"/>
        <v>16.200412919999998</v>
      </c>
      <c r="Z170" s="6"/>
      <c r="AA170" s="6"/>
      <c r="AB170" s="9"/>
      <c r="AC170" s="6"/>
      <c r="AD170" s="6"/>
      <c r="AE170" s="6"/>
      <c r="AF170" s="6">
        <v>1</v>
      </c>
      <c r="AG170" s="6"/>
      <c r="AH170" s="6">
        <f t="shared" si="15"/>
        <v>406</v>
      </c>
      <c r="AI170" s="13">
        <f>'Calibration-S40 to end'!$I$11*(QAQC!Q170^2)+'Calibration-S40 to end'!$I$12*QAQC!Q170+'Calibration-S40 to end'!$I$13</f>
        <v>239.83399999999997</v>
      </c>
      <c r="AJ170" s="13">
        <f t="shared" si="17"/>
        <v>239.83399999999997</v>
      </c>
      <c r="AK170" s="9"/>
      <c r="AL170" s="6"/>
      <c r="AM170" s="9"/>
      <c r="AN170" s="6"/>
      <c r="AO170" s="12"/>
      <c r="AP170" s="14"/>
      <c r="AQ170" s="6"/>
      <c r="AR170" s="6">
        <v>164</v>
      </c>
      <c r="AS170" s="6"/>
    </row>
    <row r="171" spans="1:64" ht="15.75" customHeight="1" x14ac:dyDescent="0.2">
      <c r="A171" s="10">
        <v>46085</v>
      </c>
      <c r="B171" s="11">
        <v>0.58148148148148149</v>
      </c>
      <c r="C171" s="1" t="s">
        <v>122</v>
      </c>
      <c r="D171" s="1" t="s">
        <v>178</v>
      </c>
      <c r="E171" s="1">
        <v>122</v>
      </c>
      <c r="F171" s="1" t="s">
        <v>75</v>
      </c>
      <c r="G171" s="1">
        <v>1</v>
      </c>
      <c r="H171" s="1">
        <v>1</v>
      </c>
      <c r="I171" s="1" t="s">
        <v>47</v>
      </c>
      <c r="J171" s="1" t="s">
        <v>48</v>
      </c>
      <c r="K171" s="1">
        <v>8.0100000000000005E-2</v>
      </c>
      <c r="L171" s="1">
        <v>1.49</v>
      </c>
      <c r="M171" s="1">
        <v>36.5</v>
      </c>
      <c r="N171" s="1" t="s">
        <v>49</v>
      </c>
      <c r="O171" s="1" t="s">
        <v>50</v>
      </c>
      <c r="P171" s="1">
        <v>1.35</v>
      </c>
      <c r="Q171" s="1">
        <v>17</v>
      </c>
      <c r="R171" s="1">
        <v>1730</v>
      </c>
      <c r="S171" s="6"/>
      <c r="T171" s="6">
        <v>1</v>
      </c>
      <c r="U171" s="6">
        <v>1</v>
      </c>
      <c r="V171" s="6"/>
      <c r="W171" s="12">
        <f t="shared" si="12"/>
        <v>36.5</v>
      </c>
      <c r="X171" s="7">
        <f>'Calibration-S40 to end'!$U$11*(QAQC!L171^2)+'Calibration-S40 to end'!$U$12*QAQC!L171+'Calibration-S40 to end'!$U$13</f>
        <v>31.733294729999994</v>
      </c>
      <c r="Y171" s="7">
        <f t="shared" si="14"/>
        <v>31.733294729999994</v>
      </c>
      <c r="Z171" s="6"/>
      <c r="AA171" s="6"/>
      <c r="AB171" s="12"/>
      <c r="AC171" s="14"/>
      <c r="AF171" s="6">
        <v>1</v>
      </c>
      <c r="AG171" s="6"/>
      <c r="AH171" s="6">
        <f t="shared" si="15"/>
        <v>1730</v>
      </c>
      <c r="AI171" s="13">
        <f>'Calibration-S40 to end'!$I$11*(QAQC!Q171^2)+'Calibration-S40 to end'!$I$12*QAQC!Q171+'Calibration-S40 to end'!$I$13</f>
        <v>1003.894</v>
      </c>
      <c r="AJ171" s="13">
        <f t="shared" si="17"/>
        <v>1003.894</v>
      </c>
      <c r="AK171" s="9"/>
      <c r="AL171" s="6"/>
      <c r="AM171" s="12"/>
      <c r="AN171" s="14"/>
      <c r="AO171" s="12"/>
      <c r="AP171" s="14"/>
      <c r="AQ171" s="6"/>
      <c r="AR171" s="6">
        <v>165</v>
      </c>
      <c r="AS171" s="6"/>
    </row>
    <row r="172" spans="1:64" ht="15.75" customHeight="1" x14ac:dyDescent="0.2">
      <c r="A172" s="10">
        <v>46085</v>
      </c>
      <c r="B172" s="11">
        <v>0.58236111111111111</v>
      </c>
      <c r="C172" s="1" t="s">
        <v>122</v>
      </c>
      <c r="D172" s="1" t="s">
        <v>179</v>
      </c>
      <c r="E172" s="1">
        <v>128</v>
      </c>
      <c r="F172" s="1" t="s">
        <v>75</v>
      </c>
      <c r="G172" s="1">
        <v>1</v>
      </c>
      <c r="H172" s="1">
        <v>1</v>
      </c>
      <c r="I172" s="1" t="s">
        <v>47</v>
      </c>
      <c r="J172" s="1" t="s">
        <v>48</v>
      </c>
      <c r="K172" s="1">
        <v>6.8400000000000002E-2</v>
      </c>
      <c r="L172" s="1">
        <v>1.51</v>
      </c>
      <c r="M172" s="1">
        <v>37.1</v>
      </c>
      <c r="N172" s="1" t="s">
        <v>49</v>
      </c>
      <c r="O172" s="1" t="s">
        <v>50</v>
      </c>
      <c r="P172" s="1">
        <v>1.0900000000000001</v>
      </c>
      <c r="Q172" s="1">
        <v>13.7</v>
      </c>
      <c r="R172" s="1">
        <v>1380</v>
      </c>
      <c r="T172" s="6">
        <v>1</v>
      </c>
      <c r="U172" s="6">
        <v>1</v>
      </c>
      <c r="V172" s="6"/>
      <c r="W172" s="12">
        <f t="shared" si="12"/>
        <v>37.1</v>
      </c>
      <c r="X172" s="7">
        <f>'Calibration-S40 to end'!$U$11*(QAQC!L172^2)+'Calibration-S40 to end'!$U$12*QAQC!L172+'Calibration-S40 to end'!$U$13</f>
        <v>32.338582729999999</v>
      </c>
      <c r="Y172" s="7">
        <f t="shared" si="14"/>
        <v>32.338582729999999</v>
      </c>
      <c r="AB172" s="12">
        <f>ABS(100*ABS(Y172-Y171)/AVERAGE(Y172,Y171))</f>
        <v>1.8894030391973009</v>
      </c>
      <c r="AC172" s="14" t="str">
        <f>IF(Y172&gt;10, (IF((AND(AB172&gt;=0,AB172&lt;=20)=TRUE),"PASS","FAIL")),(IF((AND(AB172&gt;=0,AB172&lt;=50)=TRUE),"PASS","FAIL")))</f>
        <v>PASS</v>
      </c>
      <c r="AD172" s="6"/>
      <c r="AE172" s="6"/>
      <c r="AF172" s="6">
        <v>1</v>
      </c>
      <c r="AG172" s="6"/>
      <c r="AH172" s="6">
        <f t="shared" si="15"/>
        <v>1380</v>
      </c>
      <c r="AI172" s="13">
        <f>'Calibration-S40 to end'!$I$11*(QAQC!Q172^2)+'Calibration-S40 to end'!$I$12*QAQC!Q172+'Calibration-S40 to end'!$I$13</f>
        <v>827.751352</v>
      </c>
      <c r="AJ172" s="13">
        <f t="shared" si="17"/>
        <v>827.751352</v>
      </c>
      <c r="AK172" s="12"/>
      <c r="AM172" s="12">
        <f>ABS(100*ABS(AJ172-AJ171)/AVERAGE(AJ172,AJ171))</f>
        <v>19.23327000040344</v>
      </c>
      <c r="AN172" s="14" t="str">
        <f>IF(AJ172&gt;10, (IF((AND(AM172&gt;=0,AM172&lt;=20)=TRUE),"PASS","FAIL")),(IF((AND(AM172&gt;=0,AM172&lt;=50)=TRUE),"PASS","FAIL")))</f>
        <v>PASS</v>
      </c>
      <c r="AO172" s="9"/>
      <c r="AP172" s="6"/>
      <c r="AQ172" s="6"/>
      <c r="AR172" s="6">
        <v>166</v>
      </c>
      <c r="AS172" s="6"/>
    </row>
    <row r="173" spans="1:64" ht="15.75" customHeight="1" x14ac:dyDescent="0.2">
      <c r="A173" s="10">
        <v>46085</v>
      </c>
      <c r="B173" s="11">
        <v>0.58325231481481477</v>
      </c>
      <c r="C173" s="1" t="s">
        <v>122</v>
      </c>
      <c r="D173" s="1" t="s">
        <v>180</v>
      </c>
      <c r="E173" s="1">
        <v>123</v>
      </c>
      <c r="F173" s="1" t="s">
        <v>46</v>
      </c>
      <c r="G173" s="1">
        <v>1</v>
      </c>
      <c r="H173" s="1">
        <v>1</v>
      </c>
      <c r="I173" s="1" t="s">
        <v>47</v>
      </c>
      <c r="J173" s="1" t="s">
        <v>48</v>
      </c>
      <c r="K173" s="1">
        <v>2.7300000000000001E-2</v>
      </c>
      <c r="L173" s="1">
        <v>0.78500000000000003</v>
      </c>
      <c r="M173" s="1">
        <v>11.9</v>
      </c>
      <c r="N173" s="1" t="s">
        <v>49</v>
      </c>
      <c r="O173" s="1" t="s">
        <v>50</v>
      </c>
      <c r="P173" s="1">
        <v>0.22500000000000001</v>
      </c>
      <c r="Q173" s="1">
        <v>3.06</v>
      </c>
      <c r="R173" s="1">
        <v>249</v>
      </c>
      <c r="T173" s="6">
        <v>1</v>
      </c>
      <c r="U173" s="6">
        <v>1</v>
      </c>
      <c r="V173" s="6"/>
      <c r="W173" s="12">
        <f t="shared" si="12"/>
        <v>11.9</v>
      </c>
      <c r="X173" s="7">
        <f>'Calibration-S40 to end'!$U$11*(QAQC!L173^2)+'Calibration-S40 to end'!$U$12*QAQC!L173+'Calibration-S40 to end'!$U$13</f>
        <v>10.2115076925</v>
      </c>
      <c r="Y173" s="7">
        <f t="shared" si="14"/>
        <v>10.2115076925</v>
      </c>
      <c r="Z173" s="6"/>
      <c r="AA173" s="6"/>
      <c r="AB173" s="9"/>
      <c r="AC173" s="6"/>
      <c r="AD173" s="14"/>
      <c r="AE173" s="14"/>
      <c r="AF173" s="6">
        <v>1</v>
      </c>
      <c r="AG173" s="6"/>
      <c r="AH173" s="6">
        <f t="shared" si="15"/>
        <v>249</v>
      </c>
      <c r="AI173" s="13">
        <f>'Calibration-S40 to end'!$I$11*(QAQC!Q173^2)+'Calibration-S40 to end'!$I$12*QAQC!Q173+'Calibration-S40 to end'!$I$13</f>
        <v>134.90830208000003</v>
      </c>
      <c r="AJ173" s="13">
        <f t="shared" si="17"/>
        <v>134.90830208000003</v>
      </c>
      <c r="AK173" s="9"/>
      <c r="AL173" s="6"/>
      <c r="AM173" s="9"/>
      <c r="AN173" s="6"/>
      <c r="AO173" s="12"/>
      <c r="AP173" s="14"/>
      <c r="AQ173" s="6"/>
      <c r="AR173" s="6">
        <v>167</v>
      </c>
      <c r="AS173" s="6"/>
    </row>
    <row r="174" spans="1:64" ht="15.75" customHeight="1" x14ac:dyDescent="0.2">
      <c r="A174" s="10">
        <v>46085</v>
      </c>
      <c r="B174" s="11">
        <v>0.58414351851851853</v>
      </c>
      <c r="C174" s="1" t="s">
        <v>122</v>
      </c>
      <c r="D174" s="1" t="s">
        <v>181</v>
      </c>
      <c r="E174" s="1">
        <v>124</v>
      </c>
      <c r="F174" s="1" t="s">
        <v>46</v>
      </c>
      <c r="G174" s="1">
        <v>1</v>
      </c>
      <c r="H174" s="1">
        <v>1</v>
      </c>
      <c r="I174" s="1" t="s">
        <v>47</v>
      </c>
      <c r="J174" s="1" t="s">
        <v>48</v>
      </c>
      <c r="K174" s="1">
        <v>0.08</v>
      </c>
      <c r="L174" s="1">
        <v>1.75</v>
      </c>
      <c r="M174" s="1">
        <v>45.5</v>
      </c>
      <c r="N174" s="1" t="s">
        <v>49</v>
      </c>
      <c r="O174" s="1" t="s">
        <v>50</v>
      </c>
      <c r="P174" s="1">
        <v>0.46200000000000002</v>
      </c>
      <c r="Q174" s="1">
        <v>6.22</v>
      </c>
      <c r="R174" s="1">
        <v>593</v>
      </c>
      <c r="T174" s="6">
        <v>1</v>
      </c>
      <c r="U174" s="6">
        <v>1</v>
      </c>
      <c r="V174" s="6"/>
      <c r="W174" s="12">
        <f t="shared" si="12"/>
        <v>45.5</v>
      </c>
      <c r="X174" s="7">
        <f>'Calibration-S40 to end'!$U$11*(QAQC!L174^2)+'Calibration-S40 to end'!$U$12*QAQC!L174+'Calibration-S40 to end'!$U$13</f>
        <v>39.579406250000005</v>
      </c>
      <c r="Y174" s="7">
        <f t="shared" si="14"/>
        <v>39.579406250000005</v>
      </c>
      <c r="Z174" s="6"/>
      <c r="AA174" s="6"/>
      <c r="AB174" s="12"/>
      <c r="AC174" s="14"/>
      <c r="AF174" s="6">
        <v>1</v>
      </c>
      <c r="AG174" s="6"/>
      <c r="AH174" s="6">
        <f t="shared" si="15"/>
        <v>593</v>
      </c>
      <c r="AI174" s="13">
        <f>'Calibration-S40 to end'!$I$11*(QAQC!Q174^2)+'Calibration-S40 to end'!$I$12*QAQC!Q174+'Calibration-S40 to end'!$I$13</f>
        <v>360.58439152000005</v>
      </c>
      <c r="AJ174" s="13">
        <f t="shared" si="17"/>
        <v>360.58439152000005</v>
      </c>
      <c r="AK174" s="9"/>
      <c r="AL174" s="6"/>
      <c r="AM174" s="12"/>
      <c r="AN174" s="14"/>
      <c r="AO174" s="12"/>
      <c r="AP174" s="14"/>
      <c r="AQ174" s="6"/>
      <c r="AR174" s="6">
        <v>168</v>
      </c>
      <c r="AS174" s="6"/>
    </row>
    <row r="175" spans="1:64" ht="15.75" customHeight="1" x14ac:dyDescent="0.2">
      <c r="A175" s="10">
        <v>46085</v>
      </c>
      <c r="B175" s="11">
        <v>0.58503472222222219</v>
      </c>
      <c r="C175" s="1" t="s">
        <v>122</v>
      </c>
      <c r="D175" s="1" t="s">
        <v>182</v>
      </c>
      <c r="E175" s="1">
        <v>125</v>
      </c>
      <c r="F175" s="1" t="s">
        <v>46</v>
      </c>
      <c r="G175" s="1">
        <v>1</v>
      </c>
      <c r="H175" s="1">
        <v>1</v>
      </c>
      <c r="I175" s="1" t="s">
        <v>47</v>
      </c>
      <c r="J175" s="1" t="s">
        <v>48</v>
      </c>
      <c r="K175" s="1">
        <v>2.52E-2</v>
      </c>
      <c r="L175" s="1">
        <v>0.67100000000000004</v>
      </c>
      <c r="M175" s="1">
        <v>7.94</v>
      </c>
      <c r="N175" s="1" t="s">
        <v>49</v>
      </c>
      <c r="O175" s="1" t="s">
        <v>50</v>
      </c>
      <c r="P175" s="1">
        <v>0.34100000000000003</v>
      </c>
      <c r="Q175" s="1">
        <v>3.78</v>
      </c>
      <c r="R175" s="1">
        <v>327</v>
      </c>
      <c r="T175" s="6">
        <v>1</v>
      </c>
      <c r="U175" s="6">
        <v>1</v>
      </c>
      <c r="V175" s="6"/>
      <c r="W175" s="12">
        <f t="shared" si="12"/>
        <v>7.94</v>
      </c>
      <c r="X175" s="7">
        <f>'Calibration-S40 to end'!$U$11*(QAQC!L175^2)+'Calibration-S40 to end'!$U$12*QAQC!L175+'Calibration-S40 to end'!$U$13</f>
        <v>6.6975250893000009</v>
      </c>
      <c r="Y175" s="7">
        <f t="shared" si="14"/>
        <v>6.6975250893000009</v>
      </c>
      <c r="Z175" s="6"/>
      <c r="AA175" s="6"/>
      <c r="AB175" s="12"/>
      <c r="AD175" s="14"/>
      <c r="AE175" s="14"/>
      <c r="AF175" s="6">
        <v>1</v>
      </c>
      <c r="AG175" s="6"/>
      <c r="AH175" s="6">
        <f t="shared" si="15"/>
        <v>327</v>
      </c>
      <c r="AI175" s="13">
        <f>'Calibration-S40 to end'!$I$11*(QAQC!Q175^2)+'Calibration-S40 to end'!$I$12*QAQC!Q175+'Calibration-S40 to end'!$I$13</f>
        <v>187.80774751999999</v>
      </c>
      <c r="AJ175" s="13">
        <f t="shared" si="17"/>
        <v>187.80774751999999</v>
      </c>
      <c r="AK175" s="9"/>
      <c r="AL175" s="6"/>
      <c r="AM175" s="12"/>
      <c r="AO175" s="12"/>
      <c r="AP175" s="14"/>
      <c r="AQ175" s="6"/>
      <c r="AR175" s="6">
        <v>169</v>
      </c>
      <c r="AS175" s="6"/>
    </row>
    <row r="176" spans="1:64" ht="15.75" customHeight="1" x14ac:dyDescent="0.2">
      <c r="A176" s="10">
        <v>46085</v>
      </c>
      <c r="B176" s="11">
        <v>0.5859375</v>
      </c>
      <c r="C176" s="1" t="s">
        <v>122</v>
      </c>
      <c r="D176" s="1" t="s">
        <v>183</v>
      </c>
      <c r="E176" s="1">
        <v>126</v>
      </c>
      <c r="F176" s="1" t="s">
        <v>46</v>
      </c>
      <c r="G176" s="1">
        <v>1</v>
      </c>
      <c r="H176" s="1">
        <v>1</v>
      </c>
      <c r="I176" s="1" t="s">
        <v>47</v>
      </c>
      <c r="J176" s="1" t="s">
        <v>48</v>
      </c>
      <c r="K176" s="1">
        <v>2.5399999999999999E-2</v>
      </c>
      <c r="L176" s="1">
        <v>0.69799999999999995</v>
      </c>
      <c r="M176" s="1">
        <v>8.86</v>
      </c>
      <c r="N176" s="1" t="s">
        <v>49</v>
      </c>
      <c r="O176" s="1" t="s">
        <v>50</v>
      </c>
      <c r="P176" s="1">
        <v>0.40799999999999997</v>
      </c>
      <c r="Q176" s="1">
        <v>5.37</v>
      </c>
      <c r="R176" s="1">
        <v>501</v>
      </c>
      <c r="T176" s="6">
        <v>1</v>
      </c>
      <c r="U176" s="6">
        <v>1</v>
      </c>
      <c r="V176" s="6"/>
      <c r="W176" s="12">
        <f t="shared" si="12"/>
        <v>8.86</v>
      </c>
      <c r="X176" s="7">
        <f>'Calibration-S40 to end'!$U$11*(QAQC!L176^2)+'Calibration-S40 to end'!$U$12*QAQC!L176+'Calibration-S40 to end'!$U$13</f>
        <v>7.530636109199996</v>
      </c>
      <c r="Y176" s="7">
        <f t="shared" si="14"/>
        <v>7.530636109199996</v>
      </c>
      <c r="Z176" s="6"/>
      <c r="AA176" s="6"/>
      <c r="AB176" s="12"/>
      <c r="AF176" s="6">
        <v>1</v>
      </c>
      <c r="AG176" s="6"/>
      <c r="AH176" s="6">
        <f t="shared" si="15"/>
        <v>501</v>
      </c>
      <c r="AI176" s="13">
        <f>'Calibration-S40 to end'!$I$11*(QAQC!Q176^2)+'Calibration-S40 to end'!$I$12*QAQC!Q176+'Calibration-S40 to end'!$I$13</f>
        <v>301.53403981999998</v>
      </c>
      <c r="AJ176" s="13">
        <f t="shared" si="17"/>
        <v>301.53403981999998</v>
      </c>
      <c r="AK176" s="9"/>
      <c r="AL176" s="6"/>
      <c r="AM176" s="12"/>
      <c r="AO176" s="12"/>
      <c r="AP176" s="14"/>
      <c r="AQ176" s="6"/>
      <c r="AR176" s="6">
        <v>170</v>
      </c>
      <c r="AS176" s="6"/>
    </row>
    <row r="177" spans="1:64" ht="15.75" customHeight="1" x14ac:dyDescent="0.2">
      <c r="A177" s="10">
        <v>46085</v>
      </c>
      <c r="B177" s="11">
        <v>0.58682870370370366</v>
      </c>
      <c r="C177" s="1" t="s">
        <v>122</v>
      </c>
      <c r="D177" s="1" t="s">
        <v>184</v>
      </c>
      <c r="E177" s="1">
        <v>127</v>
      </c>
      <c r="F177" s="1" t="s">
        <v>84</v>
      </c>
      <c r="G177" s="1">
        <v>1</v>
      </c>
      <c r="H177" s="1">
        <v>1</v>
      </c>
      <c r="I177" s="1" t="s">
        <v>47</v>
      </c>
      <c r="J177" s="1" t="s">
        <v>48</v>
      </c>
      <c r="K177" s="1">
        <v>5.8400000000000001E-2</v>
      </c>
      <c r="L177" s="1">
        <v>1.35</v>
      </c>
      <c r="M177" s="1">
        <v>31.6</v>
      </c>
      <c r="N177" s="1" t="s">
        <v>49</v>
      </c>
      <c r="O177" s="1" t="s">
        <v>50</v>
      </c>
      <c r="P177" s="1">
        <v>0.92700000000000005</v>
      </c>
      <c r="Q177" s="1">
        <v>12</v>
      </c>
      <c r="R177" s="1">
        <v>1210</v>
      </c>
      <c r="T177" s="6">
        <v>1</v>
      </c>
      <c r="U177" s="6">
        <v>1</v>
      </c>
      <c r="V177" s="6"/>
      <c r="W177" s="12">
        <f t="shared" si="12"/>
        <v>31.6</v>
      </c>
      <c r="X177" s="7">
        <f>'Calibration-S40 to end'!$U$11*(QAQC!L177^2)+'Calibration-S40 to end'!$U$12*QAQC!L177+'Calibration-S40 to end'!$U$13</f>
        <v>27.488154250000004</v>
      </c>
      <c r="Y177" s="7">
        <f t="shared" si="14"/>
        <v>27.488154250000004</v>
      </c>
      <c r="Z177" s="6"/>
      <c r="AA177" s="6"/>
      <c r="AB177" s="12"/>
      <c r="AC177" s="14"/>
      <c r="AD177" s="6"/>
      <c r="AE177" s="6"/>
      <c r="AF177" s="6">
        <v>1</v>
      </c>
      <c r="AG177" s="6"/>
      <c r="AH177" s="6">
        <f t="shared" si="15"/>
        <v>1210</v>
      </c>
      <c r="AI177" s="13">
        <f>'Calibration-S40 to end'!$I$11*(QAQC!Q177^2)+'Calibration-S40 to end'!$I$12*QAQC!Q177+'Calibration-S40 to end'!$I$13</f>
        <v>729.85250000000008</v>
      </c>
      <c r="AJ177" s="13">
        <f t="shared" si="17"/>
        <v>729.85250000000008</v>
      </c>
      <c r="AK177" s="9"/>
      <c r="AL177" s="6"/>
      <c r="AM177" s="12"/>
      <c r="AN177" s="14"/>
      <c r="AO177" s="9"/>
      <c r="AP177" s="6"/>
      <c r="AQ177" s="6"/>
      <c r="AR177" s="6">
        <v>171</v>
      </c>
      <c r="AS177" s="6"/>
    </row>
    <row r="178" spans="1:64" ht="15.75" customHeight="1" x14ac:dyDescent="0.2">
      <c r="A178" s="10">
        <v>46085</v>
      </c>
      <c r="B178" s="11">
        <v>0.58771990740740743</v>
      </c>
      <c r="C178" s="1" t="s">
        <v>122</v>
      </c>
      <c r="D178" s="1" t="s">
        <v>185</v>
      </c>
      <c r="E178" s="1">
        <v>129</v>
      </c>
      <c r="F178" s="1" t="s">
        <v>84</v>
      </c>
      <c r="G178" s="1">
        <v>1</v>
      </c>
      <c r="H178" s="1">
        <v>1</v>
      </c>
      <c r="I178" s="1" t="s">
        <v>47</v>
      </c>
      <c r="J178" s="1" t="s">
        <v>48</v>
      </c>
      <c r="K178" s="1">
        <v>0.106</v>
      </c>
      <c r="L178" s="1">
        <v>2.17</v>
      </c>
      <c r="M178" s="1">
        <v>60.2</v>
      </c>
      <c r="N178" s="1" t="s">
        <v>49</v>
      </c>
      <c r="O178" s="1" t="s">
        <v>50</v>
      </c>
      <c r="P178" s="1">
        <v>1.1499999999999999</v>
      </c>
      <c r="Q178" s="1">
        <v>14.9</v>
      </c>
      <c r="R178" s="1">
        <v>1510</v>
      </c>
      <c r="S178" s="6"/>
      <c r="T178" s="6">
        <v>1</v>
      </c>
      <c r="U178" s="6">
        <v>1</v>
      </c>
      <c r="V178" s="6"/>
      <c r="W178" s="12">
        <f t="shared" si="12"/>
        <v>60.2</v>
      </c>
      <c r="X178" s="7">
        <f>'Calibration-S40 to end'!$U$11*(QAQC!L178^2)+'Calibration-S40 to end'!$U$12*QAQC!L178+'Calibration-S40 to end'!$U$13</f>
        <v>52.150306970000003</v>
      </c>
      <c r="Y178" s="7">
        <f t="shared" si="14"/>
        <v>52.150306970000003</v>
      </c>
      <c r="Z178" s="6"/>
      <c r="AA178" s="6"/>
      <c r="AB178" s="9"/>
      <c r="AC178" s="6"/>
      <c r="AD178" s="14">
        <f>100*((Y178*10250)-(Y177*10000))/(1000*250)</f>
        <v>103.86364157700001</v>
      </c>
      <c r="AE178" s="14" t="str">
        <f>IF(Y178&gt;30, (IF((AND(AD178&gt;=80,AD178&lt;=120)=TRUE),"PASS","FAIL")),(IF((AND(AD178&gt;=50,AD178&lt;=150)=TRUE),"PASS","FAIL")))</f>
        <v>PASS</v>
      </c>
      <c r="AF178" s="6">
        <v>1</v>
      </c>
      <c r="AG178" s="6"/>
      <c r="AH178" s="6">
        <f t="shared" si="15"/>
        <v>1510</v>
      </c>
      <c r="AI178" s="13">
        <f>'Calibration-S40 to end'!$I$11*(QAQC!Q178^2)+'Calibration-S40 to end'!$I$12*QAQC!Q178+'Calibration-S40 to end'!$I$13</f>
        <v>893.92556800000023</v>
      </c>
      <c r="AJ178" s="13">
        <f t="shared" si="17"/>
        <v>893.92556800000023</v>
      </c>
      <c r="AK178" s="9"/>
      <c r="AL178" s="6"/>
      <c r="AM178" s="9"/>
      <c r="AN178" s="6"/>
      <c r="AO178" s="12">
        <f>100*((AJ178*10250)-(AJ177*10000))/(1000*2500)</f>
        <v>74.568482880000062</v>
      </c>
      <c r="AP178" s="14" t="str">
        <f>IF(AJ178&gt;30, (IF((AND(AO178&gt;=80,AO178&lt;=120)=TRUE),"PASS","FAIL")),(IF((AND(AO178&gt;=50,AO178&lt;=150)=TRUE),"PASS","FAIL")))</f>
        <v>FAIL</v>
      </c>
      <c r="AQ178" s="6"/>
      <c r="AR178" s="6">
        <v>172</v>
      </c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</row>
    <row r="179" spans="1:64" ht="15.75" customHeight="1" x14ac:dyDescent="0.2">
      <c r="A179" s="10">
        <v>46085</v>
      </c>
      <c r="B179" s="11">
        <v>0.58861111111111108</v>
      </c>
      <c r="C179" s="1" t="s">
        <v>122</v>
      </c>
      <c r="D179" s="1" t="s">
        <v>125</v>
      </c>
      <c r="E179" s="1" t="s">
        <v>58</v>
      </c>
      <c r="F179" s="1" t="s">
        <v>46</v>
      </c>
      <c r="G179" s="1">
        <v>1</v>
      </c>
      <c r="H179" s="1">
        <v>1</v>
      </c>
      <c r="I179" s="1" t="s">
        <v>47</v>
      </c>
      <c r="J179" s="1" t="s">
        <v>48</v>
      </c>
      <c r="K179" s="1">
        <v>1.3100000000000001E-2</v>
      </c>
      <c r="L179" s="1">
        <v>0.151</v>
      </c>
      <c r="M179" s="1">
        <v>-10</v>
      </c>
      <c r="N179" s="1" t="s">
        <v>49</v>
      </c>
      <c r="O179" s="1" t="s">
        <v>50</v>
      </c>
      <c r="P179" s="1">
        <v>2.4E-2</v>
      </c>
      <c r="Q179" s="1">
        <v>0.311</v>
      </c>
      <c r="R179" s="1">
        <v>-55.6</v>
      </c>
      <c r="S179" s="6"/>
      <c r="T179" s="6">
        <v>1</v>
      </c>
      <c r="U179" s="6">
        <v>1</v>
      </c>
      <c r="V179" s="6"/>
      <c r="W179" s="12">
        <f t="shared" si="12"/>
        <v>-10</v>
      </c>
      <c r="X179" s="7">
        <f>'Calibration-S40 to end'!$U$11*(QAQC!L179^2)+'Calibration-S40 to end'!$U$12*QAQC!L179+'Calibration-S40 to end'!$U$13</f>
        <v>-9.4507424227000012</v>
      </c>
      <c r="Y179" s="7">
        <f t="shared" si="14"/>
        <v>-9.4507424227000012</v>
      </c>
      <c r="Z179" s="6"/>
      <c r="AA179" s="6"/>
      <c r="AB179" s="12"/>
      <c r="AC179" s="14"/>
      <c r="AD179" s="6"/>
      <c r="AE179" s="6"/>
      <c r="AF179" s="6">
        <v>1</v>
      </c>
      <c r="AG179" s="6"/>
      <c r="AH179" s="6">
        <f t="shared" si="15"/>
        <v>-55.6</v>
      </c>
      <c r="AI179" s="13">
        <f>'Calibration-S40 to end'!$I$11*(QAQC!Q179^2)+'Calibration-S40 to end'!$I$12*QAQC!Q179+'Calibration-S40 to end'!$I$13</f>
        <v>-75.096175326200012</v>
      </c>
      <c r="AJ179" s="13">
        <f t="shared" si="17"/>
        <v>-75.096175326200012</v>
      </c>
      <c r="AK179" s="9"/>
      <c r="AL179" s="6"/>
      <c r="AM179" s="12"/>
      <c r="AN179" s="14"/>
      <c r="AO179" s="9"/>
      <c r="AP179" s="6"/>
      <c r="AQ179" s="6"/>
      <c r="AR179" s="6">
        <v>173</v>
      </c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</row>
    <row r="180" spans="1:64" ht="15.75" customHeight="1" x14ac:dyDescent="0.2">
      <c r="A180" s="10">
        <v>46085</v>
      </c>
      <c r="B180" s="11">
        <v>0.58950231481481485</v>
      </c>
      <c r="C180" s="1" t="s">
        <v>122</v>
      </c>
      <c r="D180" s="1" t="s">
        <v>126</v>
      </c>
      <c r="E180" s="1">
        <v>17</v>
      </c>
      <c r="F180" s="1" t="s">
        <v>88</v>
      </c>
      <c r="G180" s="1">
        <v>1</v>
      </c>
      <c r="H180" s="1">
        <v>1</v>
      </c>
      <c r="I180" s="1" t="s">
        <v>47</v>
      </c>
      <c r="J180" s="1" t="s">
        <v>48</v>
      </c>
      <c r="K180" s="1">
        <v>5.6300000000000003E-2</v>
      </c>
      <c r="L180" s="1">
        <v>1.29</v>
      </c>
      <c r="M180" s="1">
        <v>29.4</v>
      </c>
      <c r="N180" s="1" t="s">
        <v>49</v>
      </c>
      <c r="O180" s="1" t="s">
        <v>50</v>
      </c>
      <c r="P180" s="1">
        <v>0.46300000000000002</v>
      </c>
      <c r="Q180" s="1">
        <v>6.19</v>
      </c>
      <c r="R180" s="1">
        <v>590</v>
      </c>
      <c r="T180" s="6">
        <v>1</v>
      </c>
      <c r="U180" s="6">
        <v>1</v>
      </c>
      <c r="V180" s="6"/>
      <c r="W180" s="12">
        <f t="shared" si="12"/>
        <v>29.4</v>
      </c>
      <c r="X180" s="7">
        <f>'Calibration-S40 to end'!$U$11*(QAQC!L180^2)+'Calibration-S40 to end'!$U$12*QAQC!L180+'Calibration-S40 to end'!$U$13</f>
        <v>25.664455929999999</v>
      </c>
      <c r="Y180" s="7">
        <f t="shared" si="14"/>
        <v>25.664455929999999</v>
      </c>
      <c r="Z180" s="6">
        <f>100*(Y180-25)/25</f>
        <v>2.6578237199999961</v>
      </c>
      <c r="AA180" s="6" t="str">
        <f>IF((ABS(Z180))&lt;=20,"PASS","FAIL")</f>
        <v>PASS</v>
      </c>
      <c r="AB180" s="9"/>
      <c r="AC180" s="6"/>
      <c r="AD180" s="14"/>
      <c r="AE180" s="14"/>
      <c r="AF180" s="6">
        <v>1</v>
      </c>
      <c r="AG180" s="6"/>
      <c r="AH180" s="6">
        <f t="shared" si="15"/>
        <v>590</v>
      </c>
      <c r="AI180" s="13">
        <f>'Calibration-S40 to end'!$I$11*(QAQC!Q180^2)+'Calibration-S40 to end'!$I$12*QAQC!Q180+'Calibration-S40 to end'!$I$13</f>
        <v>358.52097958000002</v>
      </c>
      <c r="AJ180" s="13">
        <f t="shared" si="17"/>
        <v>358.52097958000002</v>
      </c>
      <c r="AK180" s="9">
        <f>100*(AJ180-250)/250</f>
        <v>43.408391832000007</v>
      </c>
      <c r="AL180" s="6" t="str">
        <f>IF((ABS(AK180))&lt;=20,"PASS","FAIL")</f>
        <v>FAIL</v>
      </c>
      <c r="AM180" s="9"/>
      <c r="AN180" s="6"/>
      <c r="AO180" s="12"/>
      <c r="AP180" s="14"/>
      <c r="AQ180" s="6"/>
      <c r="AR180" s="6">
        <v>174</v>
      </c>
      <c r="AS180" s="6"/>
    </row>
    <row r="181" spans="1:64" ht="15.75" customHeight="1" x14ac:dyDescent="0.2">
      <c r="A181" s="10">
        <v>46085</v>
      </c>
      <c r="B181" s="11">
        <v>0.59038194444444447</v>
      </c>
      <c r="C181" s="1" t="s">
        <v>122</v>
      </c>
      <c r="D181" s="1" t="s">
        <v>51</v>
      </c>
      <c r="E181" s="1" t="s">
        <v>52</v>
      </c>
      <c r="F181" s="1" t="s">
        <v>46</v>
      </c>
      <c r="G181" s="1">
        <v>1</v>
      </c>
      <c r="H181" s="1">
        <v>1</v>
      </c>
      <c r="I181" s="1" t="s">
        <v>47</v>
      </c>
      <c r="J181" s="1" t="s">
        <v>48</v>
      </c>
      <c r="K181" s="1">
        <v>0.13700000000000001</v>
      </c>
      <c r="L181" s="1">
        <v>1.65</v>
      </c>
      <c r="M181" s="1">
        <v>41.9</v>
      </c>
      <c r="N181" s="1" t="s">
        <v>49</v>
      </c>
      <c r="O181" s="1" t="s">
        <v>50</v>
      </c>
      <c r="P181" s="1">
        <v>1.89</v>
      </c>
      <c r="Q181" s="1">
        <v>25.4</v>
      </c>
      <c r="R181" s="1">
        <v>2560</v>
      </c>
      <c r="S181" s="6">
        <f>100*(Q182/Q181)</f>
        <v>87.4015748031496</v>
      </c>
      <c r="T181" s="6">
        <v>1</v>
      </c>
      <c r="U181" s="6">
        <v>1</v>
      </c>
      <c r="V181" s="6"/>
      <c r="W181" s="12">
        <f t="shared" si="12"/>
        <v>41.9</v>
      </c>
      <c r="X181" s="7">
        <f>'Calibration-S40 to end'!$U$11*(QAQC!L181^2)+'Calibration-S40 to end'!$U$12*QAQC!L181+'Calibration-S40 to end'!$U$13</f>
        <v>36.567474249999989</v>
      </c>
      <c r="Y181" s="7">
        <f t="shared" si="14"/>
        <v>36.567474249999989</v>
      </c>
      <c r="Z181" s="6"/>
      <c r="AA181" s="6"/>
      <c r="AB181" s="12"/>
      <c r="AC181" s="14"/>
      <c r="AD181" s="14"/>
      <c r="AE181" s="14"/>
      <c r="AF181" s="6">
        <v>1</v>
      </c>
      <c r="AG181" s="6"/>
      <c r="AH181" s="6">
        <f t="shared" si="15"/>
        <v>2560</v>
      </c>
      <c r="AI181" s="13">
        <f>'Calibration-S40 to end'!$I$11*(QAQC!Q181^2)+'Calibration-S40 to end'!$I$12*QAQC!Q181+'Calibration-S40 to end'!$I$13</f>
        <v>1369.485688</v>
      </c>
      <c r="AJ181" s="13">
        <f t="shared" si="17"/>
        <v>1369.485688</v>
      </c>
      <c r="AK181" s="9"/>
      <c r="AL181" s="6"/>
      <c r="AM181" s="12"/>
      <c r="AN181" s="14"/>
      <c r="AO181" s="12"/>
      <c r="AP181" s="14"/>
      <c r="AQ181" s="6"/>
      <c r="AR181" s="6">
        <v>175</v>
      </c>
      <c r="AS181" s="6"/>
    </row>
    <row r="182" spans="1:64" ht="15.75" customHeight="1" x14ac:dyDescent="0.2">
      <c r="A182" s="10">
        <v>46085</v>
      </c>
      <c r="B182" s="11">
        <v>0.59126157407407409</v>
      </c>
      <c r="C182" s="1" t="s">
        <v>122</v>
      </c>
      <c r="D182" s="1" t="s">
        <v>53</v>
      </c>
      <c r="E182" s="1" t="s">
        <v>54</v>
      </c>
      <c r="F182" s="1" t="s">
        <v>46</v>
      </c>
      <c r="G182" s="1">
        <v>1</v>
      </c>
      <c r="H182" s="1">
        <v>1</v>
      </c>
      <c r="I182" s="1" t="s">
        <v>47</v>
      </c>
      <c r="J182" s="1" t="s">
        <v>48</v>
      </c>
      <c r="K182" s="1">
        <v>0.13500000000000001</v>
      </c>
      <c r="L182" s="1">
        <v>1.66</v>
      </c>
      <c r="M182" s="1">
        <v>42.2</v>
      </c>
      <c r="N182" s="1" t="s">
        <v>49</v>
      </c>
      <c r="O182" s="1" t="s">
        <v>50</v>
      </c>
      <c r="P182" s="1">
        <v>1.74</v>
      </c>
      <c r="Q182" s="1">
        <v>22.2</v>
      </c>
      <c r="R182" s="1">
        <v>2250</v>
      </c>
      <c r="T182" s="6">
        <v>1</v>
      </c>
      <c r="U182" s="6">
        <v>1</v>
      </c>
      <c r="V182" s="6"/>
      <c r="W182" s="12">
        <f t="shared" si="12"/>
        <v>42.2</v>
      </c>
      <c r="X182" s="7">
        <f>'Calibration-S40 to end'!$U$11*(QAQC!L182^2)+'Calibration-S40 to end'!$U$12*QAQC!L182+'Calibration-S40 to end'!$U$13</f>
        <v>36.868993880000005</v>
      </c>
      <c r="Y182" s="7">
        <f t="shared" si="14"/>
        <v>36.868993880000005</v>
      </c>
      <c r="Z182" s="6"/>
      <c r="AA182" s="6"/>
      <c r="AB182" s="9"/>
      <c r="AC182" s="6"/>
      <c r="AD182" s="6"/>
      <c r="AE182" s="6"/>
      <c r="AF182" s="6">
        <v>1</v>
      </c>
      <c r="AG182" s="6"/>
      <c r="AH182" s="6">
        <f t="shared" si="15"/>
        <v>2250</v>
      </c>
      <c r="AI182" s="13">
        <f>'Calibration-S40 to end'!$I$11*(QAQC!Q182^2)+'Calibration-S40 to end'!$I$12*QAQC!Q182+'Calibration-S40 to end'!$I$13</f>
        <v>1244.226872</v>
      </c>
      <c r="AJ182" s="13">
        <f t="shared" si="17"/>
        <v>1244.226872</v>
      </c>
      <c r="AK182" s="9"/>
      <c r="AL182" s="6"/>
      <c r="AM182" s="9"/>
      <c r="AN182" s="6"/>
      <c r="AO182" s="12"/>
      <c r="AP182" s="14"/>
      <c r="AQ182" s="6"/>
      <c r="AR182" s="6">
        <v>176</v>
      </c>
      <c r="AS182" s="6"/>
    </row>
    <row r="183" spans="1:64" ht="15.75" customHeight="1" x14ac:dyDescent="0.2">
      <c r="A183" s="10">
        <v>46085</v>
      </c>
      <c r="B183" s="11">
        <v>0.5921643518518519</v>
      </c>
      <c r="C183" s="1" t="s">
        <v>122</v>
      </c>
      <c r="D183" s="1" t="s">
        <v>186</v>
      </c>
      <c r="E183" s="1">
        <v>130</v>
      </c>
      <c r="F183" s="1" t="s">
        <v>46</v>
      </c>
      <c r="G183" s="1">
        <v>1</v>
      </c>
      <c r="H183" s="1">
        <v>1</v>
      </c>
      <c r="I183" s="1" t="s">
        <v>47</v>
      </c>
      <c r="J183" s="1" t="s">
        <v>48</v>
      </c>
      <c r="K183" s="1">
        <v>0.32200000000000001</v>
      </c>
      <c r="L183" s="1">
        <v>6.15</v>
      </c>
      <c r="M183" s="1">
        <v>203</v>
      </c>
      <c r="N183" s="1" t="s">
        <v>49</v>
      </c>
      <c r="O183" s="1" t="s">
        <v>50</v>
      </c>
      <c r="P183" s="1">
        <v>1.92</v>
      </c>
      <c r="Q183" s="1">
        <v>24.4</v>
      </c>
      <c r="R183" s="1">
        <v>2460</v>
      </c>
      <c r="S183" s="6"/>
      <c r="T183" s="6">
        <v>1</v>
      </c>
      <c r="U183" s="6">
        <v>3</v>
      </c>
      <c r="V183" s="6" t="s">
        <v>154</v>
      </c>
      <c r="W183" s="12">
        <f t="shared" si="12"/>
        <v>203</v>
      </c>
      <c r="X183" s="7">
        <f>'Calibration-S40 to end'!$U$11*(QAQC!L183^2)+'Calibration-S40 to end'!$U$12*QAQC!L183+'Calibration-S40 to end'!$U$13</f>
        <v>164.92295425</v>
      </c>
      <c r="Y183" s="7">
        <f t="shared" si="14"/>
        <v>164.92295425</v>
      </c>
      <c r="Z183" s="6"/>
      <c r="AA183" s="6"/>
      <c r="AB183" s="12"/>
      <c r="AC183" s="14"/>
      <c r="AD183" s="14"/>
      <c r="AE183" s="14"/>
      <c r="AF183" s="6">
        <v>1</v>
      </c>
      <c r="AG183" s="6"/>
      <c r="AH183" s="6">
        <f t="shared" si="15"/>
        <v>2460</v>
      </c>
      <c r="AI183" s="13">
        <f>'Calibration-S40 to end'!$I$11*(QAQC!Q183^2)+'Calibration-S40 to end'!$I$12*QAQC!Q183+'Calibration-S40 to end'!$I$13</f>
        <v>1332.195148</v>
      </c>
      <c r="AJ183" s="13">
        <f t="shared" si="17"/>
        <v>1332.195148</v>
      </c>
      <c r="AK183" s="9"/>
      <c r="AL183" s="6"/>
      <c r="AM183" s="12"/>
      <c r="AN183" s="14"/>
      <c r="AO183" s="9"/>
      <c r="AP183" s="6"/>
      <c r="AQ183" s="6"/>
      <c r="AR183" s="6">
        <v>177</v>
      </c>
      <c r="AS183" s="6"/>
    </row>
    <row r="184" spans="1:64" ht="15.75" customHeight="1" x14ac:dyDescent="0.2">
      <c r="A184" s="10">
        <v>46085</v>
      </c>
      <c r="B184" s="11">
        <v>0.59305555555555556</v>
      </c>
      <c r="C184" s="1" t="s">
        <v>122</v>
      </c>
      <c r="D184" s="1" t="s">
        <v>187</v>
      </c>
      <c r="E184" s="1">
        <v>131</v>
      </c>
      <c r="F184" s="1" t="s">
        <v>46</v>
      </c>
      <c r="G184" s="1">
        <v>1</v>
      </c>
      <c r="H184" s="1">
        <v>1</v>
      </c>
      <c r="I184" s="1" t="s">
        <v>47</v>
      </c>
      <c r="J184" s="1" t="s">
        <v>48</v>
      </c>
      <c r="K184" s="1">
        <v>5.5500000000000001E-2</v>
      </c>
      <c r="L184" s="1">
        <v>1.28</v>
      </c>
      <c r="M184" s="1">
        <v>29</v>
      </c>
      <c r="N184" s="1" t="s">
        <v>49</v>
      </c>
      <c r="O184" s="1" t="s">
        <v>50</v>
      </c>
      <c r="P184" s="1">
        <v>1.0900000000000001</v>
      </c>
      <c r="Q184" s="1">
        <v>13.7</v>
      </c>
      <c r="R184" s="1">
        <v>1380</v>
      </c>
      <c r="S184" s="6"/>
      <c r="T184" s="6">
        <v>1</v>
      </c>
      <c r="U184" s="6">
        <v>1</v>
      </c>
      <c r="V184" s="6"/>
      <c r="W184" s="12">
        <f t="shared" si="12"/>
        <v>29</v>
      </c>
      <c r="X184" s="7">
        <f>'Calibration-S40 to end'!$U$11*(QAQC!L184^2)+'Calibration-S40 to end'!$U$12*QAQC!L184+'Calibration-S40 to end'!$U$13</f>
        <v>25.360252319999997</v>
      </c>
      <c r="Y184" s="7">
        <f t="shared" si="14"/>
        <v>25.360252319999997</v>
      </c>
      <c r="Z184" s="6"/>
      <c r="AA184" s="6"/>
      <c r="AB184" s="9"/>
      <c r="AC184" s="6"/>
      <c r="AD184" s="14"/>
      <c r="AE184" s="14"/>
      <c r="AF184" s="6">
        <v>1</v>
      </c>
      <c r="AG184" s="6"/>
      <c r="AH184" s="6">
        <f t="shared" si="15"/>
        <v>1380</v>
      </c>
      <c r="AI184" s="13">
        <f>'Calibration-S40 to end'!$I$11*(QAQC!Q184^2)+'Calibration-S40 to end'!$I$12*QAQC!Q184+'Calibration-S40 to end'!$I$13</f>
        <v>827.751352</v>
      </c>
      <c r="AJ184" s="13">
        <f t="shared" si="17"/>
        <v>827.751352</v>
      </c>
      <c r="AK184" s="9"/>
      <c r="AL184" s="6"/>
      <c r="AM184" s="9"/>
      <c r="AN184" s="6"/>
      <c r="AO184" s="12"/>
      <c r="AP184" s="14"/>
      <c r="AQ184" s="6"/>
      <c r="AR184" s="6">
        <v>178</v>
      </c>
      <c r="AS184" s="6"/>
    </row>
    <row r="185" spans="1:64" ht="15.75" customHeight="1" x14ac:dyDescent="0.2">
      <c r="A185" s="10">
        <v>46085</v>
      </c>
      <c r="B185" s="11">
        <v>0.59393518518518518</v>
      </c>
      <c r="C185" s="1" t="s">
        <v>122</v>
      </c>
      <c r="D185" s="1" t="s">
        <v>188</v>
      </c>
      <c r="E185" s="1">
        <v>132</v>
      </c>
      <c r="F185" s="1" t="s">
        <v>46</v>
      </c>
      <c r="G185" s="1">
        <v>1</v>
      </c>
      <c r="H185" s="1">
        <v>1</v>
      </c>
      <c r="I185" s="1" t="s">
        <v>47</v>
      </c>
      <c r="J185" s="1" t="s">
        <v>48</v>
      </c>
      <c r="K185" s="1">
        <v>7.6700000000000004E-2</v>
      </c>
      <c r="L185" s="1">
        <v>1.64</v>
      </c>
      <c r="M185" s="1">
        <v>41.6</v>
      </c>
      <c r="N185" s="1" t="s">
        <v>49</v>
      </c>
      <c r="O185" s="1" t="s">
        <v>50</v>
      </c>
      <c r="P185" s="1">
        <v>0.91900000000000004</v>
      </c>
      <c r="Q185" s="1">
        <v>11.8</v>
      </c>
      <c r="R185" s="1">
        <v>1180</v>
      </c>
      <c r="T185" s="6">
        <v>1</v>
      </c>
      <c r="U185" s="6">
        <v>1</v>
      </c>
      <c r="V185" s="6"/>
      <c r="W185" s="12">
        <f t="shared" si="12"/>
        <v>41.6</v>
      </c>
      <c r="X185" s="7">
        <f>'Calibration-S40 to end'!$U$11*(QAQC!L185^2)+'Calibration-S40 to end'!$U$12*QAQC!L185+'Calibration-S40 to end'!$U$13</f>
        <v>36.265882079999997</v>
      </c>
      <c r="Y185" s="7">
        <f t="shared" si="14"/>
        <v>36.265882079999997</v>
      </c>
      <c r="Z185" s="6"/>
      <c r="AA185" s="6"/>
      <c r="AB185" s="12"/>
      <c r="AC185" s="14"/>
      <c r="AD185" s="14"/>
      <c r="AE185" s="14"/>
      <c r="AF185" s="6">
        <v>1</v>
      </c>
      <c r="AG185" s="6"/>
      <c r="AH185" s="6">
        <f t="shared" si="15"/>
        <v>1180</v>
      </c>
      <c r="AI185" s="13">
        <f>'Calibration-S40 to end'!$I$11*(QAQC!Q185^2)+'Calibration-S40 to end'!$I$12*QAQC!Q185+'Calibration-S40 to end'!$I$13</f>
        <v>718.01495200000011</v>
      </c>
      <c r="AJ185" s="13">
        <f t="shared" si="17"/>
        <v>718.01495200000011</v>
      </c>
      <c r="AK185" s="9"/>
      <c r="AL185" s="6"/>
      <c r="AM185" s="12"/>
      <c r="AN185" s="14"/>
      <c r="AO185" s="12"/>
      <c r="AP185" s="14"/>
      <c r="AQ185" s="6"/>
      <c r="AR185" s="6">
        <v>179</v>
      </c>
      <c r="AS185" s="6"/>
    </row>
    <row r="186" spans="1:64" ht="15.75" customHeight="1" x14ac:dyDescent="0.2">
      <c r="A186" s="10">
        <v>46085</v>
      </c>
      <c r="B186" s="11">
        <v>0.59483796296296299</v>
      </c>
      <c r="C186" s="1" t="s">
        <v>122</v>
      </c>
      <c r="D186" s="1" t="s">
        <v>189</v>
      </c>
      <c r="E186" s="1">
        <v>133</v>
      </c>
      <c r="F186" s="1" t="s">
        <v>46</v>
      </c>
      <c r="G186" s="1">
        <v>1</v>
      </c>
      <c r="H186" s="1">
        <v>1</v>
      </c>
      <c r="I186" s="1" t="s">
        <v>47</v>
      </c>
      <c r="J186" s="1" t="s">
        <v>48</v>
      </c>
      <c r="K186" s="1">
        <v>0.03</v>
      </c>
      <c r="L186" s="1">
        <v>0.82099999999999995</v>
      </c>
      <c r="M186" s="1">
        <v>13.1</v>
      </c>
      <c r="N186" s="1" t="s">
        <v>49</v>
      </c>
      <c r="O186" s="1" t="s">
        <v>50</v>
      </c>
      <c r="P186" s="1">
        <v>0.38</v>
      </c>
      <c r="Q186" s="1">
        <v>5</v>
      </c>
      <c r="R186" s="1">
        <v>460</v>
      </c>
      <c r="T186" s="6">
        <v>1</v>
      </c>
      <c r="U186" s="6">
        <v>1</v>
      </c>
      <c r="V186" s="6"/>
      <c r="W186" s="12">
        <f t="shared" si="12"/>
        <v>13.1</v>
      </c>
      <c r="X186" s="7">
        <f>'Calibration-S40 to end'!$U$11*(QAQC!L186^2)+'Calibration-S40 to end'!$U$12*QAQC!L186+'Calibration-S40 to end'!$U$13</f>
        <v>11.319227829299997</v>
      </c>
      <c r="Y186" s="7">
        <f t="shared" si="14"/>
        <v>11.319227829299997</v>
      </c>
      <c r="Z186" s="6"/>
      <c r="AA186" s="6"/>
      <c r="AB186" s="12"/>
      <c r="AC186" s="14"/>
      <c r="AD186" s="14"/>
      <c r="AE186" s="14"/>
      <c r="AF186" s="6">
        <v>1</v>
      </c>
      <c r="AG186" s="6"/>
      <c r="AH186" s="6">
        <f t="shared" si="15"/>
        <v>460</v>
      </c>
      <c r="AI186" s="13">
        <f>'Calibration-S40 to end'!$I$11*(QAQC!Q186^2)+'Calibration-S40 to end'!$I$12*QAQC!Q186+'Calibration-S40 to end'!$I$13</f>
        <v>275.44960000000003</v>
      </c>
      <c r="AJ186" s="13">
        <f t="shared" si="17"/>
        <v>275.44960000000003</v>
      </c>
      <c r="AK186" s="9"/>
      <c r="AL186" s="6"/>
      <c r="AM186" s="12"/>
      <c r="AN186" s="14"/>
      <c r="AO186" s="12"/>
      <c r="AP186" s="14"/>
      <c r="AQ186" s="6"/>
      <c r="AR186" s="6">
        <v>180</v>
      </c>
      <c r="AS186" s="6"/>
    </row>
    <row r="187" spans="1:64" ht="15.75" customHeight="1" x14ac:dyDescent="0.2">
      <c r="A187" s="10">
        <v>46085</v>
      </c>
      <c r="B187" s="11">
        <v>0.5957175925925926</v>
      </c>
      <c r="C187" s="1" t="s">
        <v>122</v>
      </c>
      <c r="D187" s="1" t="s">
        <v>190</v>
      </c>
      <c r="E187" s="1">
        <v>134</v>
      </c>
      <c r="F187" s="1" t="s">
        <v>75</v>
      </c>
      <c r="G187" s="1">
        <v>1</v>
      </c>
      <c r="H187" s="1">
        <v>1</v>
      </c>
      <c r="I187" s="1" t="s">
        <v>47</v>
      </c>
      <c r="J187" s="1" t="s">
        <v>48</v>
      </c>
      <c r="K187" s="1">
        <v>2.18E-2</v>
      </c>
      <c r="L187" s="1">
        <v>0.59499999999999997</v>
      </c>
      <c r="M187" s="1">
        <v>5.28</v>
      </c>
      <c r="N187" s="1" t="s">
        <v>49</v>
      </c>
      <c r="O187" s="1" t="s">
        <v>50</v>
      </c>
      <c r="P187" s="1">
        <v>0.30599999999999999</v>
      </c>
      <c r="Q187" s="1">
        <v>4.04</v>
      </c>
      <c r="R187" s="1">
        <v>356</v>
      </c>
      <c r="T187" s="6">
        <v>1</v>
      </c>
      <c r="U187" s="6">
        <v>1</v>
      </c>
      <c r="V187" s="6"/>
      <c r="W187" s="12">
        <f t="shared" si="12"/>
        <v>5.28</v>
      </c>
      <c r="X187" s="7">
        <f>'Calibration-S40 to end'!$U$11*(QAQC!L187^2)+'Calibration-S40 to end'!$U$12*QAQC!L187+'Calibration-S40 to end'!$U$13</f>
        <v>4.3496326325000005</v>
      </c>
      <c r="Y187" s="7">
        <f t="shared" si="14"/>
        <v>4.3496326325000005</v>
      </c>
      <c r="AB187" s="12"/>
      <c r="AC187" s="14"/>
      <c r="AD187" s="14"/>
      <c r="AE187" s="14"/>
      <c r="AF187" s="6">
        <v>1</v>
      </c>
      <c r="AG187" s="6"/>
      <c r="AH187" s="6">
        <f t="shared" si="15"/>
        <v>356</v>
      </c>
      <c r="AI187" s="13">
        <f>'Calibration-S40 to end'!$I$11*(QAQC!Q187^2)+'Calibration-S40 to end'!$I$12*QAQC!Q187+'Calibration-S40 to end'!$I$13</f>
        <v>206.69573248000003</v>
      </c>
      <c r="AJ187" s="13">
        <f t="shared" si="17"/>
        <v>206.69573248000003</v>
      </c>
      <c r="AK187" s="12"/>
      <c r="AM187" s="12"/>
      <c r="AN187" s="14"/>
      <c r="AO187" s="12"/>
      <c r="AP187" s="14"/>
      <c r="AQ187" s="6"/>
      <c r="AR187" s="6">
        <v>181</v>
      </c>
      <c r="AS187" s="6"/>
    </row>
    <row r="188" spans="1:64" ht="15.75" customHeight="1" x14ac:dyDescent="0.2">
      <c r="A188" s="10">
        <v>46085</v>
      </c>
      <c r="B188" s="11">
        <v>0.59662037037037041</v>
      </c>
      <c r="C188" s="1" t="s">
        <v>122</v>
      </c>
      <c r="D188" s="1" t="s">
        <v>191</v>
      </c>
      <c r="E188" s="1">
        <v>140</v>
      </c>
      <c r="F188" s="1" t="s">
        <v>75</v>
      </c>
      <c r="G188" s="1">
        <v>1</v>
      </c>
      <c r="H188" s="1">
        <v>1</v>
      </c>
      <c r="I188" s="1" t="s">
        <v>47</v>
      </c>
      <c r="J188" s="1" t="s">
        <v>48</v>
      </c>
      <c r="K188" s="1">
        <v>2.5399999999999999E-2</v>
      </c>
      <c r="L188" s="1">
        <v>0.61299999999999999</v>
      </c>
      <c r="M188" s="1">
        <v>5.91</v>
      </c>
      <c r="N188" s="1" t="s">
        <v>49</v>
      </c>
      <c r="O188" s="1" t="s">
        <v>50</v>
      </c>
      <c r="P188" s="1">
        <v>0.29599999999999999</v>
      </c>
      <c r="Q188" s="1">
        <v>4.13</v>
      </c>
      <c r="R188" s="1">
        <v>365</v>
      </c>
      <c r="T188" s="6">
        <v>1</v>
      </c>
      <c r="U188" s="6">
        <v>1</v>
      </c>
      <c r="V188" s="6"/>
      <c r="W188" s="12">
        <f t="shared" si="12"/>
        <v>5.91</v>
      </c>
      <c r="X188" s="7">
        <f>'Calibration-S40 to end'!$U$11*(QAQC!L188^2)+'Calibration-S40 to end'!$U$12*QAQC!L188+'Calibration-S40 to end'!$U$13</f>
        <v>4.906091083699998</v>
      </c>
      <c r="Y188" s="7">
        <f t="shared" si="14"/>
        <v>4.906091083699998</v>
      </c>
      <c r="Z188" s="6"/>
      <c r="AA188" s="6"/>
      <c r="AB188" s="12">
        <f>ABS(100*ABS(Y188-Y187)/AVERAGE(Y188,Y187))</f>
        <v>12.024093809672516</v>
      </c>
      <c r="AC188" s="14" t="str">
        <f>IF(Y188&gt;10, (IF((AND(AB188&gt;=0,AB188&lt;=20)=TRUE),"PASS","FAIL")),(IF((AND(AB188&gt;=0,AB188&lt;=50)=TRUE),"PASS","FAIL")))</f>
        <v>PASS</v>
      </c>
      <c r="AD188" s="14"/>
      <c r="AE188" s="14"/>
      <c r="AF188" s="6">
        <v>1</v>
      </c>
      <c r="AG188" s="6"/>
      <c r="AH188" s="6">
        <f t="shared" si="15"/>
        <v>365</v>
      </c>
      <c r="AI188" s="13">
        <f>'Calibration-S40 to end'!$I$11*(QAQC!Q188^2)+'Calibration-S40 to end'!$I$12*QAQC!Q188+'Calibration-S40 to end'!$I$13</f>
        <v>213.20735181999996</v>
      </c>
      <c r="AJ188" s="13">
        <f t="shared" si="17"/>
        <v>213.20735181999996</v>
      </c>
      <c r="AK188" s="9"/>
      <c r="AL188" s="6"/>
      <c r="AM188" s="12">
        <f>ABS(100*ABS(AJ188-AJ187)/AVERAGE(AJ188,AJ187))</f>
        <v>3.1014867875310461</v>
      </c>
      <c r="AN188" s="14" t="str">
        <f>IF(AJ188&gt;10, (IF((AND(AM188&gt;=0,AM188&lt;=20)=TRUE),"PASS","FAIL")),(IF((AND(AM188&gt;=0,AM188&lt;=50)=TRUE),"PASS","FAIL")))</f>
        <v>PASS</v>
      </c>
      <c r="AO188" s="12"/>
      <c r="AQ188" s="6"/>
      <c r="AR188" s="6">
        <v>182</v>
      </c>
      <c r="AS188" s="6"/>
    </row>
    <row r="189" spans="1:64" ht="15.75" customHeight="1" x14ac:dyDescent="0.2">
      <c r="A189" s="10">
        <v>46085</v>
      </c>
      <c r="B189" s="11">
        <v>0.59751157407407407</v>
      </c>
      <c r="C189" s="1" t="s">
        <v>122</v>
      </c>
      <c r="D189" s="1" t="s">
        <v>192</v>
      </c>
      <c r="E189" s="1">
        <v>135</v>
      </c>
      <c r="F189" s="1" t="s">
        <v>46</v>
      </c>
      <c r="G189" s="1">
        <v>1</v>
      </c>
      <c r="H189" s="1">
        <v>1</v>
      </c>
      <c r="I189" s="1" t="s">
        <v>47</v>
      </c>
      <c r="J189" s="1" t="s">
        <v>48</v>
      </c>
      <c r="K189" s="1">
        <v>5.5899999999999998E-2</v>
      </c>
      <c r="L189" s="1">
        <v>1.28</v>
      </c>
      <c r="M189" s="1">
        <v>29.2</v>
      </c>
      <c r="N189" s="1" t="s">
        <v>49</v>
      </c>
      <c r="O189" s="1" t="s">
        <v>50</v>
      </c>
      <c r="P189" s="1">
        <v>1.56</v>
      </c>
      <c r="Q189" s="1">
        <v>19.8</v>
      </c>
      <c r="R189" s="1">
        <v>2010</v>
      </c>
      <c r="T189" s="6">
        <v>1</v>
      </c>
      <c r="U189" s="6">
        <v>1</v>
      </c>
      <c r="V189" s="6"/>
      <c r="W189" s="12">
        <f t="shared" si="12"/>
        <v>29.2</v>
      </c>
      <c r="X189" s="7">
        <f>'Calibration-S40 to end'!$U$11*(QAQC!L189^2)+'Calibration-S40 to end'!$U$12*QAQC!L189+'Calibration-S40 to end'!$U$13</f>
        <v>25.360252319999997</v>
      </c>
      <c r="Y189" s="7">
        <f t="shared" si="14"/>
        <v>25.360252319999997</v>
      </c>
      <c r="Z189" s="6"/>
      <c r="AA189" s="6"/>
      <c r="AB189" s="12"/>
      <c r="AC189" s="14"/>
      <c r="AF189" s="6">
        <v>1</v>
      </c>
      <c r="AG189" s="6"/>
      <c r="AH189" s="6">
        <f t="shared" si="15"/>
        <v>2010</v>
      </c>
      <c r="AI189" s="13">
        <f>'Calibration-S40 to end'!$I$11*(QAQC!Q189^2)+'Calibration-S40 to end'!$I$12*QAQC!Q189+'Calibration-S40 to end'!$I$13</f>
        <v>1138.9635920000003</v>
      </c>
      <c r="AJ189" s="13">
        <f t="shared" si="17"/>
        <v>1138.9635920000003</v>
      </c>
      <c r="AK189" s="9"/>
      <c r="AL189" s="6"/>
      <c r="AM189" s="12"/>
      <c r="AN189" s="14"/>
      <c r="AO189" s="12"/>
      <c r="AP189" s="14"/>
      <c r="AQ189" s="6"/>
      <c r="AR189" s="6">
        <v>183</v>
      </c>
      <c r="AS189" s="6"/>
    </row>
    <row r="190" spans="1:64" ht="15.75" customHeight="1" x14ac:dyDescent="0.2">
      <c r="A190" s="10">
        <v>46085</v>
      </c>
      <c r="B190" s="11">
        <v>0.59840277777777773</v>
      </c>
      <c r="C190" s="1" t="s">
        <v>122</v>
      </c>
      <c r="D190" s="1" t="s">
        <v>193</v>
      </c>
      <c r="E190" s="1">
        <v>136</v>
      </c>
      <c r="F190" s="1" t="s">
        <v>46</v>
      </c>
      <c r="G190" s="1">
        <v>1</v>
      </c>
      <c r="H190" s="1">
        <v>1</v>
      </c>
      <c r="I190" s="1" t="s">
        <v>47</v>
      </c>
      <c r="J190" s="1" t="s">
        <v>48</v>
      </c>
      <c r="K190" s="1">
        <v>0.14699999999999999</v>
      </c>
      <c r="L190" s="1">
        <v>2.9</v>
      </c>
      <c r="M190" s="1">
        <v>85.9</v>
      </c>
      <c r="N190" s="1" t="s">
        <v>49</v>
      </c>
      <c r="O190" s="1" t="s">
        <v>50</v>
      </c>
      <c r="P190" s="1">
        <v>0.92300000000000004</v>
      </c>
      <c r="Q190" s="1">
        <v>12.2</v>
      </c>
      <c r="R190" s="1">
        <v>1230</v>
      </c>
      <c r="S190" s="6"/>
      <c r="T190" s="6">
        <v>1</v>
      </c>
      <c r="U190" s="6">
        <v>1</v>
      </c>
      <c r="V190" s="6"/>
      <c r="W190" s="12">
        <f t="shared" si="12"/>
        <v>85.9</v>
      </c>
      <c r="X190" s="7">
        <f>'Calibration-S40 to end'!$U$11*(QAQC!L190^2)+'Calibration-S40 to end'!$U$12*QAQC!L190+'Calibration-S40 to end'!$U$13</f>
        <v>73.695242999999991</v>
      </c>
      <c r="Y190" s="7">
        <f t="shared" si="14"/>
        <v>73.695242999999991</v>
      </c>
      <c r="Z190" s="6"/>
      <c r="AA190" s="6"/>
      <c r="AB190" s="12"/>
      <c r="AC190" s="14"/>
      <c r="AF190" s="6">
        <v>3</v>
      </c>
      <c r="AG190" s="6" t="s">
        <v>194</v>
      </c>
      <c r="AH190" s="6">
        <f t="shared" si="15"/>
        <v>1230</v>
      </c>
      <c r="AI190" s="13">
        <f>'Calibration-S40 to end'!$I$11*(QAQC!Q190^2)+'Calibration-S40 to end'!$I$12*QAQC!Q190+'Calibration-S40 to end'!$I$13</f>
        <v>741.62267200000008</v>
      </c>
      <c r="AJ190" s="13">
        <f t="shared" si="17"/>
        <v>741.62267200000008</v>
      </c>
      <c r="AK190" s="9"/>
      <c r="AL190" s="6"/>
      <c r="AM190" s="12"/>
      <c r="AN190" s="14"/>
      <c r="AO190" s="12"/>
      <c r="AP190" s="14"/>
      <c r="AQ190" s="6"/>
      <c r="AR190" s="6">
        <v>184</v>
      </c>
      <c r="AS190" s="6"/>
    </row>
    <row r="191" spans="1:64" ht="15.75" customHeight="1" x14ac:dyDescent="0.2">
      <c r="A191" s="10">
        <v>46085</v>
      </c>
      <c r="B191" s="11">
        <v>0.5992939814814815</v>
      </c>
      <c r="C191" s="1" t="s">
        <v>122</v>
      </c>
      <c r="D191" s="1" t="s">
        <v>195</v>
      </c>
      <c r="E191" s="1">
        <v>137</v>
      </c>
      <c r="F191" s="1" t="s">
        <v>46</v>
      </c>
      <c r="G191" s="1">
        <v>1</v>
      </c>
      <c r="H191" s="1">
        <v>1</v>
      </c>
      <c r="I191" s="1" t="s">
        <v>47</v>
      </c>
      <c r="J191" s="1" t="s">
        <v>48</v>
      </c>
      <c r="K191" s="1">
        <v>0.13400000000000001</v>
      </c>
      <c r="L191" s="1">
        <v>2.63</v>
      </c>
      <c r="M191" s="1">
        <v>76.400000000000006</v>
      </c>
      <c r="N191" s="1" t="s">
        <v>49</v>
      </c>
      <c r="O191" s="1" t="s">
        <v>50</v>
      </c>
      <c r="P191" s="1">
        <v>0.90500000000000003</v>
      </c>
      <c r="Q191" s="1">
        <v>11.8</v>
      </c>
      <c r="R191" s="1">
        <v>1190</v>
      </c>
      <c r="S191" s="6"/>
      <c r="T191" s="6">
        <v>1</v>
      </c>
      <c r="U191" s="6">
        <v>1</v>
      </c>
      <c r="V191" s="6"/>
      <c r="W191" s="12">
        <f t="shared" si="12"/>
        <v>76.400000000000006</v>
      </c>
      <c r="X191" s="7">
        <f>'Calibration-S40 to end'!$U$11*(QAQC!L191^2)+'Calibration-S40 to end'!$U$12*QAQC!L191+'Calibration-S40 to end'!$U$13</f>
        <v>65.771615369999992</v>
      </c>
      <c r="Y191" s="7">
        <f t="shared" si="14"/>
        <v>65.771615369999992</v>
      </c>
      <c r="AB191" s="12"/>
      <c r="AD191" s="14"/>
      <c r="AE191" s="14"/>
      <c r="AF191" s="6">
        <v>1</v>
      </c>
      <c r="AG191" s="6"/>
      <c r="AH191" s="6">
        <f t="shared" si="15"/>
        <v>1190</v>
      </c>
      <c r="AI191" s="13">
        <f>'Calibration-S40 to end'!$I$11*(QAQC!Q191^2)+'Calibration-S40 to end'!$I$12*QAQC!Q191+'Calibration-S40 to end'!$I$13</f>
        <v>718.01495200000011</v>
      </c>
      <c r="AJ191" s="13">
        <f t="shared" si="17"/>
        <v>718.01495200000011</v>
      </c>
      <c r="AK191" s="9"/>
      <c r="AL191" s="6"/>
      <c r="AM191" s="12"/>
      <c r="AO191" s="12"/>
      <c r="AP191" s="14"/>
      <c r="AQ191" s="6"/>
      <c r="AR191" s="6">
        <v>185</v>
      </c>
      <c r="AS191" s="6"/>
    </row>
    <row r="192" spans="1:64" ht="15.75" customHeight="1" x14ac:dyDescent="0.2">
      <c r="A192" s="10">
        <v>46085</v>
      </c>
      <c r="B192" s="11">
        <v>0.60018518518518515</v>
      </c>
      <c r="C192" s="1" t="s">
        <v>122</v>
      </c>
      <c r="D192" s="1" t="s">
        <v>196</v>
      </c>
      <c r="E192" s="1">
        <v>138</v>
      </c>
      <c r="F192" s="1" t="s">
        <v>46</v>
      </c>
      <c r="G192" s="1">
        <v>1</v>
      </c>
      <c r="H192" s="1">
        <v>1</v>
      </c>
      <c r="I192" s="1" t="s">
        <v>47</v>
      </c>
      <c r="J192" s="1" t="s">
        <v>48</v>
      </c>
      <c r="K192" s="1">
        <v>6.3100000000000003E-2</v>
      </c>
      <c r="L192" s="1">
        <v>1.44</v>
      </c>
      <c r="M192" s="1">
        <v>34.799999999999997</v>
      </c>
      <c r="N192" s="1" t="s">
        <v>49</v>
      </c>
      <c r="O192" s="1" t="s">
        <v>50</v>
      </c>
      <c r="P192" s="1">
        <v>1.52</v>
      </c>
      <c r="Q192" s="1">
        <v>19.3</v>
      </c>
      <c r="R192" s="1">
        <v>1960</v>
      </c>
      <c r="S192" s="6"/>
      <c r="T192" s="6">
        <v>1</v>
      </c>
      <c r="U192" s="6">
        <v>1</v>
      </c>
      <c r="V192" s="6"/>
      <c r="W192" s="12">
        <f t="shared" si="12"/>
        <v>34.799999999999997</v>
      </c>
      <c r="X192" s="7">
        <f>'Calibration-S40 to end'!$U$11*(QAQC!L192^2)+'Calibration-S40 to end'!$U$12*QAQC!L192+'Calibration-S40 to end'!$U$13</f>
        <v>30.218805279999994</v>
      </c>
      <c r="Y192" s="7">
        <f t="shared" si="14"/>
        <v>30.218805279999994</v>
      </c>
      <c r="Z192" s="6"/>
      <c r="AA192" s="6"/>
      <c r="AB192" s="12"/>
      <c r="AF192" s="6">
        <v>1</v>
      </c>
      <c r="AG192" s="6"/>
      <c r="AH192" s="6">
        <f t="shared" si="15"/>
        <v>1960</v>
      </c>
      <c r="AI192" s="13">
        <f>'Calibration-S40 to end'!$I$11*(QAQC!Q192^2)+'Calibration-S40 to end'!$I$12*QAQC!Q192+'Calibration-S40 to end'!$I$13</f>
        <v>1115.8125520000001</v>
      </c>
      <c r="AJ192" s="13">
        <f t="shared" si="17"/>
        <v>1115.8125520000001</v>
      </c>
      <c r="AK192" s="9"/>
      <c r="AL192" s="6"/>
      <c r="AM192" s="12"/>
      <c r="AO192" s="12"/>
      <c r="AP192" s="14"/>
      <c r="AQ192" s="6"/>
      <c r="AR192" s="6">
        <v>186</v>
      </c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</row>
    <row r="193" spans="1:64" ht="15.75" customHeight="1" x14ac:dyDescent="0.2">
      <c r="A193" s="10">
        <v>46085</v>
      </c>
      <c r="B193" s="11">
        <v>0.60108796296296296</v>
      </c>
      <c r="C193" s="1" t="s">
        <v>122</v>
      </c>
      <c r="D193" s="1" t="s">
        <v>197</v>
      </c>
      <c r="E193" s="1">
        <v>139</v>
      </c>
      <c r="F193" s="1" t="s">
        <v>84</v>
      </c>
      <c r="G193" s="1">
        <v>1</v>
      </c>
      <c r="H193" s="1">
        <v>1</v>
      </c>
      <c r="I193" s="1" t="s">
        <v>47</v>
      </c>
      <c r="J193" s="1" t="s">
        <v>48</v>
      </c>
      <c r="K193" s="1">
        <v>6.7100000000000007E-2</v>
      </c>
      <c r="L193" s="1">
        <v>1.48</v>
      </c>
      <c r="M193" s="1">
        <v>36.200000000000003</v>
      </c>
      <c r="N193" s="1" t="s">
        <v>49</v>
      </c>
      <c r="O193" s="1" t="s">
        <v>50</v>
      </c>
      <c r="P193" s="1">
        <v>0.6</v>
      </c>
      <c r="Q193" s="1">
        <v>7.8</v>
      </c>
      <c r="R193" s="1">
        <v>763</v>
      </c>
      <c r="S193" s="6"/>
      <c r="T193" s="6">
        <v>1</v>
      </c>
      <c r="U193" s="6">
        <v>2</v>
      </c>
      <c r="V193" s="6" t="s">
        <v>198</v>
      </c>
      <c r="W193" s="12">
        <f t="shared" si="12"/>
        <v>36.200000000000003</v>
      </c>
      <c r="X193" s="7">
        <f>'Calibration-S40 to end'!$U$11*(QAQC!L193^2)+'Calibration-S40 to end'!$U$12*QAQC!L193+'Calibration-S40 to end'!$U$13</f>
        <v>31.43054192</v>
      </c>
      <c r="Y193" s="7">
        <f t="shared" si="14"/>
        <v>31.43054192</v>
      </c>
      <c r="Z193" s="6"/>
      <c r="AA193" s="6"/>
      <c r="AB193" s="12"/>
      <c r="AC193" s="14"/>
      <c r="AD193" s="6"/>
      <c r="AE193" s="6"/>
      <c r="AF193" s="6">
        <v>2</v>
      </c>
      <c r="AG193" s="6" t="s">
        <v>199</v>
      </c>
      <c r="AH193" s="6">
        <f t="shared" si="15"/>
        <v>763</v>
      </c>
      <c r="AI193" s="13">
        <f>'Calibration-S40 to end'!$I$11*(QAQC!Q193^2)+'Calibration-S40 to end'!$I$12*QAQC!Q193+'Calibration-S40 to end'!$I$13</f>
        <v>467.11503200000004</v>
      </c>
      <c r="AJ193" s="13">
        <f t="shared" si="17"/>
        <v>467.11503200000004</v>
      </c>
      <c r="AK193" s="9"/>
      <c r="AL193" s="6"/>
      <c r="AM193" s="12"/>
      <c r="AN193" s="14"/>
      <c r="AO193" s="9"/>
      <c r="AP193" s="6"/>
      <c r="AQ193" s="6"/>
      <c r="AR193" s="6">
        <v>187</v>
      </c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</row>
    <row r="194" spans="1:64" ht="15.75" customHeight="1" x14ac:dyDescent="0.2">
      <c r="A194" s="10">
        <v>46085</v>
      </c>
      <c r="B194" s="11">
        <v>0.60196759259259258</v>
      </c>
      <c r="C194" s="1" t="s">
        <v>122</v>
      </c>
      <c r="D194" s="1" t="s">
        <v>200</v>
      </c>
      <c r="E194" s="1">
        <v>141</v>
      </c>
      <c r="F194" s="1" t="s">
        <v>84</v>
      </c>
      <c r="G194" s="1">
        <v>1</v>
      </c>
      <c r="H194" s="1">
        <v>1</v>
      </c>
      <c r="I194" s="1" t="s">
        <v>47</v>
      </c>
      <c r="J194" s="1" t="s">
        <v>48</v>
      </c>
      <c r="K194" s="1">
        <v>0.113</v>
      </c>
      <c r="L194" s="1">
        <v>2.3199999999999998</v>
      </c>
      <c r="M194" s="1">
        <v>65.599999999999994</v>
      </c>
      <c r="N194" s="1" t="s">
        <v>49</v>
      </c>
      <c r="O194" s="1" t="s">
        <v>50</v>
      </c>
      <c r="P194" s="1">
        <v>0.877</v>
      </c>
      <c r="Q194" s="1">
        <v>11.3</v>
      </c>
      <c r="R194" s="1">
        <v>1130</v>
      </c>
      <c r="S194" s="6"/>
      <c r="T194" s="6">
        <v>1</v>
      </c>
      <c r="U194" s="6">
        <v>2</v>
      </c>
      <c r="V194" s="6" t="s">
        <v>201</v>
      </c>
      <c r="W194" s="12">
        <f t="shared" si="12"/>
        <v>65.599999999999994</v>
      </c>
      <c r="X194" s="7">
        <f>'Calibration-S40 to end'!$U$11*(QAQC!L194^2)+'Calibration-S40 to end'!$U$12*QAQC!L194+'Calibration-S40 to end'!$U$13</f>
        <v>56.608903519999998</v>
      </c>
      <c r="Y194" s="7">
        <f t="shared" si="14"/>
        <v>56.608903519999998</v>
      </c>
      <c r="Z194" s="6"/>
      <c r="AA194" s="6"/>
      <c r="AB194" s="9"/>
      <c r="AC194" s="6"/>
      <c r="AD194" s="14">
        <f>100*((Y194*10250)-(Y193*10000))/(1000*250)</f>
        <v>106.37433675199999</v>
      </c>
      <c r="AE194" s="14" t="str">
        <f>IF(Y194&gt;30, (IF((AND(AD194&gt;=80,AD194&lt;=120)=TRUE),"PASS","FAIL")),(IF((AND(AD194&gt;=50,AD194&lt;=150)=TRUE),"PASS","FAIL")))</f>
        <v>PASS</v>
      </c>
      <c r="AF194" s="6">
        <v>2</v>
      </c>
      <c r="AG194" s="6" t="s">
        <v>202</v>
      </c>
      <c r="AH194" s="6">
        <f t="shared" si="15"/>
        <v>1130</v>
      </c>
      <c r="AI194" s="13">
        <f>'Calibration-S40 to end'!$I$11*(QAQC!Q194^2)+'Calibration-S40 to end'!$I$12*QAQC!Q194+'Calibration-S40 to end'!$I$13</f>
        <v>688.1263120000001</v>
      </c>
      <c r="AJ194" s="13">
        <f t="shared" si="17"/>
        <v>688.1263120000001</v>
      </c>
      <c r="AK194" s="9"/>
      <c r="AL194" s="6"/>
      <c r="AM194" s="9"/>
      <c r="AN194" s="6"/>
      <c r="AO194" s="12">
        <f>100*((AJ194*10250)-(AJ193*10000))/(1000*2500)</f>
        <v>95.285775120000011</v>
      </c>
      <c r="AP194" s="14" t="str">
        <f>IF(AJ194&gt;30, (IF((AND(AO194&gt;=80,AO194&lt;=120)=TRUE),"PASS","FAIL")),(IF((AND(AO194&gt;=50,AO194&lt;=150)=TRUE),"PASS","FAIL")))</f>
        <v>PASS</v>
      </c>
      <c r="AQ194" s="6"/>
      <c r="AR194" s="6">
        <v>188</v>
      </c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</row>
    <row r="195" spans="1:64" ht="15.75" customHeight="1" x14ac:dyDescent="0.2">
      <c r="A195" s="10">
        <v>46085</v>
      </c>
      <c r="B195" s="11">
        <v>0.60287037037037039</v>
      </c>
      <c r="C195" s="1" t="s">
        <v>122</v>
      </c>
      <c r="D195" s="1" t="s">
        <v>139</v>
      </c>
      <c r="E195" s="1" t="s">
        <v>56</v>
      </c>
      <c r="F195" s="1" t="s">
        <v>46</v>
      </c>
      <c r="G195" s="1">
        <v>1</v>
      </c>
      <c r="H195" s="1">
        <v>1</v>
      </c>
      <c r="I195" s="1" t="s">
        <v>47</v>
      </c>
      <c r="J195" s="1" t="s">
        <v>48</v>
      </c>
      <c r="K195" s="1">
        <v>0.13700000000000001</v>
      </c>
      <c r="L195" s="1">
        <v>1.67</v>
      </c>
      <c r="M195" s="1">
        <v>42.6</v>
      </c>
      <c r="N195" s="1" t="s">
        <v>49</v>
      </c>
      <c r="O195" s="1" t="s">
        <v>50</v>
      </c>
      <c r="P195" s="1">
        <v>4.96E-3</v>
      </c>
      <c r="Q195" s="1">
        <v>1.1299999999999999E-2</v>
      </c>
      <c r="R195" s="1">
        <v>-89</v>
      </c>
      <c r="S195" s="6"/>
      <c r="T195" s="6">
        <v>1</v>
      </c>
      <c r="U195" s="6">
        <v>1</v>
      </c>
      <c r="V195" s="6"/>
      <c r="W195" s="12">
        <f t="shared" si="12"/>
        <v>42.6</v>
      </c>
      <c r="X195" s="7">
        <f>'Calibration-S40 to end'!$U$11*(QAQC!L195^2)+'Calibration-S40 to end'!$U$12*QAQC!L195+'Calibration-S40 to end'!$U$13</f>
        <v>37.170440970000001</v>
      </c>
      <c r="Y195" s="7">
        <f t="shared" si="14"/>
        <v>37.170440970000001</v>
      </c>
      <c r="Z195" s="6"/>
      <c r="AA195" s="6"/>
      <c r="AB195" s="12"/>
      <c r="AC195" s="14"/>
      <c r="AD195" s="6"/>
      <c r="AE195" s="6"/>
      <c r="AF195" s="6">
        <v>1</v>
      </c>
      <c r="AG195" s="6"/>
      <c r="AH195" s="6">
        <f t="shared" si="15"/>
        <v>-89</v>
      </c>
      <c r="AI195" s="13">
        <f>'Calibration-S40 to end'!$I$11*(QAQC!Q195^2)+'Calibration-S40 to end'!$I$12*QAQC!Q195+'Calibration-S40 to end'!$I$13</f>
        <v>-98.760684810518001</v>
      </c>
      <c r="AJ195" s="13">
        <f t="shared" si="17"/>
        <v>-98.760684810518001</v>
      </c>
      <c r="AK195" s="9"/>
      <c r="AL195" s="6"/>
      <c r="AM195" s="12"/>
      <c r="AN195" s="14"/>
      <c r="AO195" s="9"/>
      <c r="AP195" s="6"/>
      <c r="AQ195" s="6"/>
      <c r="AR195" s="6">
        <v>189</v>
      </c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</row>
    <row r="196" spans="1:64" ht="15.75" customHeight="1" x14ac:dyDescent="0.2">
      <c r="A196" s="10">
        <v>46085</v>
      </c>
      <c r="B196" s="11">
        <v>0.60375000000000001</v>
      </c>
      <c r="C196" s="1" t="s">
        <v>122</v>
      </c>
      <c r="D196" s="1" t="s">
        <v>126</v>
      </c>
      <c r="E196" s="1">
        <v>18</v>
      </c>
      <c r="F196" s="1" t="s">
        <v>88</v>
      </c>
      <c r="G196" s="1">
        <v>1</v>
      </c>
      <c r="H196" s="1">
        <v>1</v>
      </c>
      <c r="I196" s="1" t="s">
        <v>47</v>
      </c>
      <c r="J196" s="1" t="s">
        <v>48</v>
      </c>
      <c r="K196" s="1">
        <v>5.4899999999999997E-2</v>
      </c>
      <c r="L196" s="1">
        <v>1.33</v>
      </c>
      <c r="M196" s="1">
        <v>30.9</v>
      </c>
      <c r="N196" s="1" t="s">
        <v>49</v>
      </c>
      <c r="O196" s="1" t="s">
        <v>50</v>
      </c>
      <c r="P196" s="1">
        <v>0.38500000000000001</v>
      </c>
      <c r="Q196" s="1">
        <v>5.12</v>
      </c>
      <c r="R196" s="1">
        <v>474</v>
      </c>
      <c r="T196" s="6">
        <v>1</v>
      </c>
      <c r="U196" s="6">
        <v>1</v>
      </c>
      <c r="V196" s="6"/>
      <c r="W196" s="12">
        <f t="shared" si="12"/>
        <v>30.9</v>
      </c>
      <c r="X196" s="7">
        <f>'Calibration-S40 to end'!$U$11*(QAQC!L196^2)+'Calibration-S40 to end'!$U$12*QAQC!L196+'Calibration-S40 to end'!$U$13</f>
        <v>26.880544969999999</v>
      </c>
      <c r="Y196" s="7">
        <f t="shared" si="14"/>
        <v>26.880544969999999</v>
      </c>
      <c r="Z196" s="6">
        <f>100*(Y196-25)/25</f>
        <v>7.5221798799999968</v>
      </c>
      <c r="AA196" s="6" t="str">
        <f>IF((ABS(Z196))&lt;=20,"PASS","FAIL")</f>
        <v>PASS</v>
      </c>
      <c r="AB196" s="9"/>
      <c r="AC196" s="6"/>
      <c r="AD196" s="14"/>
      <c r="AE196" s="14"/>
      <c r="AF196" s="6">
        <v>1</v>
      </c>
      <c r="AG196" s="6"/>
      <c r="AH196" s="6">
        <f t="shared" si="15"/>
        <v>474</v>
      </c>
      <c r="AI196" s="13">
        <f>'Calibration-S40 to end'!$I$11*(QAQC!Q196^2)+'Calibration-S40 to end'!$I$12*QAQC!Q196+'Calibration-S40 to end'!$I$13</f>
        <v>283.93468431999997</v>
      </c>
      <c r="AJ196" s="13">
        <f t="shared" si="17"/>
        <v>283.93468431999997</v>
      </c>
      <c r="AK196" s="9">
        <f>100*(AJ196-250)/250</f>
        <v>13.57387372799999</v>
      </c>
      <c r="AL196" s="6" t="str">
        <f>IF((ABS(AK196))&lt;=20,"PASS","FAIL")</f>
        <v>PASS</v>
      </c>
      <c r="AM196" s="9"/>
      <c r="AN196" s="6"/>
      <c r="AO196" s="12"/>
      <c r="AP196" s="14"/>
      <c r="AQ196" s="6"/>
      <c r="AR196" s="6">
        <v>190</v>
      </c>
      <c r="AS196" s="6"/>
    </row>
    <row r="197" spans="1:64" ht="15.75" customHeight="1" x14ac:dyDescent="0.2">
      <c r="A197" s="10">
        <v>46085</v>
      </c>
      <c r="B197" s="11">
        <v>0.60465277777777782</v>
      </c>
      <c r="C197" s="1" t="s">
        <v>122</v>
      </c>
      <c r="D197" s="1" t="s">
        <v>203</v>
      </c>
      <c r="E197" s="1">
        <v>142</v>
      </c>
      <c r="F197" s="1" t="s">
        <v>46</v>
      </c>
      <c r="G197" s="1">
        <v>1</v>
      </c>
      <c r="H197" s="1">
        <v>1</v>
      </c>
      <c r="I197" s="1" t="s">
        <v>47</v>
      </c>
      <c r="J197" s="1" t="s">
        <v>48</v>
      </c>
      <c r="K197" s="1">
        <v>5.3100000000000001E-2</v>
      </c>
      <c r="L197" s="1">
        <v>1.36</v>
      </c>
      <c r="M197" s="1">
        <v>31.8</v>
      </c>
      <c r="N197" s="1" t="s">
        <v>49</v>
      </c>
      <c r="O197" s="1" t="s">
        <v>50</v>
      </c>
      <c r="P197" s="1">
        <v>2.02</v>
      </c>
      <c r="Q197" s="1">
        <v>25.8</v>
      </c>
      <c r="R197" s="1">
        <v>2600</v>
      </c>
      <c r="T197" s="6">
        <v>1</v>
      </c>
      <c r="U197" s="6">
        <v>1</v>
      </c>
      <c r="V197" s="6"/>
      <c r="W197" s="12">
        <f t="shared" si="12"/>
        <v>31.8</v>
      </c>
      <c r="X197" s="7">
        <f>'Calibration-S40 to end'!$U$11*(QAQC!L197^2)+'Calibration-S40 to end'!$U$12*QAQC!L197+'Calibration-S40 to end'!$U$13</f>
        <v>27.79185008</v>
      </c>
      <c r="Y197" s="7">
        <f t="shared" si="14"/>
        <v>27.79185008</v>
      </c>
      <c r="Z197" s="6"/>
      <c r="AA197" s="6"/>
      <c r="AB197" s="12"/>
      <c r="AC197" s="14"/>
      <c r="AF197" s="6">
        <v>1</v>
      </c>
      <c r="AG197" s="6"/>
      <c r="AH197" s="6">
        <f t="shared" si="15"/>
        <v>2600</v>
      </c>
      <c r="AI197" s="13">
        <f>'Calibration-S40 to end'!$I$11*(QAQC!Q197^2)+'Calibration-S40 to end'!$I$12*QAQC!Q197+'Calibration-S40 to end'!$I$13</f>
        <v>1383.9302720000003</v>
      </c>
      <c r="AJ197" s="13">
        <f t="shared" si="17"/>
        <v>1383.9302720000003</v>
      </c>
      <c r="AK197" s="9"/>
      <c r="AL197" s="6"/>
      <c r="AM197" s="12"/>
      <c r="AN197" s="14"/>
      <c r="AO197" s="12"/>
      <c r="AP197" s="14"/>
      <c r="AQ197" s="6"/>
      <c r="AR197" s="6">
        <v>191</v>
      </c>
      <c r="AS197" s="6"/>
    </row>
    <row r="198" spans="1:64" ht="15.75" customHeight="1" x14ac:dyDescent="0.2">
      <c r="A198" s="10">
        <v>46085</v>
      </c>
      <c r="B198" s="11">
        <v>0.60554398148148147</v>
      </c>
      <c r="C198" s="1" t="s">
        <v>122</v>
      </c>
      <c r="D198" s="1" t="s">
        <v>204</v>
      </c>
      <c r="E198" s="1">
        <v>143</v>
      </c>
      <c r="F198" s="1" t="s">
        <v>46</v>
      </c>
      <c r="G198" s="1">
        <v>1</v>
      </c>
      <c r="H198" s="1">
        <v>1</v>
      </c>
      <c r="I198" s="1" t="s">
        <v>47</v>
      </c>
      <c r="J198" s="1" t="s">
        <v>48</v>
      </c>
      <c r="K198" s="1">
        <v>5.9400000000000001E-2</v>
      </c>
      <c r="L198" s="1">
        <v>1.41</v>
      </c>
      <c r="M198" s="1">
        <v>33.700000000000003</v>
      </c>
      <c r="N198" s="1" t="s">
        <v>49</v>
      </c>
      <c r="O198" s="1" t="s">
        <v>50</v>
      </c>
      <c r="P198" s="1">
        <v>0.86499999999999999</v>
      </c>
      <c r="Q198" s="1">
        <v>11.2</v>
      </c>
      <c r="R198" s="1">
        <v>1120</v>
      </c>
      <c r="T198" s="6">
        <v>1</v>
      </c>
      <c r="U198" s="6">
        <v>1</v>
      </c>
      <c r="V198" s="6"/>
      <c r="W198" s="12">
        <f t="shared" si="12"/>
        <v>33.700000000000003</v>
      </c>
      <c r="X198" s="7">
        <f>'Calibration-S40 to end'!$U$11*(QAQC!L198^2)+'Calibration-S40 to end'!$U$12*QAQC!L198+'Calibration-S40 to end'!$U$13</f>
        <v>29.309241129999993</v>
      </c>
      <c r="Y198" s="7">
        <f t="shared" si="14"/>
        <v>29.309241129999993</v>
      </c>
      <c r="Z198" s="6"/>
      <c r="AA198" s="6"/>
      <c r="AB198" s="12"/>
      <c r="AC198" s="14"/>
      <c r="AD198" s="14"/>
      <c r="AE198" s="14"/>
      <c r="AF198" s="6">
        <v>1</v>
      </c>
      <c r="AG198" s="6"/>
      <c r="AH198" s="6">
        <f t="shared" si="15"/>
        <v>1120</v>
      </c>
      <c r="AI198" s="13">
        <f>'Calibration-S40 to end'!$I$11*(QAQC!Q198^2)+'Calibration-S40 to end'!$I$12*QAQC!Q198+'Calibration-S40 to end'!$I$13</f>
        <v>682.09805199999994</v>
      </c>
      <c r="AJ198" s="13">
        <f t="shared" si="17"/>
        <v>682.09805199999994</v>
      </c>
      <c r="AK198" s="9"/>
      <c r="AL198" s="6"/>
      <c r="AM198" s="12"/>
      <c r="AN198" s="14"/>
      <c r="AO198" s="12"/>
      <c r="AP198" s="14"/>
      <c r="AQ198" s="6"/>
      <c r="AR198" s="6">
        <v>192</v>
      </c>
      <c r="AS198" s="6"/>
    </row>
    <row r="199" spans="1:64" ht="15.75" customHeight="1" x14ac:dyDescent="0.2">
      <c r="A199" s="10">
        <v>46085</v>
      </c>
      <c r="B199" s="11">
        <v>0.60643518518518513</v>
      </c>
      <c r="C199" s="1" t="s">
        <v>122</v>
      </c>
      <c r="D199" s="1" t="s">
        <v>205</v>
      </c>
      <c r="E199" s="1">
        <v>144</v>
      </c>
      <c r="F199" s="1" t="s">
        <v>46</v>
      </c>
      <c r="G199" s="1">
        <v>1</v>
      </c>
      <c r="H199" s="1">
        <v>1</v>
      </c>
      <c r="I199" s="1" t="s">
        <v>47</v>
      </c>
      <c r="J199" s="1" t="s">
        <v>48</v>
      </c>
      <c r="K199" s="1">
        <v>4.99E-2</v>
      </c>
      <c r="L199" s="1">
        <v>1.24</v>
      </c>
      <c r="M199" s="1">
        <v>27.7</v>
      </c>
      <c r="N199" s="1" t="s">
        <v>49</v>
      </c>
      <c r="O199" s="1" t="s">
        <v>50</v>
      </c>
      <c r="P199" s="1">
        <v>0.42299999999999999</v>
      </c>
      <c r="Q199" s="1">
        <v>5.47</v>
      </c>
      <c r="R199" s="1">
        <v>512</v>
      </c>
      <c r="T199" s="6">
        <v>1</v>
      </c>
      <c r="U199" s="6">
        <v>1</v>
      </c>
      <c r="V199" s="6"/>
      <c r="W199" s="12">
        <f t="shared" si="12"/>
        <v>27.7</v>
      </c>
      <c r="X199" s="7">
        <f>'Calibration-S40 to end'!$U$11*(QAQC!L199^2)+'Calibration-S40 to end'!$U$12*QAQC!L199+'Calibration-S40 to end'!$U$13</f>
        <v>24.142712479999997</v>
      </c>
      <c r="Y199" s="7">
        <f t="shared" si="14"/>
        <v>24.142712479999997</v>
      </c>
      <c r="Z199" s="6"/>
      <c r="AA199" s="6"/>
      <c r="AB199" s="12"/>
      <c r="AC199" s="14"/>
      <c r="AD199" s="14"/>
      <c r="AE199" s="14"/>
      <c r="AF199" s="6">
        <v>1</v>
      </c>
      <c r="AG199" s="6"/>
      <c r="AH199" s="6">
        <f t="shared" si="15"/>
        <v>512</v>
      </c>
      <c r="AI199" s="13">
        <f>'Calibration-S40 to end'!$I$11*(QAQC!Q199^2)+'Calibration-S40 to end'!$I$12*QAQC!Q199+'Calibration-S40 to end'!$I$13</f>
        <v>308.54430502000002</v>
      </c>
      <c r="AJ199" s="13">
        <f t="shared" si="17"/>
        <v>308.54430502000002</v>
      </c>
      <c r="AK199" s="9"/>
      <c r="AL199" s="6"/>
      <c r="AM199" s="12"/>
      <c r="AN199" s="14"/>
      <c r="AO199" s="12"/>
      <c r="AP199" s="14"/>
      <c r="AQ199" s="6"/>
      <c r="AR199" s="6">
        <v>193</v>
      </c>
      <c r="AS199" s="6"/>
    </row>
    <row r="200" spans="1:64" ht="15.75" customHeight="1" x14ac:dyDescent="0.2">
      <c r="A200" s="10">
        <v>46085</v>
      </c>
      <c r="B200" s="11">
        <v>0.6073263888888889</v>
      </c>
      <c r="C200" s="1" t="s">
        <v>122</v>
      </c>
      <c r="D200" s="1" t="s">
        <v>206</v>
      </c>
      <c r="E200" s="1">
        <v>145</v>
      </c>
      <c r="F200" s="1" t="s">
        <v>46</v>
      </c>
      <c r="G200" s="1">
        <v>1</v>
      </c>
      <c r="H200" s="1">
        <v>1</v>
      </c>
      <c r="I200" s="1" t="s">
        <v>47</v>
      </c>
      <c r="J200" s="1" t="s">
        <v>48</v>
      </c>
      <c r="K200" s="1">
        <v>0.11700000000000001</v>
      </c>
      <c r="L200" s="1">
        <v>2.5</v>
      </c>
      <c r="M200" s="1">
        <v>72</v>
      </c>
      <c r="N200" s="1" t="s">
        <v>49</v>
      </c>
      <c r="O200" s="1" t="s">
        <v>50</v>
      </c>
      <c r="P200" s="1">
        <v>1.1100000000000001</v>
      </c>
      <c r="Q200" s="1">
        <v>14.2</v>
      </c>
      <c r="R200" s="1">
        <v>1430</v>
      </c>
      <c r="T200" s="6">
        <v>1</v>
      </c>
      <c r="U200" s="6">
        <v>1</v>
      </c>
      <c r="V200" s="6"/>
      <c r="W200" s="12">
        <f t="shared" si="12"/>
        <v>72</v>
      </c>
      <c r="X200" s="7">
        <f>'Calibration-S40 to end'!$U$11*(QAQC!L200^2)+'Calibration-S40 to end'!$U$12*QAQC!L200+'Calibration-S40 to end'!$U$13</f>
        <v>61.937674999999999</v>
      </c>
      <c r="Y200" s="7">
        <f t="shared" si="14"/>
        <v>61.937674999999999</v>
      </c>
      <c r="Z200" s="6"/>
      <c r="AA200" s="6"/>
      <c r="AB200" s="9"/>
      <c r="AC200" s="6"/>
      <c r="AD200" s="6"/>
      <c r="AE200" s="6"/>
      <c r="AF200" s="6">
        <v>1</v>
      </c>
      <c r="AG200" s="6"/>
      <c r="AH200" s="6">
        <f t="shared" si="15"/>
        <v>1430</v>
      </c>
      <c r="AI200" s="13">
        <f>'Calibration-S40 to end'!$I$11*(QAQC!Q200^2)+'Calibration-S40 to end'!$I$12*QAQC!Q200+'Calibration-S40 to end'!$I$13</f>
        <v>855.61871200000007</v>
      </c>
      <c r="AJ200" s="13">
        <f t="shared" si="17"/>
        <v>855.61871200000007</v>
      </c>
      <c r="AK200" s="9"/>
      <c r="AL200" s="6"/>
      <c r="AM200" s="9"/>
      <c r="AN200" s="6"/>
      <c r="AO200" s="12"/>
      <c r="AP200" s="14"/>
      <c r="AQ200" s="6"/>
      <c r="AR200" s="6">
        <v>194</v>
      </c>
      <c r="AS200" s="6"/>
    </row>
    <row r="201" spans="1:64" ht="15.75" customHeight="1" x14ac:dyDescent="0.2">
      <c r="A201" s="10">
        <v>46085</v>
      </c>
      <c r="B201" s="11">
        <v>0.60821759259259256</v>
      </c>
      <c r="C201" s="1" t="s">
        <v>122</v>
      </c>
      <c r="D201" s="1" t="s">
        <v>207</v>
      </c>
      <c r="E201" s="1">
        <v>146</v>
      </c>
      <c r="F201" s="1" t="s">
        <v>75</v>
      </c>
      <c r="G201" s="1">
        <v>1</v>
      </c>
      <c r="H201" s="1">
        <v>1</v>
      </c>
      <c r="I201" s="1" t="s">
        <v>47</v>
      </c>
      <c r="J201" s="1" t="s">
        <v>48</v>
      </c>
      <c r="K201" s="1">
        <v>4.2500000000000003E-2</v>
      </c>
      <c r="L201" s="1">
        <v>0.67400000000000004</v>
      </c>
      <c r="M201" s="1">
        <v>8.0299999999999994</v>
      </c>
      <c r="N201" s="1" t="s">
        <v>49</v>
      </c>
      <c r="O201" s="1" t="s">
        <v>50</v>
      </c>
      <c r="P201" s="1">
        <v>0.32100000000000001</v>
      </c>
      <c r="Q201" s="1">
        <v>4.25</v>
      </c>
      <c r="R201" s="1">
        <v>378</v>
      </c>
      <c r="S201" s="6"/>
      <c r="T201" s="6">
        <v>1</v>
      </c>
      <c r="U201" s="6">
        <v>1</v>
      </c>
      <c r="V201" s="6"/>
      <c r="W201" s="12">
        <f t="shared" si="12"/>
        <v>8.0299999999999994</v>
      </c>
      <c r="X201" s="7">
        <f>'Calibration-S40 to end'!$U$11*(QAQC!L201^2)+'Calibration-S40 to end'!$U$12*QAQC!L201+'Calibration-S40 to end'!$U$13</f>
        <v>6.7901190948000014</v>
      </c>
      <c r="Y201" s="7">
        <f t="shared" si="14"/>
        <v>6.7901190948000014</v>
      </c>
      <c r="Z201" s="6"/>
      <c r="AA201" s="6"/>
      <c r="AB201" s="12"/>
      <c r="AC201" s="14"/>
      <c r="AF201" s="6">
        <v>3</v>
      </c>
      <c r="AG201" s="6" t="s">
        <v>208</v>
      </c>
      <c r="AH201" s="6">
        <f t="shared" si="15"/>
        <v>378</v>
      </c>
      <c r="AI201" s="13">
        <f>'Calibration-S40 to end'!$I$11*(QAQC!Q201^2)+'Calibration-S40 to end'!$I$12*QAQC!Q201+'Calibration-S40 to end'!$I$13</f>
        <v>221.86828749999998</v>
      </c>
      <c r="AJ201" s="13">
        <f t="shared" si="17"/>
        <v>221.86828749999998</v>
      </c>
      <c r="AK201" s="9"/>
      <c r="AL201" s="6"/>
      <c r="AM201" s="12"/>
      <c r="AN201" s="14"/>
      <c r="AO201" s="12"/>
      <c r="AP201" s="14"/>
      <c r="AQ201" s="6"/>
      <c r="AR201" s="6">
        <v>195</v>
      </c>
      <c r="AS201" s="6"/>
    </row>
    <row r="202" spans="1:64" ht="15.75" customHeight="1" x14ac:dyDescent="0.2">
      <c r="A202" s="10">
        <v>46085</v>
      </c>
      <c r="B202" s="11">
        <v>0.60910879629629633</v>
      </c>
      <c r="C202" s="1" t="s">
        <v>122</v>
      </c>
      <c r="D202" s="1" t="s">
        <v>209</v>
      </c>
      <c r="E202" s="1">
        <v>152</v>
      </c>
      <c r="F202" s="1" t="s">
        <v>75</v>
      </c>
      <c r="G202" s="1">
        <v>1</v>
      </c>
      <c r="H202" s="1">
        <v>1</v>
      </c>
      <c r="I202" s="1" t="s">
        <v>47</v>
      </c>
      <c r="J202" s="1" t="s">
        <v>48</v>
      </c>
      <c r="K202" s="1">
        <v>2.5100000000000001E-2</v>
      </c>
      <c r="L202" s="1">
        <v>0.621</v>
      </c>
      <c r="M202" s="1">
        <v>6.19</v>
      </c>
      <c r="N202" s="1" t="s">
        <v>49</v>
      </c>
      <c r="O202" s="1" t="s">
        <v>50</v>
      </c>
      <c r="P202" s="1">
        <v>0.33100000000000002</v>
      </c>
      <c r="Q202" s="1">
        <v>4.42</v>
      </c>
      <c r="R202" s="1">
        <v>397</v>
      </c>
      <c r="T202" s="6">
        <v>1</v>
      </c>
      <c r="U202" s="6">
        <v>1</v>
      </c>
      <c r="V202" s="6"/>
      <c r="W202" s="12">
        <f t="shared" si="12"/>
        <v>6.19</v>
      </c>
      <c r="X202" s="7">
        <f>'Calibration-S40 to end'!$U$11*(QAQC!L202^2)+'Calibration-S40 to end'!$U$12*QAQC!L202+'Calibration-S40 to end'!$U$13</f>
        <v>5.1533305092999981</v>
      </c>
      <c r="Y202" s="7">
        <f t="shared" si="14"/>
        <v>5.1533305092999981</v>
      </c>
      <c r="Z202" s="6"/>
      <c r="AA202" s="6"/>
      <c r="AB202" s="12">
        <f>ABS(100*ABS(Y202-Y201)/AVERAGE(Y202,Y201))</f>
        <v>27.408975459453846</v>
      </c>
      <c r="AC202" s="14" t="str">
        <f>IF(Y202&gt;10, (IF((AND(AB202&gt;=0,AB202&lt;=20)=TRUE),"PASS","FAIL")),(IF((AND(AB202&gt;=0,AB202&lt;=50)=TRUE),"PASS","FAIL")))</f>
        <v>PASS</v>
      </c>
      <c r="AD202" s="6"/>
      <c r="AE202" s="6"/>
      <c r="AF202" s="6">
        <v>1</v>
      </c>
      <c r="AG202" s="6"/>
      <c r="AH202" s="6">
        <f t="shared" si="15"/>
        <v>397</v>
      </c>
      <c r="AI202" s="13">
        <f>'Calibration-S40 to end'!$I$11*(QAQC!Q202^2)+'Calibration-S40 to end'!$I$12*QAQC!Q202+'Calibration-S40 to end'!$I$13</f>
        <v>234.09642592000003</v>
      </c>
      <c r="AJ202" s="13">
        <f t="shared" si="17"/>
        <v>234.09642592000003</v>
      </c>
      <c r="AK202" s="9"/>
      <c r="AL202" s="6"/>
      <c r="AM202" s="12">
        <f>ABS(100*ABS(AJ202-AJ201)/AVERAGE(AJ202,AJ201))</f>
        <v>5.3636336585267372</v>
      </c>
      <c r="AN202" s="14" t="str">
        <f>IF(AJ202&gt;10, (IF((AND(AM202&gt;=0,AM202&lt;=20)=TRUE),"PASS","FAIL")),(IF((AND(AM202&gt;=0,AM202&lt;=50)=TRUE),"PASS","FAIL")))</f>
        <v>PASS</v>
      </c>
      <c r="AO202" s="9"/>
      <c r="AP202" s="6"/>
      <c r="AQ202" s="6"/>
      <c r="AR202" s="6">
        <v>196</v>
      </c>
      <c r="AS202" s="6"/>
    </row>
    <row r="203" spans="1:64" ht="15.75" customHeight="1" x14ac:dyDescent="0.2">
      <c r="A203" s="10">
        <v>46085</v>
      </c>
      <c r="B203" s="11">
        <v>0.61</v>
      </c>
      <c r="C203" s="1" t="s">
        <v>122</v>
      </c>
      <c r="D203" s="1" t="s">
        <v>210</v>
      </c>
      <c r="E203" s="1">
        <v>147</v>
      </c>
      <c r="F203" s="1" t="s">
        <v>46</v>
      </c>
      <c r="G203" s="1">
        <v>1</v>
      </c>
      <c r="H203" s="1">
        <v>1</v>
      </c>
      <c r="I203" s="1" t="s">
        <v>47</v>
      </c>
      <c r="J203" s="1" t="s">
        <v>48</v>
      </c>
      <c r="K203" s="1">
        <v>2.5999999999999999E-2</v>
      </c>
      <c r="L203" s="1">
        <v>0.70699999999999996</v>
      </c>
      <c r="M203" s="1">
        <v>9.16</v>
      </c>
      <c r="N203" s="1" t="s">
        <v>49</v>
      </c>
      <c r="O203" s="1" t="s">
        <v>50</v>
      </c>
      <c r="P203" s="1">
        <v>0.33200000000000002</v>
      </c>
      <c r="Q203" s="1">
        <v>4.43</v>
      </c>
      <c r="R203" s="1">
        <v>398</v>
      </c>
      <c r="T203" s="6">
        <v>1</v>
      </c>
      <c r="U203" s="6">
        <v>1</v>
      </c>
      <c r="V203" s="6"/>
      <c r="W203" s="12">
        <f t="shared" si="12"/>
        <v>9.16</v>
      </c>
      <c r="X203" s="7">
        <f>'Calibration-S40 to end'!$U$11*(QAQC!L203^2)+'Calibration-S40 to end'!$U$12*QAQC!L203+'Calibration-S40 to end'!$U$13</f>
        <v>7.8082222676999997</v>
      </c>
      <c r="Y203" s="7">
        <f t="shared" si="14"/>
        <v>7.8082222676999997</v>
      </c>
      <c r="Z203" s="6"/>
      <c r="AA203" s="6"/>
      <c r="AB203" s="9"/>
      <c r="AC203" s="6"/>
      <c r="AD203" s="14"/>
      <c r="AE203" s="14"/>
      <c r="AF203" s="6">
        <v>1</v>
      </c>
      <c r="AG203" s="6"/>
      <c r="AH203" s="6">
        <f t="shared" si="15"/>
        <v>398</v>
      </c>
      <c r="AI203" s="13">
        <f>'Calibration-S40 to end'!$I$11*(QAQC!Q203^2)+'Calibration-S40 to end'!$I$12*QAQC!Q203+'Calibration-S40 to end'!$I$13</f>
        <v>234.81421221999997</v>
      </c>
      <c r="AJ203" s="13">
        <f t="shared" si="17"/>
        <v>234.81421221999997</v>
      </c>
      <c r="AK203" s="9"/>
      <c r="AL203" s="6"/>
      <c r="AM203" s="9"/>
      <c r="AN203" s="6"/>
      <c r="AO203" s="12"/>
      <c r="AP203" s="14"/>
      <c r="AQ203" s="6"/>
      <c r="AR203" s="6">
        <v>197</v>
      </c>
      <c r="AS203" s="6"/>
    </row>
    <row r="204" spans="1:64" ht="15.75" customHeight="1" x14ac:dyDescent="0.2">
      <c r="A204" s="10">
        <v>46085</v>
      </c>
      <c r="B204" s="11">
        <v>0.61089120370370376</v>
      </c>
      <c r="C204" s="1" t="s">
        <v>122</v>
      </c>
      <c r="D204" s="1" t="s">
        <v>211</v>
      </c>
      <c r="E204" s="1">
        <v>148</v>
      </c>
      <c r="F204" s="1" t="s">
        <v>46</v>
      </c>
      <c r="G204" s="1">
        <v>1</v>
      </c>
      <c r="H204" s="1">
        <v>1</v>
      </c>
      <c r="I204" s="1" t="s">
        <v>47</v>
      </c>
      <c r="J204" s="1" t="s">
        <v>48</v>
      </c>
      <c r="K204" s="1">
        <v>4.8800000000000003E-2</v>
      </c>
      <c r="L204" s="1">
        <v>1.1200000000000001</v>
      </c>
      <c r="M204" s="1">
        <v>23.7</v>
      </c>
      <c r="N204" s="1" t="s">
        <v>49</v>
      </c>
      <c r="O204" s="1" t="s">
        <v>50</v>
      </c>
      <c r="P204" s="1">
        <v>1.64</v>
      </c>
      <c r="Q204" s="1">
        <v>21</v>
      </c>
      <c r="R204" s="1">
        <v>2130</v>
      </c>
      <c r="T204" s="6">
        <v>1</v>
      </c>
      <c r="U204" s="6">
        <v>1</v>
      </c>
      <c r="V204" s="6"/>
      <c r="W204" s="12">
        <f t="shared" si="12"/>
        <v>23.7</v>
      </c>
      <c r="X204" s="7">
        <f>'Calibration-S40 to end'!$U$11*(QAQC!L204^2)+'Calibration-S40 to end'!$U$12*QAQC!L204+'Calibration-S40 to end'!$U$13</f>
        <v>20.483129120000005</v>
      </c>
      <c r="Y204" s="7">
        <f t="shared" si="14"/>
        <v>20.483129120000005</v>
      </c>
      <c r="Z204" s="6"/>
      <c r="AA204" s="6"/>
      <c r="AB204" s="12"/>
      <c r="AC204" s="14"/>
      <c r="AF204" s="6">
        <v>1</v>
      </c>
      <c r="AG204" s="6"/>
      <c r="AH204" s="6">
        <f t="shared" si="15"/>
        <v>2130</v>
      </c>
      <c r="AI204" s="13">
        <f>'Calibration-S40 to end'!$I$11*(QAQC!Q204^2)+'Calibration-S40 to end'!$I$12*QAQC!Q204+'Calibration-S40 to end'!$I$13</f>
        <v>1192.808</v>
      </c>
      <c r="AJ204" s="13">
        <f t="shared" si="17"/>
        <v>1192.808</v>
      </c>
      <c r="AK204" s="9"/>
      <c r="AL204" s="6"/>
      <c r="AM204" s="12"/>
      <c r="AN204" s="14"/>
      <c r="AO204" s="12"/>
      <c r="AP204" s="14"/>
      <c r="AQ204" s="6"/>
      <c r="AR204" s="6">
        <v>198</v>
      </c>
      <c r="AS204" s="6"/>
    </row>
    <row r="205" spans="1:64" ht="15.75" customHeight="1" x14ac:dyDescent="0.2">
      <c r="A205" s="10">
        <v>46085</v>
      </c>
      <c r="B205" s="11">
        <v>0.61178240740740741</v>
      </c>
      <c r="C205" s="1" t="s">
        <v>122</v>
      </c>
      <c r="D205" s="1" t="s">
        <v>212</v>
      </c>
      <c r="E205" s="1">
        <v>149</v>
      </c>
      <c r="F205" s="1" t="s">
        <v>46</v>
      </c>
      <c r="G205" s="1">
        <v>1</v>
      </c>
      <c r="H205" s="1">
        <v>1</v>
      </c>
      <c r="I205" s="1" t="s">
        <v>47</v>
      </c>
      <c r="J205" s="1" t="s">
        <v>48</v>
      </c>
      <c r="K205" s="1">
        <v>8.2500000000000004E-2</v>
      </c>
      <c r="L205" s="1">
        <v>1.74</v>
      </c>
      <c r="M205" s="1">
        <v>45.3</v>
      </c>
      <c r="N205" s="1" t="s">
        <v>49</v>
      </c>
      <c r="O205" s="1" t="s">
        <v>50</v>
      </c>
      <c r="P205" s="1">
        <v>0.98</v>
      </c>
      <c r="Q205" s="1">
        <v>12.7</v>
      </c>
      <c r="R205" s="1">
        <v>1280</v>
      </c>
      <c r="T205" s="6">
        <v>1</v>
      </c>
      <c r="U205" s="6">
        <v>1</v>
      </c>
      <c r="V205" s="6"/>
      <c r="W205" s="12">
        <f t="shared" si="12"/>
        <v>45.3</v>
      </c>
      <c r="X205" s="7">
        <f>'Calibration-S40 to end'!$U$11*(QAQC!L205^2)+'Calibration-S40 to end'!$U$12*QAQC!L205+'Calibration-S40 to end'!$U$13</f>
        <v>39.278539480000006</v>
      </c>
      <c r="Y205" s="7">
        <f t="shared" si="14"/>
        <v>39.278539480000006</v>
      </c>
      <c r="Z205" s="6"/>
      <c r="AA205" s="6"/>
      <c r="AB205" s="12"/>
      <c r="AD205" s="14"/>
      <c r="AE205" s="14"/>
      <c r="AF205" s="6">
        <v>1</v>
      </c>
      <c r="AG205" s="6"/>
      <c r="AH205" s="6">
        <f t="shared" si="15"/>
        <v>1280</v>
      </c>
      <c r="AI205" s="13">
        <f>'Calibration-S40 to end'!$I$11*(QAQC!Q205^2)+'Calibration-S40 to end'!$I$12*QAQC!Q205+'Calibration-S40 to end'!$I$13</f>
        <v>770.753332</v>
      </c>
      <c r="AJ205" s="13">
        <f t="shared" si="17"/>
        <v>770.753332</v>
      </c>
      <c r="AK205" s="9"/>
      <c r="AL205" s="6"/>
      <c r="AM205" s="12"/>
      <c r="AO205" s="12"/>
      <c r="AP205" s="14"/>
      <c r="AQ205" s="6"/>
      <c r="AR205" s="6">
        <v>199</v>
      </c>
      <c r="AS205" s="6"/>
    </row>
    <row r="206" spans="1:64" ht="15.75" customHeight="1" x14ac:dyDescent="0.2">
      <c r="A206" s="10">
        <v>46085</v>
      </c>
      <c r="B206" s="11">
        <v>0.61267361111111107</v>
      </c>
      <c r="C206" s="1" t="s">
        <v>122</v>
      </c>
      <c r="D206" s="1" t="s">
        <v>213</v>
      </c>
      <c r="E206" s="1">
        <v>150</v>
      </c>
      <c r="F206" s="1" t="s">
        <v>46</v>
      </c>
      <c r="G206" s="1">
        <v>1</v>
      </c>
      <c r="H206" s="1">
        <v>1</v>
      </c>
      <c r="I206" s="1" t="s">
        <v>47</v>
      </c>
      <c r="J206" s="1" t="s">
        <v>48</v>
      </c>
      <c r="K206" s="1">
        <v>0.105</v>
      </c>
      <c r="L206" s="1">
        <v>1.61</v>
      </c>
      <c r="M206" s="1">
        <v>40.6</v>
      </c>
      <c r="N206" s="1" t="s">
        <v>49</v>
      </c>
      <c r="O206" s="1" t="s">
        <v>50</v>
      </c>
      <c r="P206" s="1">
        <v>0.72499999999999998</v>
      </c>
      <c r="Q206" s="1">
        <v>7.77</v>
      </c>
      <c r="R206" s="1">
        <v>760</v>
      </c>
      <c r="T206" s="6">
        <v>1</v>
      </c>
      <c r="U206" s="6">
        <v>1</v>
      </c>
      <c r="V206" s="6"/>
      <c r="W206" s="12">
        <f t="shared" si="12"/>
        <v>40.6</v>
      </c>
      <c r="X206" s="7">
        <f>'Calibration-S40 to end'!$U$11*(QAQC!L206^2)+'Calibration-S40 to end'!$U$12*QAQC!L206+'Calibration-S40 to end'!$U$13</f>
        <v>35.360670330000005</v>
      </c>
      <c r="Y206" s="7">
        <f t="shared" si="14"/>
        <v>35.360670330000005</v>
      </c>
      <c r="Z206" s="6"/>
      <c r="AA206" s="6"/>
      <c r="AB206" s="12"/>
      <c r="AF206" s="6">
        <v>1</v>
      </c>
      <c r="AG206" s="6"/>
      <c r="AH206" s="6">
        <f t="shared" si="15"/>
        <v>760</v>
      </c>
      <c r="AI206" s="13">
        <f>'Calibration-S40 to end'!$I$11*(QAQC!Q206^2)+'Calibration-S40 to end'!$I$12*QAQC!Q206+'Calibration-S40 to end'!$I$13</f>
        <v>465.1314606200001</v>
      </c>
      <c r="AJ206" s="13">
        <f t="shared" si="17"/>
        <v>465.1314606200001</v>
      </c>
      <c r="AK206" s="9"/>
      <c r="AL206" s="6"/>
      <c r="AM206" s="12"/>
      <c r="AO206" s="12"/>
      <c r="AP206" s="14"/>
      <c r="AQ206" s="6"/>
      <c r="AR206" s="6">
        <v>200</v>
      </c>
      <c r="AS206" s="6"/>
    </row>
    <row r="207" spans="1:64" ht="15.75" customHeight="1" x14ac:dyDescent="0.2">
      <c r="A207" s="10">
        <v>46085</v>
      </c>
      <c r="B207" s="11">
        <v>0.61357638888888888</v>
      </c>
      <c r="C207" s="1" t="s">
        <v>122</v>
      </c>
      <c r="D207" s="1" t="s">
        <v>214</v>
      </c>
      <c r="E207" s="1">
        <v>151</v>
      </c>
      <c r="F207" s="1" t="s">
        <v>84</v>
      </c>
      <c r="G207" s="1">
        <v>1</v>
      </c>
      <c r="H207" s="1">
        <v>1</v>
      </c>
      <c r="I207" s="1" t="s">
        <v>47</v>
      </c>
      <c r="J207" s="1" t="s">
        <v>48</v>
      </c>
      <c r="K207" s="1">
        <v>6.13E-2</v>
      </c>
      <c r="L207" s="1">
        <v>1.33</v>
      </c>
      <c r="M207" s="1">
        <v>30.8</v>
      </c>
      <c r="N207" s="1" t="s">
        <v>49</v>
      </c>
      <c r="O207" s="1" t="s">
        <v>50</v>
      </c>
      <c r="P207" s="1">
        <v>1.96</v>
      </c>
      <c r="Q207" s="1">
        <v>24.9</v>
      </c>
      <c r="R207" s="1">
        <v>2520</v>
      </c>
      <c r="S207" s="6"/>
      <c r="T207" s="6">
        <v>1</v>
      </c>
      <c r="U207" s="6">
        <v>1</v>
      </c>
      <c r="V207" s="6"/>
      <c r="W207" s="12">
        <f t="shared" si="12"/>
        <v>30.8</v>
      </c>
      <c r="X207" s="7">
        <f>'Calibration-S40 to end'!$U$11*(QAQC!L207^2)+'Calibration-S40 to end'!$U$12*QAQC!L207+'Calibration-S40 to end'!$U$13</f>
        <v>26.880544969999999</v>
      </c>
      <c r="Y207" s="7">
        <f t="shared" si="14"/>
        <v>26.880544969999999</v>
      </c>
      <c r="Z207" s="6"/>
      <c r="AA207" s="6"/>
      <c r="AB207" s="12"/>
      <c r="AC207" s="14"/>
      <c r="AD207" s="6"/>
      <c r="AE207" s="6"/>
      <c r="AF207" s="6">
        <v>1</v>
      </c>
      <c r="AG207" s="6"/>
      <c r="AH207" s="6">
        <f t="shared" si="15"/>
        <v>2520</v>
      </c>
      <c r="AI207" s="13">
        <f>'Calibration-S40 to end'!$I$11*(QAQC!Q207^2)+'Calibration-S40 to end'!$I$12*QAQC!Q207+'Calibration-S40 to end'!$I$13</f>
        <v>1351.050968</v>
      </c>
      <c r="AJ207" s="13">
        <f t="shared" si="17"/>
        <v>1351.050968</v>
      </c>
      <c r="AK207" s="9"/>
      <c r="AL207" s="6"/>
      <c r="AM207" s="12"/>
      <c r="AN207" s="14"/>
      <c r="AO207" s="9"/>
      <c r="AP207" s="6"/>
      <c r="AQ207" s="6"/>
      <c r="AR207" s="6">
        <v>201</v>
      </c>
      <c r="AS207" s="6"/>
    </row>
    <row r="208" spans="1:64" ht="15.75" customHeight="1" x14ac:dyDescent="0.2">
      <c r="A208" s="10">
        <v>46085</v>
      </c>
      <c r="B208" s="11">
        <v>0.61446759259259254</v>
      </c>
      <c r="C208" s="1" t="s">
        <v>122</v>
      </c>
      <c r="D208" s="1" t="s">
        <v>215</v>
      </c>
      <c r="E208" s="1">
        <v>153</v>
      </c>
      <c r="F208" s="1" t="s">
        <v>84</v>
      </c>
      <c r="G208" s="1">
        <v>1</v>
      </c>
      <c r="H208" s="1">
        <v>1</v>
      </c>
      <c r="I208" s="1" t="s">
        <v>47</v>
      </c>
      <c r="J208" s="1" t="s">
        <v>48</v>
      </c>
      <c r="K208" s="1">
        <v>0.114</v>
      </c>
      <c r="L208" s="1">
        <v>2.37</v>
      </c>
      <c r="M208" s="1">
        <v>67.400000000000006</v>
      </c>
      <c r="N208" s="1" t="s">
        <v>49</v>
      </c>
      <c r="O208" s="1" t="s">
        <v>50</v>
      </c>
      <c r="P208" s="1">
        <v>2.06</v>
      </c>
      <c r="Q208" s="1">
        <v>25.9</v>
      </c>
      <c r="R208" s="1">
        <v>2610</v>
      </c>
      <c r="S208" s="6"/>
      <c r="T208" s="6">
        <v>1</v>
      </c>
      <c r="U208" s="6">
        <v>1</v>
      </c>
      <c r="V208" s="6"/>
      <c r="W208" s="12">
        <f t="shared" si="12"/>
        <v>67.400000000000006</v>
      </c>
      <c r="X208" s="7">
        <f>'Calibration-S40 to end'!$U$11*(QAQC!L208^2)+'Calibration-S40 to end'!$U$12*QAQC!L208+'Calibration-S40 to end'!$U$13</f>
        <v>58.091475369999998</v>
      </c>
      <c r="Y208" s="7">
        <f t="shared" si="14"/>
        <v>58.091475369999998</v>
      </c>
      <c r="Z208" s="6"/>
      <c r="AA208" s="6"/>
      <c r="AB208" s="9"/>
      <c r="AC208" s="6"/>
      <c r="AD208" s="14">
        <f>100*((Y208*10250)-(Y207*10000))/(1000*250)</f>
        <v>130.65286913700001</v>
      </c>
      <c r="AE208" s="14" t="str">
        <f>IF(Y208&gt;30, (IF((AND(AD208&gt;=80,AD208&lt;=120)=TRUE),"PASS","FAIL")),(IF((AND(AD208&gt;=50,AD208&lt;=150)=TRUE),"PASS","FAIL")))</f>
        <v>FAIL</v>
      </c>
      <c r="AF208" s="6">
        <v>1</v>
      </c>
      <c r="AG208" s="6"/>
      <c r="AH208" s="6">
        <f t="shared" si="15"/>
        <v>2610</v>
      </c>
      <c r="AI208" s="13">
        <f>'Calibration-S40 to end'!$I$11*(QAQC!Q208^2)+'Calibration-S40 to end'!$I$12*QAQC!Q208+'Calibration-S40 to end'!$I$13</f>
        <v>1387.4993080000002</v>
      </c>
      <c r="AJ208" s="13">
        <f t="shared" si="17"/>
        <v>1387.4993080000002</v>
      </c>
      <c r="AK208" s="9"/>
      <c r="AL208" s="6"/>
      <c r="AM208" s="9"/>
      <c r="AN208" s="6"/>
      <c r="AO208" s="12">
        <f>100*((AJ208*10250)-(AJ207*10000))/(1000*2500)</f>
        <v>28.454329080000072</v>
      </c>
      <c r="AP208" s="14" t="str">
        <f>IF(AJ208&gt;30, (IF((AND(AO208&gt;=80,AO208&lt;=120)=TRUE),"PASS","FAIL")),(IF((AND(AO208&gt;=50,AO208&lt;=150)=TRUE),"PASS","FAIL")))</f>
        <v>FAIL</v>
      </c>
      <c r="AQ208" s="6"/>
      <c r="AR208" s="6">
        <v>202</v>
      </c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</row>
    <row r="209" spans="1:64" ht="15.75" customHeight="1" x14ac:dyDescent="0.2">
      <c r="A209" s="10">
        <v>46085</v>
      </c>
      <c r="B209" s="11">
        <v>0.61535879629629631</v>
      </c>
      <c r="C209" s="1" t="s">
        <v>122</v>
      </c>
      <c r="D209" s="1" t="s">
        <v>125</v>
      </c>
      <c r="E209" s="1" t="s">
        <v>58</v>
      </c>
      <c r="F209" s="1" t="s">
        <v>46</v>
      </c>
      <c r="G209" s="1">
        <v>1</v>
      </c>
      <c r="H209" s="1">
        <v>1</v>
      </c>
      <c r="I209" s="1" t="s">
        <v>47</v>
      </c>
      <c r="J209" s="1" t="s">
        <v>48</v>
      </c>
      <c r="K209" s="1">
        <v>1.06E-2</v>
      </c>
      <c r="L209" s="1">
        <v>0.127</v>
      </c>
      <c r="M209" s="1">
        <v>-10.9</v>
      </c>
      <c r="N209" s="1" t="s">
        <v>49</v>
      </c>
      <c r="O209" s="1" t="s">
        <v>50</v>
      </c>
      <c r="P209" s="1">
        <v>2.1399999999999999E-2</v>
      </c>
      <c r="Q209" s="1">
        <v>0.40600000000000003</v>
      </c>
      <c r="R209" s="1">
        <v>-45</v>
      </c>
      <c r="S209" s="6"/>
      <c r="T209" s="6">
        <v>1</v>
      </c>
      <c r="U209" s="6">
        <v>1</v>
      </c>
      <c r="V209" s="6"/>
      <c r="W209" s="12">
        <f t="shared" si="12"/>
        <v>-10.9</v>
      </c>
      <c r="X209" s="7">
        <f>'Calibration-S40 to end'!$U$11*(QAQC!L209^2)+'Calibration-S40 to end'!$U$12*QAQC!L209+'Calibration-S40 to end'!$U$13</f>
        <v>-10.2007824883</v>
      </c>
      <c r="Y209" s="7">
        <f t="shared" si="14"/>
        <v>-10.2007824883</v>
      </c>
      <c r="Z209" s="6"/>
      <c r="AA209" s="6"/>
      <c r="AB209" s="12"/>
      <c r="AC209" s="14"/>
      <c r="AD209" s="6"/>
      <c r="AE209" s="6"/>
      <c r="AF209" s="6">
        <v>1</v>
      </c>
      <c r="AG209" s="6"/>
      <c r="AH209" s="6">
        <f t="shared" si="15"/>
        <v>-45</v>
      </c>
      <c r="AI209" s="13">
        <f>'Calibration-S40 to end'!$I$11*(QAQC!Q209^2)+'Calibration-S40 to end'!$I$12*QAQC!Q209+'Calibration-S40 to end'!$I$13</f>
        <v>-67.626492279199994</v>
      </c>
      <c r="AJ209" s="13">
        <f t="shared" si="17"/>
        <v>-67.626492279199994</v>
      </c>
      <c r="AK209" s="9"/>
      <c r="AL209" s="6"/>
      <c r="AM209" s="12"/>
      <c r="AN209" s="14"/>
      <c r="AO209" s="9"/>
      <c r="AP209" s="6"/>
      <c r="AQ209" s="6"/>
      <c r="AR209" s="6">
        <v>203</v>
      </c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</row>
    <row r="210" spans="1:64" ht="15.75" customHeight="1" x14ac:dyDescent="0.2">
      <c r="A210" s="10">
        <v>46085</v>
      </c>
      <c r="B210" s="11">
        <v>0.61622685185185189</v>
      </c>
      <c r="C210" s="1" t="s">
        <v>122</v>
      </c>
      <c r="D210" s="1" t="s">
        <v>126</v>
      </c>
      <c r="E210" s="1">
        <v>15</v>
      </c>
      <c r="F210" s="1" t="s">
        <v>88</v>
      </c>
      <c r="G210" s="1">
        <v>1</v>
      </c>
      <c r="H210" s="1">
        <v>1</v>
      </c>
      <c r="I210" s="1" t="s">
        <v>47</v>
      </c>
      <c r="J210" s="1" t="s">
        <v>48</v>
      </c>
      <c r="K210" s="1">
        <v>5.5800000000000002E-2</v>
      </c>
      <c r="L210" s="1">
        <v>1.3</v>
      </c>
      <c r="M210" s="1">
        <v>29.8</v>
      </c>
      <c r="N210" s="1" t="s">
        <v>49</v>
      </c>
      <c r="O210" s="1" t="s">
        <v>50</v>
      </c>
      <c r="P210" s="1">
        <v>0.38600000000000001</v>
      </c>
      <c r="Q210" s="1">
        <v>5.16</v>
      </c>
      <c r="R210" s="1">
        <v>478</v>
      </c>
      <c r="T210" s="6">
        <v>1</v>
      </c>
      <c r="U210" s="6">
        <v>1</v>
      </c>
      <c r="V210" s="6"/>
      <c r="W210" s="12">
        <f t="shared" si="12"/>
        <v>29.8</v>
      </c>
      <c r="X210" s="7">
        <f>'Calibration-S40 to end'!$U$11*(QAQC!L210^2)+'Calibration-S40 to end'!$U$12*QAQC!L210+'Calibration-S40 to end'!$U$13</f>
        <v>25.968586999999996</v>
      </c>
      <c r="Y210" s="7">
        <f t="shared" si="14"/>
        <v>25.968586999999996</v>
      </c>
      <c r="Z210" s="6">
        <f>100*(Y210-25)/25</f>
        <v>3.8743479999999835</v>
      </c>
      <c r="AA210" s="6" t="str">
        <f>IF((ABS(Z210))&lt;=20,"PASS","FAIL")</f>
        <v>PASS</v>
      </c>
      <c r="AB210" s="9"/>
      <c r="AC210" s="6"/>
      <c r="AD210" s="14"/>
      <c r="AE210" s="14"/>
      <c r="AF210" s="6">
        <v>1</v>
      </c>
      <c r="AG210" s="6"/>
      <c r="AH210" s="6">
        <f t="shared" si="15"/>
        <v>478</v>
      </c>
      <c r="AI210" s="13">
        <f>'Calibration-S40 to end'!$I$11*(QAQC!Q210^2)+'Calibration-S40 to end'!$I$12*QAQC!Q210+'Calibration-S40 to end'!$I$13</f>
        <v>286.75765568000008</v>
      </c>
      <c r="AJ210" s="13">
        <f t="shared" si="17"/>
        <v>286.75765568000008</v>
      </c>
      <c r="AK210" s="9">
        <f>100*(AJ210-250)/250</f>
        <v>14.703062272000034</v>
      </c>
      <c r="AL210" s="6" t="str">
        <f>IF((ABS(AK210))&lt;=20,"PASS","FAIL")</f>
        <v>PASS</v>
      </c>
      <c r="AM210" s="9"/>
      <c r="AN210" s="6"/>
      <c r="AO210" s="12"/>
      <c r="AP210" s="14"/>
      <c r="AQ210" s="6"/>
      <c r="AR210" s="6">
        <v>204</v>
      </c>
      <c r="AS210" s="6"/>
    </row>
    <row r="211" spans="1:64" ht="15.75" customHeight="1" x14ac:dyDescent="0.2">
      <c r="A211" s="10">
        <v>46085</v>
      </c>
      <c r="B211" s="11">
        <v>0.61710648148148151</v>
      </c>
      <c r="C211" s="1" t="s">
        <v>122</v>
      </c>
      <c r="D211" s="1" t="s">
        <v>51</v>
      </c>
      <c r="E211" s="1" t="s">
        <v>52</v>
      </c>
      <c r="F211" s="1" t="s">
        <v>46</v>
      </c>
      <c r="G211" s="1">
        <v>1</v>
      </c>
      <c r="H211" s="1">
        <v>1</v>
      </c>
      <c r="I211" s="1" t="s">
        <v>47</v>
      </c>
      <c r="J211" s="1" t="s">
        <v>48</v>
      </c>
      <c r="K211" s="1">
        <v>0.13600000000000001</v>
      </c>
      <c r="L211" s="1">
        <v>1.66</v>
      </c>
      <c r="M211" s="1">
        <v>42.4</v>
      </c>
      <c r="N211" s="1" t="s">
        <v>49</v>
      </c>
      <c r="O211" s="1" t="s">
        <v>50</v>
      </c>
      <c r="P211" s="1">
        <v>1.79</v>
      </c>
      <c r="Q211" s="1">
        <v>23.5</v>
      </c>
      <c r="R211" s="1">
        <v>2370</v>
      </c>
      <c r="S211" s="6">
        <f>100*(Q212/Q211)</f>
        <v>104.68085106382978</v>
      </c>
      <c r="T211" s="6">
        <v>1</v>
      </c>
      <c r="U211" s="6">
        <v>1</v>
      </c>
      <c r="V211" s="6"/>
      <c r="W211" s="12">
        <f t="shared" si="12"/>
        <v>42.4</v>
      </c>
      <c r="X211" s="7">
        <f>'Calibration-S40 to end'!$U$11*(QAQC!L211^2)+'Calibration-S40 to end'!$U$12*QAQC!L211+'Calibration-S40 to end'!$U$13</f>
        <v>36.868993880000005</v>
      </c>
      <c r="Y211" s="7">
        <f t="shared" si="14"/>
        <v>36.868993880000005</v>
      </c>
      <c r="Z211" s="6"/>
      <c r="AA211" s="6"/>
      <c r="AB211" s="12"/>
      <c r="AC211" s="14"/>
      <c r="AF211" s="6">
        <v>1</v>
      </c>
      <c r="AG211" s="6"/>
      <c r="AH211" s="6">
        <f t="shared" si="15"/>
        <v>2370</v>
      </c>
      <c r="AI211" s="13">
        <f>'Calibration-S40 to end'!$I$11*(QAQC!Q211^2)+'Calibration-S40 to end'!$I$12*QAQC!Q211+'Calibration-S40 to end'!$I$13</f>
        <v>1297.1935000000001</v>
      </c>
      <c r="AJ211" s="13">
        <f t="shared" si="17"/>
        <v>1297.1935000000001</v>
      </c>
      <c r="AK211" s="9"/>
      <c r="AL211" s="6"/>
      <c r="AM211" s="12"/>
      <c r="AN211" s="14"/>
      <c r="AO211" s="12"/>
      <c r="AP211" s="14"/>
      <c r="AQ211" s="6"/>
      <c r="AR211" s="6">
        <v>205</v>
      </c>
      <c r="AS211" s="6"/>
    </row>
    <row r="212" spans="1:64" ht="15.75" customHeight="1" x14ac:dyDescent="0.2">
      <c r="A212" s="10">
        <v>46085</v>
      </c>
      <c r="B212" s="11">
        <v>0.61799768518518516</v>
      </c>
      <c r="C212" s="1" t="s">
        <v>122</v>
      </c>
      <c r="D212" s="1" t="s">
        <v>53</v>
      </c>
      <c r="E212" s="1" t="s">
        <v>54</v>
      </c>
      <c r="F212" s="1" t="s">
        <v>46</v>
      </c>
      <c r="G212" s="1">
        <v>1</v>
      </c>
      <c r="H212" s="1">
        <v>1</v>
      </c>
      <c r="I212" s="1" t="s">
        <v>47</v>
      </c>
      <c r="J212" s="1" t="s">
        <v>48</v>
      </c>
      <c r="K212" s="1">
        <v>0.13500000000000001</v>
      </c>
      <c r="L212" s="1">
        <v>1.65</v>
      </c>
      <c r="M212" s="1">
        <v>42</v>
      </c>
      <c r="N212" s="1" t="s">
        <v>49</v>
      </c>
      <c r="O212" s="1" t="s">
        <v>50</v>
      </c>
      <c r="P212" s="1">
        <v>1.92</v>
      </c>
      <c r="Q212" s="1">
        <v>24.6</v>
      </c>
      <c r="R212" s="1">
        <v>2480</v>
      </c>
      <c r="T212" s="6">
        <v>1</v>
      </c>
      <c r="U212" s="6">
        <v>1</v>
      </c>
      <c r="V212" s="6"/>
      <c r="W212" s="12">
        <f t="shared" si="12"/>
        <v>42</v>
      </c>
      <c r="X212" s="7">
        <f>'Calibration-S40 to end'!$U$11*(QAQC!L212^2)+'Calibration-S40 to end'!$U$12*QAQC!L212+'Calibration-S40 to end'!$U$13</f>
        <v>36.567474249999989</v>
      </c>
      <c r="Y212" s="7">
        <f t="shared" si="14"/>
        <v>36.567474249999989</v>
      </c>
      <c r="Z212" s="6"/>
      <c r="AA212" s="6"/>
      <c r="AB212" s="12"/>
      <c r="AC212" s="14"/>
      <c r="AD212" s="14"/>
      <c r="AE212" s="14"/>
      <c r="AF212" s="6">
        <v>1</v>
      </c>
      <c r="AG212" s="6"/>
      <c r="AH212" s="6">
        <f t="shared" si="15"/>
        <v>2480</v>
      </c>
      <c r="AI212" s="13">
        <f>'Calibration-S40 to end'!$I$11*(QAQC!Q212^2)+'Calibration-S40 to end'!$I$12*QAQC!Q212+'Calibration-S40 to end'!$I$13</f>
        <v>1339.788008</v>
      </c>
      <c r="AJ212" s="13">
        <f t="shared" si="17"/>
        <v>1339.788008</v>
      </c>
      <c r="AK212" s="9"/>
      <c r="AL212" s="6"/>
      <c r="AM212" s="12"/>
      <c r="AN212" s="14"/>
      <c r="AO212" s="12"/>
      <c r="AP212" s="14"/>
      <c r="AQ212" s="6"/>
      <c r="AR212" s="6">
        <v>206</v>
      </c>
      <c r="AS212" s="6"/>
    </row>
    <row r="213" spans="1:64" ht="15.75" customHeight="1" x14ac:dyDescent="0.2">
      <c r="A213" s="10">
        <v>46085</v>
      </c>
      <c r="B213" s="11">
        <v>0.61888888888888893</v>
      </c>
      <c r="C213" s="1" t="s">
        <v>122</v>
      </c>
      <c r="D213" s="1" t="s">
        <v>216</v>
      </c>
      <c r="E213" s="1">
        <v>154</v>
      </c>
      <c r="F213" s="1" t="s">
        <v>46</v>
      </c>
      <c r="G213" s="1">
        <v>1</v>
      </c>
      <c r="H213" s="1">
        <v>1</v>
      </c>
      <c r="I213" s="1" t="s">
        <v>47</v>
      </c>
      <c r="J213" s="1" t="s">
        <v>48</v>
      </c>
      <c r="K213" s="1">
        <v>5.91E-2</v>
      </c>
      <c r="L213" s="1">
        <v>1.45</v>
      </c>
      <c r="M213" s="1">
        <v>35</v>
      </c>
      <c r="N213" s="1" t="s">
        <v>49</v>
      </c>
      <c r="O213" s="1" t="s">
        <v>50</v>
      </c>
      <c r="P213" s="1">
        <v>0.59799999999999998</v>
      </c>
      <c r="Q213" s="1">
        <v>8.0500000000000007</v>
      </c>
      <c r="R213" s="1">
        <v>789</v>
      </c>
      <c r="S213" s="6"/>
      <c r="T213" s="6">
        <v>1</v>
      </c>
      <c r="U213" s="6">
        <v>1</v>
      </c>
      <c r="V213" s="6"/>
      <c r="W213" s="12">
        <f t="shared" si="12"/>
        <v>35</v>
      </c>
      <c r="X213" s="7">
        <f>'Calibration-S40 to end'!$U$11*(QAQC!L213^2)+'Calibration-S40 to end'!$U$12*QAQC!L213+'Calibration-S40 to end'!$U$13</f>
        <v>30.521848249999994</v>
      </c>
      <c r="Y213" s="7">
        <f t="shared" si="14"/>
        <v>30.521848249999994</v>
      </c>
      <c r="Z213" s="6"/>
      <c r="AA213" s="6"/>
      <c r="AB213" s="12"/>
      <c r="AC213" s="14"/>
      <c r="AD213" s="14"/>
      <c r="AE213" s="14"/>
      <c r="AF213" s="6">
        <v>1</v>
      </c>
      <c r="AG213" s="6"/>
      <c r="AH213" s="6">
        <f t="shared" si="15"/>
        <v>789</v>
      </c>
      <c r="AI213" s="13">
        <f>'Calibration-S40 to end'!$I$11*(QAQC!Q213^2)+'Calibration-S40 to end'!$I$12*QAQC!Q213+'Calibration-S40 to end'!$I$13</f>
        <v>483.58583950000013</v>
      </c>
      <c r="AJ213" s="13">
        <f t="shared" si="17"/>
        <v>483.58583950000013</v>
      </c>
      <c r="AK213" s="9"/>
      <c r="AL213" s="6"/>
      <c r="AM213" s="12"/>
      <c r="AN213" s="14"/>
      <c r="AO213" s="9"/>
      <c r="AP213" s="6"/>
      <c r="AQ213" s="6"/>
      <c r="AR213" s="6">
        <v>207</v>
      </c>
      <c r="AS213" s="6"/>
    </row>
    <row r="214" spans="1:64" ht="15.75" customHeight="1" x14ac:dyDescent="0.2">
      <c r="A214" s="10">
        <v>46085</v>
      </c>
      <c r="B214" s="11">
        <v>0.61978009259259259</v>
      </c>
      <c r="C214" s="1" t="s">
        <v>122</v>
      </c>
      <c r="D214" s="1" t="s">
        <v>217</v>
      </c>
      <c r="E214" s="1">
        <v>155</v>
      </c>
      <c r="F214" s="1" t="s">
        <v>46</v>
      </c>
      <c r="G214" s="1">
        <v>1</v>
      </c>
      <c r="H214" s="1">
        <v>1</v>
      </c>
      <c r="I214" s="1" t="s">
        <v>47</v>
      </c>
      <c r="J214" s="1" t="s">
        <v>48</v>
      </c>
      <c r="K214" s="1">
        <v>5.8299999999999998E-2</v>
      </c>
      <c r="L214" s="1">
        <v>1.39</v>
      </c>
      <c r="M214" s="1">
        <v>33</v>
      </c>
      <c r="N214" s="1" t="s">
        <v>49</v>
      </c>
      <c r="O214" s="1" t="s">
        <v>50</v>
      </c>
      <c r="P214" s="1">
        <v>1.72</v>
      </c>
      <c r="Q214" s="1">
        <v>21.7</v>
      </c>
      <c r="R214" s="1">
        <v>2200</v>
      </c>
      <c r="S214" s="6"/>
      <c r="T214" s="6">
        <v>1</v>
      </c>
      <c r="U214" s="6">
        <v>1</v>
      </c>
      <c r="V214" s="6"/>
      <c r="W214" s="12">
        <f t="shared" si="12"/>
        <v>33</v>
      </c>
      <c r="X214" s="7">
        <f>'Calibration-S40 to end'!$U$11*(QAQC!L214^2)+'Calibration-S40 to end'!$U$12*QAQC!L214+'Calibration-S40 to end'!$U$13</f>
        <v>28.702502329999998</v>
      </c>
      <c r="Y214" s="7">
        <f t="shared" si="14"/>
        <v>28.702502329999998</v>
      </c>
      <c r="Z214" s="6"/>
      <c r="AA214" s="6"/>
      <c r="AB214" s="9"/>
      <c r="AC214" s="6"/>
      <c r="AD214" s="6"/>
      <c r="AE214" s="6"/>
      <c r="AF214" s="6">
        <v>1</v>
      </c>
      <c r="AG214" s="6"/>
      <c r="AH214" s="6">
        <f t="shared" si="15"/>
        <v>2200</v>
      </c>
      <c r="AI214" s="13">
        <f>'Calibration-S40 to end'!$I$11*(QAQC!Q214^2)+'Calibration-S40 to end'!$I$12*QAQC!Q214+'Calibration-S40 to end'!$I$13</f>
        <v>1223.0971119999999</v>
      </c>
      <c r="AJ214" s="13">
        <f t="shared" si="17"/>
        <v>1223.0971119999999</v>
      </c>
      <c r="AK214" s="9"/>
      <c r="AL214" s="6"/>
      <c r="AM214" s="9"/>
      <c r="AN214" s="6"/>
      <c r="AO214" s="12"/>
      <c r="AP214" s="14"/>
      <c r="AQ214" s="6"/>
      <c r="AR214" s="6">
        <v>208</v>
      </c>
      <c r="AS214" s="6"/>
    </row>
    <row r="215" spans="1:64" ht="15.75" customHeight="1" x14ac:dyDescent="0.2">
      <c r="A215" s="10">
        <v>46085</v>
      </c>
      <c r="B215" s="11">
        <v>0.62067129629629625</v>
      </c>
      <c r="C215" s="1" t="s">
        <v>122</v>
      </c>
      <c r="D215" s="1" t="s">
        <v>218</v>
      </c>
      <c r="E215" s="1">
        <v>156</v>
      </c>
      <c r="F215" s="1" t="s">
        <v>46</v>
      </c>
      <c r="G215" s="1">
        <v>1</v>
      </c>
      <c r="H215" s="1">
        <v>1</v>
      </c>
      <c r="I215" s="1" t="s">
        <v>47</v>
      </c>
      <c r="J215" s="1" t="s">
        <v>48</v>
      </c>
      <c r="K215" s="1">
        <v>9.6699999999999994E-2</v>
      </c>
      <c r="L215" s="1">
        <v>2.12</v>
      </c>
      <c r="M215" s="1">
        <v>58.6</v>
      </c>
      <c r="N215" s="1" t="s">
        <v>49</v>
      </c>
      <c r="O215" s="1" t="s">
        <v>50</v>
      </c>
      <c r="P215" s="1">
        <v>1.04</v>
      </c>
      <c r="Q215" s="1">
        <v>13.4</v>
      </c>
      <c r="R215" s="1">
        <v>1360</v>
      </c>
      <c r="T215" s="6">
        <v>1</v>
      </c>
      <c r="U215" s="6">
        <v>1</v>
      </c>
      <c r="V215" s="6"/>
      <c r="W215" s="12">
        <f t="shared" si="12"/>
        <v>58.6</v>
      </c>
      <c r="X215" s="7">
        <f>'Calibration-S40 to end'!$U$11*(QAQC!L215^2)+'Calibration-S40 to end'!$U$12*QAQC!L215+'Calibration-S40 to end'!$U$13</f>
        <v>50.66048112</v>
      </c>
      <c r="Y215" s="7">
        <f t="shared" si="14"/>
        <v>50.66048112</v>
      </c>
      <c r="Z215" s="6"/>
      <c r="AA215" s="6"/>
      <c r="AB215" s="12"/>
      <c r="AC215" s="14"/>
      <c r="AF215" s="6">
        <v>1</v>
      </c>
      <c r="AG215" s="6"/>
      <c r="AH215" s="6">
        <f t="shared" si="15"/>
        <v>1360</v>
      </c>
      <c r="AI215" s="13">
        <f>'Calibration-S40 to end'!$I$11*(QAQC!Q215^2)+'Calibration-S40 to end'!$I$12*QAQC!Q215+'Calibration-S40 to end'!$I$13</f>
        <v>810.82880800000021</v>
      </c>
      <c r="AJ215" s="13">
        <f t="shared" si="17"/>
        <v>810.82880800000021</v>
      </c>
      <c r="AK215" s="9"/>
      <c r="AL215" s="6"/>
      <c r="AM215" s="12"/>
      <c r="AN215" s="14"/>
      <c r="AO215" s="12"/>
      <c r="AP215" s="14"/>
      <c r="AQ215" s="6"/>
      <c r="AR215" s="6">
        <v>209</v>
      </c>
      <c r="AS215" s="6"/>
    </row>
    <row r="216" spans="1:64" ht="15.75" customHeight="1" x14ac:dyDescent="0.2">
      <c r="A216" s="10">
        <v>46085</v>
      </c>
      <c r="B216" s="11">
        <v>0.62156250000000002</v>
      </c>
      <c r="C216" s="1" t="s">
        <v>122</v>
      </c>
      <c r="D216" s="1" t="s">
        <v>219</v>
      </c>
      <c r="E216" s="1">
        <v>157</v>
      </c>
      <c r="F216" s="1" t="s">
        <v>46</v>
      </c>
      <c r="G216" s="1">
        <v>1</v>
      </c>
      <c r="H216" s="1">
        <v>1</v>
      </c>
      <c r="I216" s="1" t="s">
        <v>47</v>
      </c>
      <c r="J216" s="1" t="s">
        <v>48</v>
      </c>
      <c r="K216" s="1">
        <v>3.1899999999999998E-2</v>
      </c>
      <c r="L216" s="1">
        <v>0.875</v>
      </c>
      <c r="M216" s="1">
        <v>15</v>
      </c>
      <c r="N216" s="1" t="s">
        <v>49</v>
      </c>
      <c r="O216" s="1" t="s">
        <v>50</v>
      </c>
      <c r="P216" s="1">
        <v>0.223</v>
      </c>
      <c r="Q216" s="1">
        <v>3.05</v>
      </c>
      <c r="R216" s="1">
        <v>248</v>
      </c>
      <c r="T216" s="6">
        <v>1</v>
      </c>
      <c r="U216" s="6">
        <v>1</v>
      </c>
      <c r="V216" s="6"/>
      <c r="W216" s="12">
        <f t="shared" si="12"/>
        <v>15</v>
      </c>
      <c r="X216" s="7">
        <f>'Calibration-S40 to end'!$U$11*(QAQC!L216^2)+'Calibration-S40 to end'!$U$12*QAQC!L216+'Calibration-S40 to end'!$U$13</f>
        <v>12.979045312499998</v>
      </c>
      <c r="Y216" s="7">
        <f t="shared" si="14"/>
        <v>12.979045312499998</v>
      </c>
      <c r="Z216" s="6"/>
      <c r="AA216" s="6"/>
      <c r="AB216" s="12"/>
      <c r="AC216" s="14"/>
      <c r="AD216" s="6"/>
      <c r="AE216" s="6"/>
      <c r="AF216" s="6">
        <v>1</v>
      </c>
      <c r="AG216" s="6"/>
      <c r="AH216" s="6">
        <f t="shared" si="15"/>
        <v>248</v>
      </c>
      <c r="AI216" s="13">
        <f>'Calibration-S40 to end'!$I$11*(QAQC!Q216^2)+'Calibration-S40 to end'!$I$12*QAQC!Q216+'Calibration-S40 to end'!$I$13</f>
        <v>134.1674395</v>
      </c>
      <c r="AJ216" s="13">
        <f t="shared" si="17"/>
        <v>134.1674395</v>
      </c>
      <c r="AK216" s="9"/>
      <c r="AL216" s="6"/>
      <c r="AM216" s="12"/>
      <c r="AN216" s="14"/>
      <c r="AO216" s="12"/>
      <c r="AP216" s="14"/>
      <c r="AQ216" s="6"/>
      <c r="AR216" s="6">
        <v>210</v>
      </c>
      <c r="AS216" s="6"/>
    </row>
    <row r="217" spans="1:64" ht="15.75" customHeight="1" x14ac:dyDescent="0.2">
      <c r="A217" s="10">
        <v>46085</v>
      </c>
      <c r="B217" s="11">
        <v>0.62245370370370368</v>
      </c>
      <c r="C217" s="1" t="s">
        <v>122</v>
      </c>
      <c r="D217" s="1" t="s">
        <v>220</v>
      </c>
      <c r="E217" s="1">
        <v>158</v>
      </c>
      <c r="F217" s="1" t="s">
        <v>75</v>
      </c>
      <c r="G217" s="1">
        <v>1</v>
      </c>
      <c r="H217" s="1">
        <v>1</v>
      </c>
      <c r="I217" s="1" t="s">
        <v>47</v>
      </c>
      <c r="J217" s="1" t="s">
        <v>48</v>
      </c>
      <c r="K217" s="1">
        <v>2.9399999999999999E-2</v>
      </c>
      <c r="L217" s="1">
        <v>0.78800000000000003</v>
      </c>
      <c r="M217" s="1">
        <v>12</v>
      </c>
      <c r="N217" s="1" t="s">
        <v>49</v>
      </c>
      <c r="O217" s="1" t="s">
        <v>50</v>
      </c>
      <c r="P217" s="1">
        <v>0.38800000000000001</v>
      </c>
      <c r="Q217" s="1">
        <v>5.15</v>
      </c>
      <c r="R217" s="1">
        <v>477</v>
      </c>
      <c r="T217" s="6">
        <v>1</v>
      </c>
      <c r="U217" s="6">
        <v>1</v>
      </c>
      <c r="V217" s="6"/>
      <c r="W217" s="12">
        <f t="shared" si="12"/>
        <v>12</v>
      </c>
      <c r="X217" s="7">
        <f>'Calibration-S40 to end'!$U$11*(QAQC!L217^2)+'Calibration-S40 to end'!$U$12*QAQC!L217+'Calibration-S40 to end'!$U$13</f>
        <v>10.303853611200001</v>
      </c>
      <c r="Y217" s="7">
        <f t="shared" si="14"/>
        <v>10.303853611200001</v>
      </c>
      <c r="Z217" s="6"/>
      <c r="AA217" s="6"/>
      <c r="AB217" s="9"/>
      <c r="AC217" s="6"/>
      <c r="AD217" s="14"/>
      <c r="AE217" s="14"/>
      <c r="AF217" s="6">
        <v>1</v>
      </c>
      <c r="AG217" s="6"/>
      <c r="AH217" s="6">
        <f t="shared" si="15"/>
        <v>477</v>
      </c>
      <c r="AI217" s="13">
        <f>'Calibration-S40 to end'!$I$11*(QAQC!Q217^2)+'Calibration-S40 to end'!$I$12*QAQC!Q217+'Calibration-S40 to end'!$I$13</f>
        <v>286.0521655</v>
      </c>
      <c r="AJ217" s="13">
        <f t="shared" si="17"/>
        <v>286.0521655</v>
      </c>
      <c r="AK217" s="9"/>
      <c r="AL217" s="6"/>
      <c r="AM217" s="9"/>
      <c r="AN217" s="6"/>
      <c r="AO217" s="12"/>
      <c r="AP217" s="14"/>
      <c r="AQ217" s="6"/>
      <c r="AR217" s="6">
        <v>211</v>
      </c>
      <c r="AS217" s="6"/>
    </row>
    <row r="218" spans="1:64" ht="15.75" customHeight="1" x14ac:dyDescent="0.2">
      <c r="A218" s="10">
        <v>46085</v>
      </c>
      <c r="B218" s="11">
        <v>0.62334490740740744</v>
      </c>
      <c r="C218" s="1" t="s">
        <v>122</v>
      </c>
      <c r="D218" s="1" t="s">
        <v>221</v>
      </c>
      <c r="E218" s="1">
        <v>164</v>
      </c>
      <c r="F218" s="1" t="s">
        <v>75</v>
      </c>
      <c r="G218" s="1">
        <v>1</v>
      </c>
      <c r="H218" s="1">
        <v>1</v>
      </c>
      <c r="I218" s="1" t="s">
        <v>47</v>
      </c>
      <c r="J218" s="1" t="s">
        <v>48</v>
      </c>
      <c r="K218" s="1">
        <v>3.2300000000000002E-2</v>
      </c>
      <c r="L218" s="1">
        <v>0.8</v>
      </c>
      <c r="M218" s="1">
        <v>12.4</v>
      </c>
      <c r="N218" s="1" t="s">
        <v>49</v>
      </c>
      <c r="O218" s="1" t="s">
        <v>50</v>
      </c>
      <c r="P218" s="1">
        <v>0.41</v>
      </c>
      <c r="Q218" s="1">
        <v>5.37</v>
      </c>
      <c r="R218" s="1">
        <v>500</v>
      </c>
      <c r="T218" s="6">
        <v>1</v>
      </c>
      <c r="U218" s="6">
        <v>1</v>
      </c>
      <c r="V218" s="6"/>
      <c r="W218" s="12">
        <f t="shared" si="12"/>
        <v>12.4</v>
      </c>
      <c r="X218" s="7">
        <f>'Calibration-S40 to end'!$U$11*(QAQC!L218^2)+'Calibration-S40 to end'!$U$12*QAQC!L218+'Calibration-S40 to end'!$U$13</f>
        <v>10.673172000000001</v>
      </c>
      <c r="Y218" s="7">
        <f t="shared" si="14"/>
        <v>10.673172000000001</v>
      </c>
      <c r="Z218" s="6"/>
      <c r="AA218" s="6"/>
      <c r="AB218" s="12">
        <f>ABS(100*ABS(Y218-Y217)/AVERAGE(Y218,Y217))</f>
        <v>3.521170213977471</v>
      </c>
      <c r="AC218" s="14" t="str">
        <f>IF(Y218&gt;10, (IF((AND(AB218&gt;=0,AB218&lt;=20)=TRUE),"PASS","FAIL")),(IF((AND(AB218&gt;=0,AB218&lt;=50)=TRUE),"PASS","FAIL")))</f>
        <v>PASS</v>
      </c>
      <c r="AD218" s="6"/>
      <c r="AE218" s="6"/>
      <c r="AF218" s="6">
        <v>1</v>
      </c>
      <c r="AG218" s="6"/>
      <c r="AH218" s="6">
        <f t="shared" si="15"/>
        <v>500</v>
      </c>
      <c r="AI218" s="13">
        <f>'Calibration-S40 to end'!$I$11*(QAQC!Q218^2)+'Calibration-S40 to end'!$I$12*QAQC!Q218+'Calibration-S40 to end'!$I$13</f>
        <v>301.53403981999998</v>
      </c>
      <c r="AJ218" s="13">
        <f t="shared" si="17"/>
        <v>301.53403981999998</v>
      </c>
      <c r="AK218" s="9"/>
      <c r="AL218" s="6"/>
      <c r="AM218" s="12">
        <f>ABS(100*ABS(AJ218-AJ217)/AVERAGE(AJ218,AJ217))</f>
        <v>5.2696520714159831</v>
      </c>
      <c r="AN218" s="14" t="str">
        <f>IF(AJ218&gt;10, (IF((AND(AM218&gt;=0,AM218&lt;=20)=TRUE),"PASS","FAIL")),(IF((AND(AM218&gt;=0,AM218&lt;=50)=TRUE),"PASS","FAIL")))</f>
        <v>PASS</v>
      </c>
      <c r="AO218" s="9"/>
      <c r="AP218" s="6"/>
      <c r="AQ218" s="6"/>
      <c r="AR218" s="6">
        <v>212</v>
      </c>
      <c r="AS218" s="6"/>
    </row>
    <row r="219" spans="1:64" ht="15.75" customHeight="1" x14ac:dyDescent="0.2">
      <c r="A219" s="10">
        <v>46085</v>
      </c>
      <c r="B219" s="11">
        <v>0.6242361111111111</v>
      </c>
      <c r="C219" s="1" t="s">
        <v>122</v>
      </c>
      <c r="D219" s="1" t="s">
        <v>222</v>
      </c>
      <c r="E219" s="1">
        <v>159</v>
      </c>
      <c r="F219" s="1" t="s">
        <v>46</v>
      </c>
      <c r="G219" s="1">
        <v>1</v>
      </c>
      <c r="H219" s="1">
        <v>1</v>
      </c>
      <c r="I219" s="1" t="s">
        <v>47</v>
      </c>
      <c r="J219" s="1" t="s">
        <v>48</v>
      </c>
      <c r="K219" s="1">
        <v>2.1499999999999998E-2</v>
      </c>
      <c r="L219" s="1">
        <v>0.60899999999999999</v>
      </c>
      <c r="M219" s="1">
        <v>5.78</v>
      </c>
      <c r="N219" s="1" t="s">
        <v>49</v>
      </c>
      <c r="O219" s="1" t="s">
        <v>50</v>
      </c>
      <c r="P219" s="1">
        <v>0.313</v>
      </c>
      <c r="Q219" s="1">
        <v>4</v>
      </c>
      <c r="R219" s="1">
        <v>352</v>
      </c>
      <c r="T219" s="6">
        <v>1</v>
      </c>
      <c r="U219" s="6">
        <v>1</v>
      </c>
      <c r="V219" s="6"/>
      <c r="W219" s="12">
        <f t="shared" si="12"/>
        <v>5.78</v>
      </c>
      <c r="X219" s="7">
        <f>'Calibration-S40 to end'!$U$11*(QAQC!L219^2)+'Calibration-S40 to end'!$U$12*QAQC!L219+'Calibration-S40 to end'!$U$13</f>
        <v>4.7824539612999999</v>
      </c>
      <c r="Y219" s="7">
        <f t="shared" si="14"/>
        <v>4.7824539612999999</v>
      </c>
      <c r="Z219" s="6"/>
      <c r="AA219" s="6"/>
      <c r="AB219" s="12"/>
      <c r="AC219" s="14"/>
      <c r="AD219" s="6"/>
      <c r="AE219" s="6"/>
      <c r="AF219" s="6">
        <v>1</v>
      </c>
      <c r="AG219" s="6"/>
      <c r="AH219" s="6">
        <f t="shared" si="15"/>
        <v>352</v>
      </c>
      <c r="AI219" s="13">
        <f>'Calibration-S40 to end'!$I$11*(QAQC!Q219^2)+'Calibration-S40 to end'!$I$12*QAQC!Q219+'Calibration-S40 to end'!$I$13</f>
        <v>203.79730000000004</v>
      </c>
      <c r="AJ219" s="13">
        <f t="shared" si="17"/>
        <v>203.79730000000004</v>
      </c>
      <c r="AK219" s="9"/>
      <c r="AL219" s="6"/>
      <c r="AM219" s="12"/>
      <c r="AN219" s="14"/>
      <c r="AO219" s="12"/>
      <c r="AP219" s="14"/>
      <c r="AQ219" s="6"/>
      <c r="AR219" s="6">
        <v>213</v>
      </c>
      <c r="AS219" s="6"/>
    </row>
    <row r="220" spans="1:64" ht="15.75" customHeight="1" x14ac:dyDescent="0.2">
      <c r="A220" s="10">
        <v>46085</v>
      </c>
      <c r="B220" s="11">
        <v>0.62512731481481476</v>
      </c>
      <c r="C220" s="1" t="s">
        <v>122</v>
      </c>
      <c r="D220" s="1" t="s">
        <v>223</v>
      </c>
      <c r="E220" s="1">
        <v>160</v>
      </c>
      <c r="F220" s="1" t="s">
        <v>46</v>
      </c>
      <c r="G220" s="1">
        <v>1</v>
      </c>
      <c r="H220" s="1">
        <v>1</v>
      </c>
      <c r="I220" s="1" t="s">
        <v>47</v>
      </c>
      <c r="J220" s="1" t="s">
        <v>48</v>
      </c>
      <c r="K220" s="1">
        <v>5.96E-2</v>
      </c>
      <c r="L220" s="1">
        <v>1.38</v>
      </c>
      <c r="M220" s="1">
        <v>32.700000000000003</v>
      </c>
      <c r="N220" s="1" t="s">
        <v>49</v>
      </c>
      <c r="O220" s="1" t="s">
        <v>50</v>
      </c>
      <c r="P220" s="1">
        <v>1.41</v>
      </c>
      <c r="Q220" s="1">
        <v>18</v>
      </c>
      <c r="R220" s="1">
        <v>1830</v>
      </c>
      <c r="S220" s="6"/>
      <c r="T220" s="6">
        <v>1</v>
      </c>
      <c r="U220" s="6">
        <v>1</v>
      </c>
      <c r="V220" s="6"/>
      <c r="W220" s="12">
        <f t="shared" si="12"/>
        <v>32.700000000000003</v>
      </c>
      <c r="X220" s="7">
        <f>'Calibration-S40 to end'!$U$11*(QAQC!L220^2)+'Calibration-S40 to end'!$U$12*QAQC!L220+'Calibration-S40 to end'!$U$13</f>
        <v>28.399024119999996</v>
      </c>
      <c r="Y220" s="7">
        <f t="shared" si="14"/>
        <v>28.399024119999996</v>
      </c>
      <c r="Z220" s="6"/>
      <c r="AA220" s="6"/>
      <c r="AB220" s="12"/>
      <c r="AC220" s="14"/>
      <c r="AD220" s="14"/>
      <c r="AE220" s="14"/>
      <c r="AF220" s="6">
        <v>1</v>
      </c>
      <c r="AG220" s="6"/>
      <c r="AH220" s="6">
        <f t="shared" si="15"/>
        <v>1830</v>
      </c>
      <c r="AI220" s="13">
        <f>'Calibration-S40 to end'!$I$11*(QAQC!Q220^2)+'Calibration-S40 to end'!$I$12*QAQC!Q220+'Calibration-S40 to end'!$I$13</f>
        <v>1053.6490999999999</v>
      </c>
      <c r="AJ220" s="13">
        <f t="shared" si="17"/>
        <v>1053.6490999999999</v>
      </c>
      <c r="AK220" s="9"/>
      <c r="AL220" s="6"/>
      <c r="AM220" s="12"/>
      <c r="AN220" s="14"/>
      <c r="AO220" s="12"/>
      <c r="AP220" s="14"/>
      <c r="AQ220" s="6"/>
      <c r="AR220" s="6">
        <v>214</v>
      </c>
      <c r="AS220" s="6"/>
    </row>
    <row r="221" spans="1:64" ht="15.75" customHeight="1" x14ac:dyDescent="0.2">
      <c r="A221" s="10">
        <v>46085</v>
      </c>
      <c r="B221" s="11">
        <v>0.62601851851851853</v>
      </c>
      <c r="C221" s="1" t="s">
        <v>122</v>
      </c>
      <c r="D221" s="1" t="s">
        <v>224</v>
      </c>
      <c r="E221" s="1">
        <v>161</v>
      </c>
      <c r="F221" s="1" t="s">
        <v>46</v>
      </c>
      <c r="G221" s="1">
        <v>1</v>
      </c>
      <c r="H221" s="1">
        <v>1</v>
      </c>
      <c r="I221" s="1" t="s">
        <v>47</v>
      </c>
      <c r="J221" s="1" t="s">
        <v>48</v>
      </c>
      <c r="K221" s="1">
        <v>8.1600000000000006E-2</v>
      </c>
      <c r="L221" s="1">
        <v>1.85</v>
      </c>
      <c r="M221" s="1">
        <v>49</v>
      </c>
      <c r="N221" s="1" t="s">
        <v>49</v>
      </c>
      <c r="O221" s="1" t="s">
        <v>50</v>
      </c>
      <c r="P221" s="1">
        <v>1.02</v>
      </c>
      <c r="Q221" s="1">
        <v>13</v>
      </c>
      <c r="R221" s="1">
        <v>1310</v>
      </c>
      <c r="S221" s="6"/>
      <c r="T221" s="6">
        <v>1</v>
      </c>
      <c r="U221" s="6">
        <v>1</v>
      </c>
      <c r="V221" s="6"/>
      <c r="W221" s="12">
        <f t="shared" si="12"/>
        <v>49</v>
      </c>
      <c r="X221" s="7">
        <f>'Calibration-S40 to end'!$U$11*(QAQC!L221^2)+'Calibration-S40 to end'!$U$12*QAQC!L221+'Calibration-S40 to end'!$U$13</f>
        <v>42.584084250000004</v>
      </c>
      <c r="Y221" s="7">
        <f t="shared" si="14"/>
        <v>42.584084250000004</v>
      </c>
      <c r="Z221" s="6"/>
      <c r="AA221" s="6"/>
      <c r="AB221" s="14"/>
      <c r="AC221" s="14"/>
      <c r="AD221" s="14"/>
      <c r="AE221" s="14"/>
      <c r="AF221" s="6">
        <v>1</v>
      </c>
      <c r="AG221" s="6"/>
      <c r="AH221" s="6">
        <f t="shared" si="15"/>
        <v>1310</v>
      </c>
      <c r="AI221" s="13">
        <f>'Calibration-S40 to end'!$I$11*(QAQC!Q221^2)+'Calibration-S40 to end'!$I$12*QAQC!Q221+'Calibration-S40 to end'!$I$13</f>
        <v>788.02960000000007</v>
      </c>
      <c r="AJ221" s="13">
        <f t="shared" si="17"/>
        <v>788.02960000000007</v>
      </c>
      <c r="AK221" s="9"/>
      <c r="AL221" s="6"/>
      <c r="AM221" s="14"/>
      <c r="AN221" s="14"/>
      <c r="AO221" s="12"/>
      <c r="AP221" s="14"/>
      <c r="AQ221" s="6"/>
      <c r="AR221" s="6">
        <v>215</v>
      </c>
      <c r="AS221" s="6"/>
    </row>
    <row r="222" spans="1:64" ht="15.75" customHeight="1" x14ac:dyDescent="0.2">
      <c r="A222" s="10">
        <v>46085</v>
      </c>
      <c r="B222" s="11">
        <v>0.62690972222222219</v>
      </c>
      <c r="C222" s="1" t="s">
        <v>122</v>
      </c>
      <c r="D222" s="1" t="s">
        <v>225</v>
      </c>
      <c r="E222" s="1">
        <v>162</v>
      </c>
      <c r="F222" s="1" t="s">
        <v>46</v>
      </c>
      <c r="G222" s="1">
        <v>1</v>
      </c>
      <c r="H222" s="1">
        <v>1</v>
      </c>
      <c r="I222" s="1" t="s">
        <v>47</v>
      </c>
      <c r="J222" s="1" t="s">
        <v>48</v>
      </c>
      <c r="K222" s="1">
        <v>3.8300000000000001E-2</v>
      </c>
      <c r="L222" s="1">
        <v>1.01</v>
      </c>
      <c r="M222" s="1">
        <v>19.8</v>
      </c>
      <c r="N222" s="1" t="s">
        <v>49</v>
      </c>
      <c r="O222" s="1" t="s">
        <v>50</v>
      </c>
      <c r="P222" s="1">
        <v>0.26600000000000001</v>
      </c>
      <c r="Q222" s="1">
        <v>3.55</v>
      </c>
      <c r="R222" s="1">
        <v>302</v>
      </c>
      <c r="T222" s="6">
        <v>1</v>
      </c>
      <c r="U222" s="6">
        <v>1</v>
      </c>
      <c r="V222" s="6"/>
      <c r="W222" s="12">
        <f t="shared" si="12"/>
        <v>19.8</v>
      </c>
      <c r="X222" s="7">
        <f>'Calibration-S40 to end'!$U$11*(QAQC!L222^2)+'Calibration-S40 to end'!$U$12*QAQC!L222+'Calibration-S40 to end'!$U$13</f>
        <v>17.119334729999999</v>
      </c>
      <c r="Y222" s="7">
        <f t="shared" si="14"/>
        <v>17.119334729999999</v>
      </c>
      <c r="Z222" s="6"/>
      <c r="AA222" s="6"/>
      <c r="AB222" s="14"/>
      <c r="AC222" s="14"/>
      <c r="AD222" s="14"/>
      <c r="AE222" s="14"/>
      <c r="AF222" s="6">
        <v>1</v>
      </c>
      <c r="AG222" s="6"/>
      <c r="AH222" s="6">
        <f t="shared" si="15"/>
        <v>302</v>
      </c>
      <c r="AI222" s="13">
        <f>'Calibration-S40 to end'!$I$11*(QAQC!Q222^2)+'Calibration-S40 to end'!$I$12*QAQC!Q222+'Calibration-S40 to end'!$I$13</f>
        <v>171.00422949999998</v>
      </c>
      <c r="AJ222" s="13">
        <f t="shared" si="17"/>
        <v>171.00422949999998</v>
      </c>
      <c r="AK222" s="9"/>
      <c r="AL222" s="6"/>
      <c r="AM222" s="14"/>
      <c r="AN222" s="14"/>
      <c r="AO222" s="12"/>
      <c r="AP222" s="14"/>
      <c r="AQ222" s="6"/>
      <c r="AR222" s="6">
        <v>216</v>
      </c>
      <c r="AS222" s="6"/>
    </row>
    <row r="223" spans="1:64" ht="15.75" customHeight="1" x14ac:dyDescent="0.2">
      <c r="A223" s="10">
        <v>46085</v>
      </c>
      <c r="B223" s="11">
        <v>0.62780092592592596</v>
      </c>
      <c r="C223" s="1" t="s">
        <v>122</v>
      </c>
      <c r="D223" s="1" t="s">
        <v>226</v>
      </c>
      <c r="E223" s="1">
        <v>163</v>
      </c>
      <c r="F223" s="1" t="s">
        <v>84</v>
      </c>
      <c r="G223" s="1">
        <v>1</v>
      </c>
      <c r="H223" s="1">
        <v>1</v>
      </c>
      <c r="I223" s="1" t="s">
        <v>47</v>
      </c>
      <c r="J223" s="1" t="s">
        <v>48</v>
      </c>
      <c r="K223" s="1">
        <v>3.6700000000000003E-2</v>
      </c>
      <c r="L223" s="1">
        <v>0.95599999999999996</v>
      </c>
      <c r="M223" s="1">
        <v>17.8</v>
      </c>
      <c r="N223" s="1" t="s">
        <v>49</v>
      </c>
      <c r="O223" s="1" t="s">
        <v>50</v>
      </c>
      <c r="P223" s="1">
        <v>0.36</v>
      </c>
      <c r="Q223" s="1">
        <v>4.76</v>
      </c>
      <c r="R223" s="1">
        <v>435</v>
      </c>
      <c r="T223" s="6">
        <v>1</v>
      </c>
      <c r="U223" s="6">
        <v>1</v>
      </c>
      <c r="V223" s="6"/>
      <c r="W223" s="12">
        <f t="shared" si="12"/>
        <v>17.8</v>
      </c>
      <c r="X223" s="7">
        <f>'Calibration-S40 to end'!$U$11*(QAQC!L223^2)+'Calibration-S40 to end'!$U$12*QAQC!L223+'Calibration-S40 to end'!$U$13</f>
        <v>15.464805412800001</v>
      </c>
      <c r="Y223" s="7">
        <f t="shared" si="14"/>
        <v>15.464805412800001</v>
      </c>
      <c r="Z223" s="6"/>
      <c r="AA223" s="6"/>
      <c r="AB223" s="14"/>
      <c r="AC223" s="14"/>
      <c r="AD223" s="14"/>
      <c r="AE223" s="14"/>
      <c r="AF223" s="6">
        <v>1</v>
      </c>
      <c r="AG223" s="6"/>
      <c r="AH223" s="6">
        <f t="shared" si="15"/>
        <v>435</v>
      </c>
      <c r="AI223" s="13">
        <f>'Calibration-S40 to end'!$I$11*(QAQC!Q223^2)+'Calibration-S40 to end'!$I$12*QAQC!Q223+'Calibration-S40 to end'!$I$13</f>
        <v>258.40666527999997</v>
      </c>
      <c r="AJ223" s="13">
        <f t="shared" si="17"/>
        <v>258.40666527999997</v>
      </c>
      <c r="AK223" s="9"/>
      <c r="AL223" s="6"/>
      <c r="AM223" s="14"/>
      <c r="AN223" s="14"/>
      <c r="AO223" s="12"/>
      <c r="AP223" s="14"/>
      <c r="AQ223" s="6"/>
      <c r="AR223" s="6">
        <v>217</v>
      </c>
      <c r="AS223" s="6"/>
    </row>
    <row r="224" spans="1:64" ht="15.75" customHeight="1" x14ac:dyDescent="0.2">
      <c r="A224" s="10">
        <v>46085</v>
      </c>
      <c r="B224" s="11">
        <v>0.62869212962962961</v>
      </c>
      <c r="C224" s="1" t="s">
        <v>122</v>
      </c>
      <c r="D224" s="1" t="s">
        <v>227</v>
      </c>
      <c r="E224" s="1">
        <v>165</v>
      </c>
      <c r="F224" s="1" t="s">
        <v>84</v>
      </c>
      <c r="G224" s="1">
        <v>1</v>
      </c>
      <c r="H224" s="1">
        <v>1</v>
      </c>
      <c r="I224" s="1" t="s">
        <v>47</v>
      </c>
      <c r="J224" s="1" t="s">
        <v>48</v>
      </c>
      <c r="K224" s="1">
        <v>8.3500000000000005E-2</v>
      </c>
      <c r="L224" s="1">
        <v>1.87</v>
      </c>
      <c r="M224" s="1">
        <v>49.8</v>
      </c>
      <c r="N224" s="1" t="s">
        <v>49</v>
      </c>
      <c r="O224" s="1" t="s">
        <v>50</v>
      </c>
      <c r="P224" s="1">
        <v>0.67100000000000004</v>
      </c>
      <c r="Q224" s="1">
        <v>8.6999999999999993</v>
      </c>
      <c r="R224" s="1">
        <v>859</v>
      </c>
      <c r="T224" s="6">
        <v>1</v>
      </c>
      <c r="U224" s="6">
        <v>1</v>
      </c>
      <c r="V224" s="6"/>
      <c r="W224" s="12">
        <f t="shared" si="12"/>
        <v>49.8</v>
      </c>
      <c r="X224" s="7">
        <f>'Calibration-S40 to end'!$U$11*(QAQC!L224^2)+'Calibration-S40 to end'!$U$12*QAQC!L224+'Calibration-S40 to end'!$U$13</f>
        <v>43.18414937</v>
      </c>
      <c r="Y224" s="7">
        <f t="shared" si="14"/>
        <v>43.18414937</v>
      </c>
      <c r="Z224" s="6"/>
      <c r="AA224" s="6"/>
      <c r="AB224" s="14"/>
      <c r="AC224" s="14"/>
      <c r="AD224" s="14">
        <f>100*((Y224*10250)-(Y223*10000))/(1000*250)</f>
        <v>115.1957907658</v>
      </c>
      <c r="AE224" s="14" t="str">
        <f>IF(Y224&gt;30, (IF((AND(AD224&gt;=80,AD224&lt;=120)=TRUE),"PASS","FAIL")),(IF((AND(AD224&gt;=50,AD224&lt;=150)=TRUE),"PASS","FAIL")))</f>
        <v>PASS</v>
      </c>
      <c r="AF224" s="6">
        <v>1</v>
      </c>
      <c r="AG224" s="6"/>
      <c r="AH224" s="6">
        <f t="shared" si="15"/>
        <v>859</v>
      </c>
      <c r="AI224" s="13">
        <f>'Calibration-S40 to end'!$I$11*(QAQC!Q224^2)+'Calibration-S40 to end'!$I$12*QAQC!Q224+'Calibration-S40 to end'!$I$13</f>
        <v>525.91725199999996</v>
      </c>
      <c r="AJ224" s="13">
        <f t="shared" si="17"/>
        <v>525.91725199999996</v>
      </c>
      <c r="AK224" s="9"/>
      <c r="AL224" s="6"/>
      <c r="AM224" s="14"/>
      <c r="AN224" s="14"/>
      <c r="AO224" s="12">
        <f>100*((AJ224*10250)-(AJ223*10000))/(1000*2500)</f>
        <v>112.26340720799999</v>
      </c>
      <c r="AP224" s="14" t="str">
        <f>IF(AJ224&gt;30, (IF((AND(AO224&gt;=80,AO224&lt;=120)=TRUE),"PASS","FAIL")),(IF((AND(AO224&gt;=50,AO224&lt;=150)=TRUE),"PASS","FAIL")))</f>
        <v>PASS</v>
      </c>
      <c r="AQ224" s="6"/>
      <c r="AR224" s="6">
        <v>218</v>
      </c>
      <c r="AS224" s="6"/>
    </row>
    <row r="225" spans="1:45" ht="15.75" customHeight="1" x14ac:dyDescent="0.2">
      <c r="A225" s="10">
        <v>46085</v>
      </c>
      <c r="B225" s="11">
        <v>0.62958333333333338</v>
      </c>
      <c r="C225" s="1" t="s">
        <v>122</v>
      </c>
      <c r="D225" s="1" t="s">
        <v>139</v>
      </c>
      <c r="E225" s="1" t="s">
        <v>56</v>
      </c>
      <c r="F225" s="1" t="s">
        <v>46</v>
      </c>
      <c r="G225" s="1">
        <v>1</v>
      </c>
      <c r="H225" s="1">
        <v>1</v>
      </c>
      <c r="I225" s="1" t="s">
        <v>47</v>
      </c>
      <c r="J225" s="1" t="s">
        <v>48</v>
      </c>
      <c r="K225" s="1">
        <v>0.13900000000000001</v>
      </c>
      <c r="L225" s="1">
        <v>1.78</v>
      </c>
      <c r="M225" s="1">
        <v>46.4</v>
      </c>
      <c r="N225" s="1" t="s">
        <v>49</v>
      </c>
      <c r="O225" s="1" t="s">
        <v>50</v>
      </c>
      <c r="P225" s="1">
        <v>5.4000000000000003E-3</v>
      </c>
      <c r="Q225" s="1">
        <v>0.13</v>
      </c>
      <c r="R225" s="1">
        <v>-75.8</v>
      </c>
      <c r="S225" s="6"/>
      <c r="T225" s="6">
        <v>1</v>
      </c>
      <c r="U225" s="6">
        <v>1</v>
      </c>
      <c r="V225" s="6"/>
      <c r="W225" s="12">
        <f t="shared" si="12"/>
        <v>46.4</v>
      </c>
      <c r="X225" s="7">
        <f>'Calibration-S40 to end'!$U$11*(QAQC!L225^2)+'Calibration-S40 to end'!$U$12*QAQC!L225+'Calibration-S40 to end'!$U$13</f>
        <v>40.48157132</v>
      </c>
      <c r="Y225" s="7">
        <f t="shared" si="14"/>
        <v>40.48157132</v>
      </c>
      <c r="Z225" s="6"/>
      <c r="AA225" s="6"/>
      <c r="AB225" s="14"/>
      <c r="AC225" s="14"/>
      <c r="AD225" s="14"/>
      <c r="AE225" s="14"/>
      <c r="AF225" s="6">
        <v>1</v>
      </c>
      <c r="AG225" s="6"/>
      <c r="AH225" s="6">
        <f t="shared" si="15"/>
        <v>-75.8</v>
      </c>
      <c r="AI225" s="13">
        <f>'Calibration-S40 to end'!$I$11*(QAQC!Q225^2)+'Calibration-S40 to end'!$I$12*QAQC!Q225+'Calibration-S40 to end'!$I$13</f>
        <v>-89.369960180000007</v>
      </c>
      <c r="AJ225" s="13">
        <f t="shared" si="17"/>
        <v>-89.369960180000007</v>
      </c>
      <c r="AK225" s="9"/>
      <c r="AL225" s="6"/>
      <c r="AM225" s="14"/>
      <c r="AN225" s="14"/>
      <c r="AO225" s="12"/>
      <c r="AP225" s="14"/>
      <c r="AQ225" s="6"/>
      <c r="AR225" s="6">
        <v>219</v>
      </c>
      <c r="AS225" s="6"/>
    </row>
    <row r="226" spans="1:45" ht="15.75" customHeight="1" x14ac:dyDescent="0.2">
      <c r="A226" s="10">
        <v>46085</v>
      </c>
      <c r="B226" s="11">
        <v>0.63048611111111108</v>
      </c>
      <c r="C226" s="1" t="s">
        <v>122</v>
      </c>
      <c r="D226" s="1" t="s">
        <v>126</v>
      </c>
      <c r="E226" s="1">
        <v>16</v>
      </c>
      <c r="F226" s="1" t="s">
        <v>88</v>
      </c>
      <c r="G226" s="1">
        <v>1</v>
      </c>
      <c r="H226" s="1">
        <v>1</v>
      </c>
      <c r="I226" s="1" t="s">
        <v>47</v>
      </c>
      <c r="J226" s="1" t="s">
        <v>48</v>
      </c>
      <c r="K226" s="1">
        <v>5.4600000000000003E-2</v>
      </c>
      <c r="L226" s="1">
        <v>1.31</v>
      </c>
      <c r="M226" s="1">
        <v>30.1</v>
      </c>
      <c r="N226" s="1" t="s">
        <v>49</v>
      </c>
      <c r="O226" s="1" t="s">
        <v>50</v>
      </c>
      <c r="P226" s="1">
        <v>0.36599999999999999</v>
      </c>
      <c r="Q226" s="1">
        <v>4.59</v>
      </c>
      <c r="R226" s="1">
        <v>416</v>
      </c>
      <c r="T226" s="6">
        <v>1</v>
      </c>
      <c r="U226" s="6">
        <v>1</v>
      </c>
      <c r="V226" s="6"/>
      <c r="W226" s="12">
        <f t="shared" si="12"/>
        <v>30.1</v>
      </c>
      <c r="X226" s="7">
        <f>'Calibration-S40 to end'!$U$11*(QAQC!L226^2)+'Calibration-S40 to end'!$U$12*QAQC!L226+'Calibration-S40 to end'!$U$13</f>
        <v>26.272645530000002</v>
      </c>
      <c r="Y226" s="7">
        <f t="shared" si="14"/>
        <v>26.272645530000002</v>
      </c>
      <c r="Z226" s="6">
        <f>100*(Y226-25)/25</f>
        <v>5.0905821200000076</v>
      </c>
      <c r="AA226" s="6" t="str">
        <f>IF((ABS(Z226))&lt;=20,"PASS","FAIL")</f>
        <v>PASS</v>
      </c>
      <c r="AB226" s="6"/>
      <c r="AC226" s="6"/>
      <c r="AD226" s="14"/>
      <c r="AE226" s="14"/>
      <c r="AF226" s="6">
        <v>1</v>
      </c>
      <c r="AG226" s="6"/>
      <c r="AH226" s="6">
        <f t="shared" si="15"/>
        <v>416</v>
      </c>
      <c r="AI226" s="13">
        <f>'Calibration-S40 to end'!$I$11*(QAQC!Q226^2)+'Calibration-S40 to end'!$I$12*QAQC!Q226+'Calibration-S40 to end'!$I$13</f>
        <v>246.27588518000002</v>
      </c>
      <c r="AJ226" s="13">
        <f t="shared" si="17"/>
        <v>246.27588518000002</v>
      </c>
      <c r="AK226" s="9">
        <f>100*(AJ226-250)/250</f>
        <v>-1.4896459279999932</v>
      </c>
      <c r="AL226" s="6" t="str">
        <f>IF((ABS(AK226))&lt;=20,"PASS","FAIL")</f>
        <v>PASS</v>
      </c>
      <c r="AM226" s="6"/>
      <c r="AN226" s="6"/>
      <c r="AO226" s="12"/>
      <c r="AP226" s="14"/>
      <c r="AQ226" s="6"/>
      <c r="AR226" s="6">
        <v>220</v>
      </c>
      <c r="AS226" s="6"/>
    </row>
    <row r="227" spans="1:45" ht="15.75" customHeight="1" x14ac:dyDescent="0.2">
      <c r="A227" s="10">
        <v>46085</v>
      </c>
      <c r="B227" s="11">
        <v>0.63137731481481485</v>
      </c>
      <c r="C227" s="1" t="s">
        <v>122</v>
      </c>
      <c r="D227" s="1" t="s">
        <v>228</v>
      </c>
      <c r="E227" s="1">
        <v>166</v>
      </c>
      <c r="F227" s="1" t="s">
        <v>46</v>
      </c>
      <c r="G227" s="1">
        <v>1</v>
      </c>
      <c r="H227" s="1">
        <v>1</v>
      </c>
      <c r="I227" s="1" t="s">
        <v>47</v>
      </c>
      <c r="J227" s="1" t="s">
        <v>48</v>
      </c>
      <c r="K227" s="1">
        <v>5.8099999999999999E-2</v>
      </c>
      <c r="L227" s="1">
        <v>1.39</v>
      </c>
      <c r="M227" s="1">
        <v>32.799999999999997</v>
      </c>
      <c r="N227" s="1" t="s">
        <v>49</v>
      </c>
      <c r="O227" s="1" t="s">
        <v>50</v>
      </c>
      <c r="P227" s="1">
        <v>0.443</v>
      </c>
      <c r="Q227" s="1">
        <v>6.04</v>
      </c>
      <c r="R227" s="1">
        <v>574</v>
      </c>
      <c r="T227" s="6">
        <v>1</v>
      </c>
      <c r="U227" s="6">
        <v>1</v>
      </c>
      <c r="V227" s="6"/>
      <c r="W227" s="12">
        <f t="shared" si="12"/>
        <v>32.799999999999997</v>
      </c>
      <c r="X227" s="7">
        <f>'Calibration-S40 to end'!$U$11*(QAQC!L227^2)+'Calibration-S40 to end'!$U$12*QAQC!L227+'Calibration-S40 to end'!$U$13</f>
        <v>28.702502329999998</v>
      </c>
      <c r="Y227" s="7">
        <f t="shared" si="14"/>
        <v>28.702502329999998</v>
      </c>
      <c r="Z227" s="6"/>
      <c r="AA227" s="6"/>
      <c r="AB227" s="12"/>
      <c r="AC227" s="14"/>
      <c r="AF227" s="6">
        <v>1</v>
      </c>
      <c r="AG227" s="6"/>
      <c r="AH227" s="6">
        <f t="shared" si="15"/>
        <v>574</v>
      </c>
      <c r="AI227" s="13">
        <f>'Calibration-S40 to end'!$I$11*(QAQC!Q227^2)+'Calibration-S40 to end'!$I$12*QAQC!Q227+'Calibration-S40 to end'!$I$13</f>
        <v>348.18118047999997</v>
      </c>
      <c r="AJ227" s="13">
        <f t="shared" si="17"/>
        <v>348.18118047999997</v>
      </c>
      <c r="AK227" s="9"/>
      <c r="AL227" s="6"/>
      <c r="AM227" s="12"/>
      <c r="AN227" s="14"/>
      <c r="AO227" s="12"/>
      <c r="AP227" s="14"/>
      <c r="AQ227" s="6"/>
      <c r="AR227" s="6">
        <v>221</v>
      </c>
      <c r="AS227" s="6"/>
    </row>
    <row r="228" spans="1:45" ht="15.75" customHeight="1" x14ac:dyDescent="0.2">
      <c r="A228" s="10">
        <v>46085</v>
      </c>
      <c r="B228" s="11">
        <v>0.63226851851851851</v>
      </c>
      <c r="C228" s="1" t="s">
        <v>122</v>
      </c>
      <c r="D228" s="1" t="s">
        <v>229</v>
      </c>
      <c r="E228" s="1">
        <v>167</v>
      </c>
      <c r="F228" s="1" t="s">
        <v>46</v>
      </c>
      <c r="G228" s="1">
        <v>1</v>
      </c>
      <c r="H228" s="1">
        <v>1</v>
      </c>
      <c r="I228" s="1" t="s">
        <v>47</v>
      </c>
      <c r="J228" s="1" t="s">
        <v>48</v>
      </c>
      <c r="K228" s="1">
        <v>4.48E-2</v>
      </c>
      <c r="L228" s="1">
        <v>1.0900000000000001</v>
      </c>
      <c r="M228" s="1">
        <v>22.6</v>
      </c>
      <c r="N228" s="1" t="s">
        <v>49</v>
      </c>
      <c r="O228" s="1" t="s">
        <v>50</v>
      </c>
      <c r="P228" s="1">
        <v>1.29</v>
      </c>
      <c r="Q228" s="1">
        <v>16.5</v>
      </c>
      <c r="R228" s="1">
        <v>1670</v>
      </c>
      <c r="T228" s="6">
        <v>1</v>
      </c>
      <c r="U228" s="6">
        <v>1</v>
      </c>
      <c r="V228" s="6"/>
      <c r="W228" s="12">
        <f t="shared" si="12"/>
        <v>22.6</v>
      </c>
      <c r="X228" s="7">
        <f>'Calibration-S40 to end'!$U$11*(QAQC!L228^2)+'Calibration-S40 to end'!$U$12*QAQC!L228+'Calibration-S40 to end'!$U$13</f>
        <v>19.566601129999999</v>
      </c>
      <c r="Y228" s="7">
        <f t="shared" si="14"/>
        <v>19.566601129999999</v>
      </c>
      <c r="Z228" s="6"/>
      <c r="AA228" s="6"/>
      <c r="AB228" s="12"/>
      <c r="AC228" s="14"/>
      <c r="AD228" s="14"/>
      <c r="AE228" s="14"/>
      <c r="AF228" s="6">
        <v>1</v>
      </c>
      <c r="AG228" s="6"/>
      <c r="AH228" s="6">
        <f t="shared" si="15"/>
        <v>1670</v>
      </c>
      <c r="AI228" s="13">
        <f>'Calibration-S40 to end'!$I$11*(QAQC!Q228^2)+'Calibration-S40 to end'!$I$12*QAQC!Q228+'Calibration-S40 to end'!$I$13</f>
        <v>978.38480000000004</v>
      </c>
      <c r="AJ228" s="13">
        <f t="shared" si="17"/>
        <v>978.38480000000004</v>
      </c>
      <c r="AK228" s="9"/>
      <c r="AL228" s="6"/>
      <c r="AM228" s="12"/>
      <c r="AN228" s="14"/>
      <c r="AO228" s="9"/>
      <c r="AP228" s="6"/>
      <c r="AQ228" s="6"/>
      <c r="AR228" s="6">
        <v>222</v>
      </c>
      <c r="AS228" s="6"/>
    </row>
    <row r="229" spans="1:45" ht="15.75" customHeight="1" x14ac:dyDescent="0.2">
      <c r="A229" s="10">
        <v>46085</v>
      </c>
      <c r="B229" s="11">
        <v>0.63315972222222228</v>
      </c>
      <c r="C229" s="1" t="s">
        <v>122</v>
      </c>
      <c r="D229" s="1" t="s">
        <v>230</v>
      </c>
      <c r="E229" s="1">
        <v>168</v>
      </c>
      <c r="F229" s="1" t="s">
        <v>46</v>
      </c>
      <c r="G229" s="1">
        <v>1</v>
      </c>
      <c r="H229" s="1">
        <v>1</v>
      </c>
      <c r="I229" s="1" t="s">
        <v>47</v>
      </c>
      <c r="J229" s="1" t="s">
        <v>48</v>
      </c>
      <c r="K229" s="1">
        <v>9.5200000000000007E-2</v>
      </c>
      <c r="L229" s="1">
        <v>1.84</v>
      </c>
      <c r="M229" s="1">
        <v>48.7</v>
      </c>
      <c r="N229" s="1" t="s">
        <v>49</v>
      </c>
      <c r="O229" s="1" t="s">
        <v>50</v>
      </c>
      <c r="P229" s="1">
        <v>0.98099999999999998</v>
      </c>
      <c r="Q229" s="1">
        <v>12.5</v>
      </c>
      <c r="R229" s="1">
        <v>1260</v>
      </c>
      <c r="S229" s="6"/>
      <c r="T229" s="6">
        <v>1</v>
      </c>
      <c r="U229" s="6">
        <v>1</v>
      </c>
      <c r="V229" s="6"/>
      <c r="W229" s="12">
        <f t="shared" si="12"/>
        <v>48.7</v>
      </c>
      <c r="X229" s="7">
        <f>'Calibration-S40 to end'!$U$11*(QAQC!L229^2)+'Calibration-S40 to end'!$U$12*QAQC!L229+'Calibration-S40 to end'!$U$13</f>
        <v>42.283942879999998</v>
      </c>
      <c r="Y229" s="7">
        <f t="shared" si="14"/>
        <v>42.283942879999998</v>
      </c>
      <c r="Z229" s="6"/>
      <c r="AA229" s="6"/>
      <c r="AB229" s="12"/>
      <c r="AC229" s="14"/>
      <c r="AD229" s="14"/>
      <c r="AE229" s="14"/>
      <c r="AF229" s="6">
        <v>1</v>
      </c>
      <c r="AG229" s="6"/>
      <c r="AH229" s="6">
        <f t="shared" si="15"/>
        <v>1260</v>
      </c>
      <c r="AI229" s="13">
        <f>'Calibration-S40 to end'!$I$11*(QAQC!Q229^2)+'Calibration-S40 to end'!$I$12*QAQC!Q229+'Calibration-S40 to end'!$I$13</f>
        <v>759.15160000000003</v>
      </c>
      <c r="AJ229" s="13">
        <f t="shared" si="17"/>
        <v>759.15160000000003</v>
      </c>
      <c r="AK229" s="9"/>
      <c r="AL229" s="6"/>
      <c r="AM229" s="12"/>
      <c r="AN229" s="14"/>
      <c r="AO229" s="12"/>
      <c r="AP229" s="14"/>
      <c r="AQ229" s="6"/>
      <c r="AR229" s="6">
        <v>223</v>
      </c>
      <c r="AS229" s="15"/>
    </row>
    <row r="230" spans="1:45" ht="15.75" customHeight="1" x14ac:dyDescent="0.2">
      <c r="A230" s="10">
        <v>46085</v>
      </c>
      <c r="B230" s="11">
        <v>0.63405092592592593</v>
      </c>
      <c r="C230" s="1" t="s">
        <v>122</v>
      </c>
      <c r="D230" s="1" t="s">
        <v>231</v>
      </c>
      <c r="E230" s="1">
        <v>169</v>
      </c>
      <c r="F230" s="1" t="s">
        <v>46</v>
      </c>
      <c r="G230" s="1">
        <v>1</v>
      </c>
      <c r="H230" s="1">
        <v>1</v>
      </c>
      <c r="I230" s="1" t="s">
        <v>47</v>
      </c>
      <c r="J230" s="1" t="s">
        <v>48</v>
      </c>
      <c r="K230" s="1">
        <v>0.33</v>
      </c>
      <c r="L230" s="1">
        <v>6.23</v>
      </c>
      <c r="M230" s="1">
        <v>206</v>
      </c>
      <c r="N230" s="1" t="s">
        <v>49</v>
      </c>
      <c r="O230" s="1" t="s">
        <v>50</v>
      </c>
      <c r="P230" s="1">
        <v>0.504</v>
      </c>
      <c r="Q230" s="1">
        <v>5.94</v>
      </c>
      <c r="R230" s="1">
        <v>562</v>
      </c>
      <c r="T230" s="6">
        <v>1</v>
      </c>
      <c r="U230" s="6">
        <v>3</v>
      </c>
      <c r="V230" s="6" t="s">
        <v>154</v>
      </c>
      <c r="W230" s="12">
        <f t="shared" si="12"/>
        <v>206</v>
      </c>
      <c r="X230" s="7">
        <f>'Calibration-S40 to end'!$U$11*(QAQC!L230^2)+'Calibration-S40 to end'!$U$12*QAQC!L230+'Calibration-S40 to end'!$U$13</f>
        <v>167.07193616999999</v>
      </c>
      <c r="Y230" s="7">
        <f t="shared" si="14"/>
        <v>167.07193616999999</v>
      </c>
      <c r="Z230" s="6"/>
      <c r="AA230" s="6"/>
      <c r="AB230" s="9"/>
      <c r="AC230" s="6"/>
      <c r="AD230" s="6"/>
      <c r="AE230" s="6"/>
      <c r="AF230" s="6">
        <v>1</v>
      </c>
      <c r="AG230" s="6"/>
      <c r="AH230" s="6">
        <f t="shared" si="15"/>
        <v>562</v>
      </c>
      <c r="AI230" s="13">
        <f>'Calibration-S40 to end'!$I$11*(QAQC!Q230^2)+'Calibration-S40 to end'!$I$12*QAQC!Q230+'Calibration-S40 to end'!$I$13</f>
        <v>341.26692608000008</v>
      </c>
      <c r="AJ230" s="13">
        <f t="shared" si="17"/>
        <v>341.26692608000008</v>
      </c>
      <c r="AK230" s="9"/>
      <c r="AL230" s="6"/>
      <c r="AM230" s="9"/>
      <c r="AN230" s="6"/>
      <c r="AO230" s="12"/>
      <c r="AP230" s="14"/>
      <c r="AQ230" s="6"/>
      <c r="AR230" s="6">
        <v>224</v>
      </c>
      <c r="AS230" s="15"/>
    </row>
    <row r="231" spans="1:45" ht="15.75" customHeight="1" x14ac:dyDescent="0.2">
      <c r="A231" s="10">
        <v>46085</v>
      </c>
      <c r="B231" s="11">
        <v>0.63495370370370374</v>
      </c>
      <c r="C231" s="1" t="s">
        <v>122</v>
      </c>
      <c r="D231" s="1" t="s">
        <v>232</v>
      </c>
      <c r="E231" s="1">
        <v>170</v>
      </c>
      <c r="F231" s="1" t="s">
        <v>75</v>
      </c>
      <c r="G231" s="1">
        <v>1</v>
      </c>
      <c r="H231" s="1">
        <v>1</v>
      </c>
      <c r="I231" s="1" t="s">
        <v>47</v>
      </c>
      <c r="J231" s="1" t="s">
        <v>48</v>
      </c>
      <c r="K231" s="1">
        <v>5.4399999999999997E-2</v>
      </c>
      <c r="L231" s="1">
        <v>1.23</v>
      </c>
      <c r="M231" s="1">
        <v>27.4</v>
      </c>
      <c r="N231" s="1" t="s">
        <v>49</v>
      </c>
      <c r="O231" s="1" t="s">
        <v>50</v>
      </c>
      <c r="P231" s="1">
        <v>0.48699999999999999</v>
      </c>
      <c r="Q231" s="1">
        <v>6.45</v>
      </c>
      <c r="R231" s="1">
        <v>617</v>
      </c>
      <c r="S231" s="6"/>
      <c r="T231" s="6">
        <v>1</v>
      </c>
      <c r="U231" s="6">
        <v>1</v>
      </c>
      <c r="V231" s="6"/>
      <c r="W231" s="12">
        <f t="shared" si="12"/>
        <v>27.4</v>
      </c>
      <c r="X231" s="7">
        <f>'Calibration-S40 to end'!$U$11*(QAQC!L231^2)+'Calibration-S40 to end'!$U$12*QAQC!L231+'Calibration-S40 to end'!$U$13</f>
        <v>23.838146169999998</v>
      </c>
      <c r="Y231" s="7">
        <f t="shared" si="14"/>
        <v>23.838146169999998</v>
      </c>
      <c r="Z231" s="6"/>
      <c r="AA231" s="6"/>
      <c r="AB231" s="12"/>
      <c r="AC231" s="14"/>
      <c r="AF231" s="6">
        <v>1</v>
      </c>
      <c r="AG231" s="6"/>
      <c r="AH231" s="6">
        <f t="shared" si="15"/>
        <v>617</v>
      </c>
      <c r="AI231" s="13">
        <f>'Calibration-S40 to end'!$I$11*(QAQC!Q231^2)+'Calibration-S40 to end'!$I$12*QAQC!Q231+'Calibration-S40 to end'!$I$13</f>
        <v>376.35351950000006</v>
      </c>
      <c r="AJ231" s="13">
        <f t="shared" si="17"/>
        <v>376.35351950000006</v>
      </c>
      <c r="AK231" s="9"/>
      <c r="AL231" s="6"/>
      <c r="AM231" s="12"/>
      <c r="AN231" s="14"/>
      <c r="AO231" s="12"/>
      <c r="AP231" s="14"/>
      <c r="AQ231" s="6"/>
      <c r="AR231" s="6">
        <v>225</v>
      </c>
      <c r="AS231" s="15"/>
    </row>
    <row r="232" spans="1:45" ht="15.75" customHeight="1" x14ac:dyDescent="0.2">
      <c r="A232" s="10">
        <v>46085</v>
      </c>
      <c r="B232" s="11">
        <v>0.6358449074074074</v>
      </c>
      <c r="C232" s="1" t="s">
        <v>122</v>
      </c>
      <c r="D232" s="1" t="s">
        <v>233</v>
      </c>
      <c r="E232" s="1">
        <v>176</v>
      </c>
      <c r="F232" s="1" t="s">
        <v>75</v>
      </c>
      <c r="G232" s="1">
        <v>1</v>
      </c>
      <c r="H232" s="1">
        <v>1</v>
      </c>
      <c r="I232" s="1" t="s">
        <v>47</v>
      </c>
      <c r="J232" s="1" t="s">
        <v>48</v>
      </c>
      <c r="K232" s="1">
        <v>5.2699999999999997E-2</v>
      </c>
      <c r="L232" s="1">
        <v>1.25</v>
      </c>
      <c r="M232" s="1">
        <v>28</v>
      </c>
      <c r="N232" s="1" t="s">
        <v>49</v>
      </c>
      <c r="O232" s="1" t="s">
        <v>50</v>
      </c>
      <c r="P232" s="1">
        <v>0.46600000000000003</v>
      </c>
      <c r="Q232" s="1">
        <v>6.19</v>
      </c>
      <c r="R232" s="1">
        <v>589</v>
      </c>
      <c r="T232" s="6">
        <v>1</v>
      </c>
      <c r="U232" s="6">
        <v>1</v>
      </c>
      <c r="V232" s="6"/>
      <c r="W232" s="12">
        <f t="shared" si="12"/>
        <v>28</v>
      </c>
      <c r="X232" s="7">
        <f>'Calibration-S40 to end'!$U$11*(QAQC!L232^2)+'Calibration-S40 to end'!$U$12*QAQC!L232+'Calibration-S40 to end'!$U$13</f>
        <v>24.447206249999997</v>
      </c>
      <c r="Y232" s="7">
        <f t="shared" si="14"/>
        <v>24.447206249999997</v>
      </c>
      <c r="Z232" s="6"/>
      <c r="AA232" s="6"/>
      <c r="AB232" s="12">
        <f>ABS(100*ABS(Y232-Y231)/AVERAGE(Y232,Y231))</f>
        <v>2.5227529653391274</v>
      </c>
      <c r="AC232" s="14" t="str">
        <f>IF(Y232&gt;10, (IF((AND(AB232&gt;=0,AB232&lt;=20)=TRUE),"PASS","FAIL")),(IF((AND(AB232&gt;=0,AB232&lt;=50)=TRUE),"PASS","FAIL")))</f>
        <v>PASS</v>
      </c>
      <c r="AD232" s="6"/>
      <c r="AE232" s="6"/>
      <c r="AF232" s="6">
        <v>1</v>
      </c>
      <c r="AG232" s="6"/>
      <c r="AH232" s="6">
        <f t="shared" si="15"/>
        <v>589</v>
      </c>
      <c r="AI232" s="13">
        <f>'Calibration-S40 to end'!$I$11*(QAQC!Q232^2)+'Calibration-S40 to end'!$I$12*QAQC!Q232+'Calibration-S40 to end'!$I$13</f>
        <v>358.52097958000002</v>
      </c>
      <c r="AJ232" s="13">
        <f t="shared" si="17"/>
        <v>358.52097958000002</v>
      </c>
      <c r="AK232" s="9"/>
      <c r="AL232" s="6"/>
      <c r="AM232" s="12">
        <f>ABS(100*ABS(AJ232-AJ231)/AVERAGE(AJ232,AJ231))</f>
        <v>4.8532205001874082</v>
      </c>
      <c r="AN232" s="14" t="str">
        <f>IF(AJ232&gt;10, (IF((AND(AM232&gt;=0,AM232&lt;=20)=TRUE),"PASS","FAIL")),(IF((AND(AM232&gt;=0,AM232&lt;=50)=TRUE),"PASS","FAIL")))</f>
        <v>PASS</v>
      </c>
      <c r="AO232" s="12"/>
      <c r="AQ232" s="6"/>
      <c r="AR232" s="6">
        <v>226</v>
      </c>
    </row>
    <row r="233" spans="1:45" ht="15.75" customHeight="1" x14ac:dyDescent="0.2">
      <c r="A233" s="10">
        <v>46085</v>
      </c>
      <c r="B233" s="11">
        <v>0.63673611111111106</v>
      </c>
      <c r="C233" s="1" t="s">
        <v>122</v>
      </c>
      <c r="D233" s="1" t="s">
        <v>234</v>
      </c>
      <c r="E233" s="1">
        <v>171</v>
      </c>
      <c r="F233" s="1" t="s">
        <v>46</v>
      </c>
      <c r="G233" s="1">
        <v>1</v>
      </c>
      <c r="H233" s="1">
        <v>1</v>
      </c>
      <c r="I233" s="1" t="s">
        <v>47</v>
      </c>
      <c r="J233" s="1" t="s">
        <v>48</v>
      </c>
      <c r="K233" s="1">
        <v>7.3099999999999998E-2</v>
      </c>
      <c r="L233" s="1">
        <v>1.6</v>
      </c>
      <c r="M233" s="1">
        <v>40.1</v>
      </c>
      <c r="N233" s="1" t="s">
        <v>49</v>
      </c>
      <c r="O233" s="1" t="s">
        <v>50</v>
      </c>
      <c r="P233" s="1">
        <v>1.74</v>
      </c>
      <c r="Q233" s="1">
        <v>22.2</v>
      </c>
      <c r="R233" s="1">
        <v>2250</v>
      </c>
      <c r="S233" s="6"/>
      <c r="T233" s="6">
        <v>1</v>
      </c>
      <c r="U233" s="6">
        <v>1</v>
      </c>
      <c r="V233" s="6"/>
      <c r="W233" s="12">
        <f t="shared" si="12"/>
        <v>40.1</v>
      </c>
      <c r="X233" s="7">
        <f>'Calibration-S40 to end'!$U$11*(QAQC!L233^2)+'Calibration-S40 to end'!$U$12*QAQC!L233+'Calibration-S40 to end'!$U$13</f>
        <v>35.058788000000007</v>
      </c>
      <c r="Y233" s="7">
        <f t="shared" si="14"/>
        <v>35.058788000000007</v>
      </c>
      <c r="Z233" s="6"/>
      <c r="AA233" s="6"/>
      <c r="AB233" s="9"/>
      <c r="AC233" s="6"/>
      <c r="AD233" s="14"/>
      <c r="AE233" s="14"/>
      <c r="AF233" s="6">
        <v>1</v>
      </c>
      <c r="AG233" s="6"/>
      <c r="AH233" s="6">
        <f t="shared" si="15"/>
        <v>2250</v>
      </c>
      <c r="AI233" s="13">
        <f>'Calibration-S40 to end'!$I$11*(QAQC!Q233^2)+'Calibration-S40 to end'!$I$12*QAQC!Q233+'Calibration-S40 to end'!$I$13</f>
        <v>1244.226872</v>
      </c>
      <c r="AJ233" s="13">
        <f t="shared" si="17"/>
        <v>1244.226872</v>
      </c>
      <c r="AK233" s="9"/>
      <c r="AL233" s="6"/>
      <c r="AM233" s="9"/>
      <c r="AN233" s="6"/>
      <c r="AO233" s="12"/>
      <c r="AP233" s="14"/>
      <c r="AQ233" s="6"/>
      <c r="AR233" s="6">
        <v>227</v>
      </c>
    </row>
    <row r="234" spans="1:45" ht="15.75" customHeight="1" x14ac:dyDescent="0.2">
      <c r="A234" s="10">
        <v>46085</v>
      </c>
      <c r="B234" s="11">
        <v>0.63761574074074079</v>
      </c>
      <c r="C234" s="1" t="s">
        <v>122</v>
      </c>
      <c r="D234" s="1" t="s">
        <v>235</v>
      </c>
      <c r="E234" s="1">
        <v>172</v>
      </c>
      <c r="F234" s="1" t="s">
        <v>46</v>
      </c>
      <c r="G234" s="1">
        <v>1</v>
      </c>
      <c r="H234" s="1">
        <v>1</v>
      </c>
      <c r="I234" s="1" t="s">
        <v>47</v>
      </c>
      <c r="J234" s="1" t="s">
        <v>48</v>
      </c>
      <c r="K234" s="1">
        <v>6.6900000000000001E-2</v>
      </c>
      <c r="L234" s="1">
        <v>1.54</v>
      </c>
      <c r="M234" s="1">
        <v>38.299999999999997</v>
      </c>
      <c r="N234" s="1" t="s">
        <v>49</v>
      </c>
      <c r="O234" s="1" t="s">
        <v>50</v>
      </c>
      <c r="P234" s="1">
        <v>1.56</v>
      </c>
      <c r="Q234" s="1">
        <v>20</v>
      </c>
      <c r="R234" s="1">
        <v>2020</v>
      </c>
      <c r="T234" s="6">
        <v>1</v>
      </c>
      <c r="U234" s="6">
        <v>1</v>
      </c>
      <c r="V234" s="6"/>
      <c r="W234" s="12">
        <f t="shared" si="12"/>
        <v>38.299999999999997</v>
      </c>
      <c r="X234" s="7">
        <f>'Calibration-S40 to end'!$U$11*(QAQC!L234^2)+'Calibration-S40 to end'!$U$12*QAQC!L234+'Calibration-S40 to end'!$U$13</f>
        <v>33.245970679999999</v>
      </c>
      <c r="Y234" s="7">
        <f t="shared" si="14"/>
        <v>33.245970679999999</v>
      </c>
      <c r="Z234" s="6"/>
      <c r="AA234" s="6"/>
      <c r="AF234" s="6">
        <v>1</v>
      </c>
      <c r="AG234" s="6"/>
      <c r="AH234" s="6">
        <f t="shared" si="15"/>
        <v>2020</v>
      </c>
      <c r="AI234" s="13">
        <f>'Calibration-S40 to end'!$I$11*(QAQC!Q234^2)+'Calibration-S40 to end'!$I$12*QAQC!Q234+'Calibration-S40 to end'!$I$13</f>
        <v>1148.1061000000002</v>
      </c>
      <c r="AJ234" s="13">
        <f t="shared" si="17"/>
        <v>1148.1061000000002</v>
      </c>
      <c r="AK234" s="9"/>
      <c r="AL234" s="6"/>
      <c r="AO234" s="12"/>
      <c r="AQ234" s="6"/>
      <c r="AR234" s="6">
        <v>228</v>
      </c>
    </row>
    <row r="235" spans="1:45" ht="15.75" customHeight="1" x14ac:dyDescent="0.2">
      <c r="A235" s="10">
        <v>46085</v>
      </c>
      <c r="B235" s="11">
        <v>0.63851851851851849</v>
      </c>
      <c r="C235" s="1" t="s">
        <v>122</v>
      </c>
      <c r="D235" s="1" t="s">
        <v>236</v>
      </c>
      <c r="E235" s="1">
        <v>173</v>
      </c>
      <c r="F235" s="1" t="s">
        <v>46</v>
      </c>
      <c r="G235" s="1">
        <v>1</v>
      </c>
      <c r="H235" s="1">
        <v>1</v>
      </c>
      <c r="I235" s="1" t="s">
        <v>47</v>
      </c>
      <c r="J235" s="1" t="s">
        <v>48</v>
      </c>
      <c r="K235" s="1">
        <v>3.78E-2</v>
      </c>
      <c r="L235" s="1">
        <v>0.86799999999999999</v>
      </c>
      <c r="M235" s="1">
        <v>14.7</v>
      </c>
      <c r="N235" s="1" t="s">
        <v>49</v>
      </c>
      <c r="O235" s="1" t="s">
        <v>50</v>
      </c>
      <c r="P235" s="1">
        <v>0.44500000000000001</v>
      </c>
      <c r="Q235" s="1">
        <v>5.55</v>
      </c>
      <c r="R235" s="1">
        <v>520</v>
      </c>
      <c r="T235" s="6">
        <v>1</v>
      </c>
      <c r="U235" s="6">
        <v>1</v>
      </c>
      <c r="V235" s="6"/>
      <c r="W235" s="12">
        <f t="shared" si="12"/>
        <v>14.7</v>
      </c>
      <c r="X235" s="7">
        <f>'Calibration-S40 to end'!$U$11*(QAQC!L235^2)+'Calibration-S40 to end'!$U$12*QAQC!L235+'Calibration-S40 to end'!$U$13</f>
        <v>12.764003115199998</v>
      </c>
      <c r="Y235" s="7">
        <f t="shared" si="14"/>
        <v>12.764003115199998</v>
      </c>
      <c r="Z235" s="6"/>
      <c r="AA235" s="6"/>
      <c r="AB235" s="14"/>
      <c r="AC235" s="14"/>
      <c r="AD235" s="14"/>
      <c r="AE235" s="14"/>
      <c r="AF235" s="6">
        <v>1</v>
      </c>
      <c r="AG235" s="6"/>
      <c r="AH235" s="6">
        <f t="shared" si="15"/>
        <v>520</v>
      </c>
      <c r="AI235" s="13">
        <f>'Calibration-S40 to end'!$I$11*(QAQC!Q235^2)+'Calibration-S40 to end'!$I$12*QAQC!Q235+'Calibration-S40 to end'!$I$13</f>
        <v>314.14038949999997</v>
      </c>
      <c r="AJ235" s="13">
        <f t="shared" si="17"/>
        <v>314.14038949999997</v>
      </c>
      <c r="AK235" s="9"/>
      <c r="AL235" s="6"/>
      <c r="AM235" s="14"/>
      <c r="AN235" s="14"/>
      <c r="AO235" s="12"/>
      <c r="AP235" s="14"/>
      <c r="AQ235" s="6"/>
      <c r="AR235" s="6">
        <v>229</v>
      </c>
    </row>
    <row r="236" spans="1:45" ht="15.75" customHeight="1" x14ac:dyDescent="0.2">
      <c r="A236" s="10">
        <v>46085</v>
      </c>
      <c r="B236" s="11">
        <v>0.63940972222222225</v>
      </c>
      <c r="C236" s="1" t="s">
        <v>122</v>
      </c>
      <c r="D236" s="1" t="s">
        <v>237</v>
      </c>
      <c r="E236" s="1">
        <v>174</v>
      </c>
      <c r="F236" s="1" t="s">
        <v>46</v>
      </c>
      <c r="G236" s="1">
        <v>1</v>
      </c>
      <c r="H236" s="1">
        <v>1</v>
      </c>
      <c r="I236" s="1" t="s">
        <v>47</v>
      </c>
      <c r="J236" s="1" t="s">
        <v>48</v>
      </c>
      <c r="K236" s="1">
        <v>0.22500000000000001</v>
      </c>
      <c r="L236" s="1">
        <v>4.53</v>
      </c>
      <c r="M236" s="1">
        <v>144</v>
      </c>
      <c r="N236" s="1" t="s">
        <v>49</v>
      </c>
      <c r="O236" s="1" t="s">
        <v>50</v>
      </c>
      <c r="P236" s="1">
        <v>1.17</v>
      </c>
      <c r="Q236" s="1">
        <v>15.1</v>
      </c>
      <c r="R236" s="1">
        <v>1530</v>
      </c>
      <c r="T236" s="6">
        <v>1</v>
      </c>
      <c r="U236" s="6">
        <v>1</v>
      </c>
      <c r="V236" s="6"/>
      <c r="W236" s="12">
        <f t="shared" si="12"/>
        <v>144</v>
      </c>
      <c r="X236" s="7">
        <f>'Calibration-S40 to end'!$U$11*(QAQC!L236^2)+'Calibration-S40 to end'!$U$12*QAQC!L236+'Calibration-S40 to end'!$U$13</f>
        <v>120.40719457000002</v>
      </c>
      <c r="Y236" s="7">
        <f t="shared" si="14"/>
        <v>120.40719457000002</v>
      </c>
      <c r="Z236" s="6"/>
      <c r="AA236" s="6"/>
      <c r="AF236" s="6">
        <v>1</v>
      </c>
      <c r="AG236" s="6"/>
      <c r="AH236" s="6">
        <f t="shared" si="15"/>
        <v>1530</v>
      </c>
      <c r="AI236" s="13">
        <f>'Calibration-S40 to end'!$I$11*(QAQC!Q236^2)+'Calibration-S40 to end'!$I$12*QAQC!Q236+'Calibration-S40 to end'!$I$13</f>
        <v>904.71878800000013</v>
      </c>
      <c r="AJ236" s="13">
        <f t="shared" si="17"/>
        <v>904.71878800000013</v>
      </c>
      <c r="AK236" s="9"/>
      <c r="AL236" s="6"/>
      <c r="AO236" s="12"/>
      <c r="AQ236" s="6"/>
      <c r="AR236" s="6">
        <v>230</v>
      </c>
    </row>
    <row r="237" spans="1:45" ht="15.75" customHeight="1" x14ac:dyDescent="0.2">
      <c r="A237" s="10">
        <v>46085</v>
      </c>
      <c r="B237" s="11">
        <v>0.64030092592592591</v>
      </c>
      <c r="C237" s="1" t="s">
        <v>122</v>
      </c>
      <c r="D237" s="1" t="s">
        <v>238</v>
      </c>
      <c r="E237" s="1">
        <v>175</v>
      </c>
      <c r="F237" s="1" t="s">
        <v>84</v>
      </c>
      <c r="G237" s="1">
        <v>1</v>
      </c>
      <c r="H237" s="1">
        <v>1</v>
      </c>
      <c r="I237" s="1" t="s">
        <v>47</v>
      </c>
      <c r="J237" s="1" t="s">
        <v>48</v>
      </c>
      <c r="K237" s="1">
        <v>6.3700000000000007E-2</v>
      </c>
      <c r="L237" s="1">
        <v>1.53</v>
      </c>
      <c r="M237" s="1">
        <v>37.9</v>
      </c>
      <c r="N237" s="1" t="s">
        <v>49</v>
      </c>
      <c r="O237" s="1" t="s">
        <v>50</v>
      </c>
      <c r="P237" s="1">
        <v>0.77600000000000002</v>
      </c>
      <c r="Q237" s="1">
        <v>9.91</v>
      </c>
      <c r="R237" s="1">
        <v>987</v>
      </c>
      <c r="T237" s="6">
        <v>1</v>
      </c>
      <c r="U237" s="6">
        <v>1</v>
      </c>
      <c r="V237" s="6"/>
      <c r="W237" s="12">
        <f t="shared" si="12"/>
        <v>37.9</v>
      </c>
      <c r="X237" s="7">
        <f>'Calibration-S40 to end'!$U$11*(QAQC!L237^2)+'Calibration-S40 to end'!$U$12*QAQC!L237+'Calibration-S40 to end'!$U$13</f>
        <v>32.943580569999995</v>
      </c>
      <c r="Y237" s="7">
        <f t="shared" si="14"/>
        <v>32.943580569999995</v>
      </c>
      <c r="Z237" s="6"/>
      <c r="AA237" s="6"/>
      <c r="AB237" s="14"/>
      <c r="AC237" s="14"/>
      <c r="AD237" s="14"/>
      <c r="AE237" s="14"/>
      <c r="AF237" s="6">
        <v>1</v>
      </c>
      <c r="AG237" s="6"/>
      <c r="AH237" s="6">
        <f t="shared" si="15"/>
        <v>987</v>
      </c>
      <c r="AI237" s="13">
        <f>'Calibration-S40 to end'!$I$11*(QAQC!Q237^2)+'Calibration-S40 to end'!$I$12*QAQC!Q237+'Calibration-S40 to end'!$I$13</f>
        <v>602.82334918000004</v>
      </c>
      <c r="AJ237" s="13">
        <f t="shared" si="17"/>
        <v>602.82334918000004</v>
      </c>
      <c r="AK237" s="9"/>
      <c r="AL237" s="6"/>
      <c r="AM237" s="14"/>
      <c r="AN237" s="14"/>
      <c r="AO237" s="12"/>
      <c r="AP237" s="14"/>
      <c r="AQ237" s="6"/>
      <c r="AR237" s="6">
        <v>231</v>
      </c>
    </row>
    <row r="238" spans="1:45" ht="15.75" customHeight="1" x14ac:dyDescent="0.2">
      <c r="A238" s="10">
        <v>46085</v>
      </c>
      <c r="B238" s="11">
        <v>0.64119212962962968</v>
      </c>
      <c r="C238" s="1" t="s">
        <v>122</v>
      </c>
      <c r="D238" s="1" t="s">
        <v>239</v>
      </c>
      <c r="E238" s="1">
        <v>177</v>
      </c>
      <c r="F238" s="1" t="s">
        <v>84</v>
      </c>
      <c r="G238" s="1">
        <v>1</v>
      </c>
      <c r="H238" s="1">
        <v>1</v>
      </c>
      <c r="I238" s="1" t="s">
        <v>47</v>
      </c>
      <c r="J238" s="1" t="s">
        <v>48</v>
      </c>
      <c r="K238" s="1">
        <v>0.11600000000000001</v>
      </c>
      <c r="L238" s="1">
        <v>2.37</v>
      </c>
      <c r="M238" s="1">
        <v>67.2</v>
      </c>
      <c r="N238" s="1" t="s">
        <v>49</v>
      </c>
      <c r="O238" s="1" t="s">
        <v>50</v>
      </c>
      <c r="P238" s="1">
        <v>0.97399999999999998</v>
      </c>
      <c r="Q238" s="1">
        <v>12.6</v>
      </c>
      <c r="R238" s="1">
        <v>1270</v>
      </c>
      <c r="T238" s="6">
        <v>1</v>
      </c>
      <c r="U238" s="6">
        <v>1</v>
      </c>
      <c r="V238" s="6"/>
      <c r="W238" s="12">
        <f t="shared" si="12"/>
        <v>67.2</v>
      </c>
      <c r="X238" s="7">
        <f>'Calibration-S40 to end'!$U$11*(QAQC!L238^2)+'Calibration-S40 to end'!$U$12*QAQC!L238+'Calibration-S40 to end'!$U$13</f>
        <v>58.091475369999998</v>
      </c>
      <c r="Y238" s="7">
        <f t="shared" si="14"/>
        <v>58.091475369999998</v>
      </c>
      <c r="Z238" s="6"/>
      <c r="AA238" s="6"/>
      <c r="AD238" s="14">
        <f>100*((Y238*10250)-(Y237*10000))/(1000*250)</f>
        <v>106.40072673700001</v>
      </c>
      <c r="AE238" s="14" t="str">
        <f>IF(Y238&gt;30, (IF((AND(AD238&gt;=80,AD238&lt;=120)=TRUE),"PASS","FAIL")),(IF((AND(AD238&gt;=50,AD238&lt;=150)=TRUE),"PASS","FAIL")))</f>
        <v>PASS</v>
      </c>
      <c r="AF238" s="6">
        <v>1</v>
      </c>
      <c r="AG238" s="6"/>
      <c r="AH238" s="6">
        <f t="shared" si="15"/>
        <v>1270</v>
      </c>
      <c r="AI238" s="13">
        <f>'Calibration-S40 to end'!$I$11*(QAQC!Q238^2)+'Calibration-S40 to end'!$I$12*QAQC!Q238+'Calibration-S40 to end'!$I$13</f>
        <v>764.96088800000007</v>
      </c>
      <c r="AJ238" s="13">
        <f t="shared" si="17"/>
        <v>764.96088800000007</v>
      </c>
      <c r="AK238" s="9"/>
      <c r="AL238" s="6"/>
      <c r="AO238" s="12">
        <f>100*((AJ238*10250)-(AJ237*10000))/(1000*2500)</f>
        <v>72.504624408000041</v>
      </c>
      <c r="AP238" s="14" t="str">
        <f>IF(AJ238&gt;30, (IF((AND(AO238&gt;=80,AO238&lt;=120)=TRUE),"PASS","FAIL")),(IF((AND(AO238&gt;=50,AO238&lt;=150)=TRUE),"PASS","FAIL")))</f>
        <v>FAIL</v>
      </c>
      <c r="AQ238" s="6"/>
      <c r="AR238" s="6">
        <v>232</v>
      </c>
    </row>
    <row r="239" spans="1:45" ht="15.75" customHeight="1" x14ac:dyDescent="0.2">
      <c r="A239" s="10">
        <v>46085</v>
      </c>
      <c r="B239" s="11">
        <v>0.64208333333333334</v>
      </c>
      <c r="C239" s="1" t="s">
        <v>122</v>
      </c>
      <c r="D239" s="1" t="s">
        <v>125</v>
      </c>
      <c r="E239" s="1" t="s">
        <v>58</v>
      </c>
      <c r="F239" s="1" t="s">
        <v>46</v>
      </c>
      <c r="G239" s="1">
        <v>1</v>
      </c>
      <c r="H239" s="1">
        <v>1</v>
      </c>
      <c r="I239" s="1" t="s">
        <v>47</v>
      </c>
      <c r="J239" s="1" t="s">
        <v>48</v>
      </c>
      <c r="K239" s="1">
        <v>1.24E-2</v>
      </c>
      <c r="L239" s="1">
        <v>0.14099999999999999</v>
      </c>
      <c r="M239" s="1">
        <v>-10.3</v>
      </c>
      <c r="N239" s="1" t="s">
        <v>49</v>
      </c>
      <c r="O239" s="1" t="s">
        <v>50</v>
      </c>
      <c r="P239" s="1">
        <v>-1.7399999999999999E-2</v>
      </c>
      <c r="Q239" s="1">
        <v>-0.245</v>
      </c>
      <c r="R239" s="1">
        <v>-118</v>
      </c>
      <c r="T239" s="6">
        <v>1</v>
      </c>
      <c r="U239" s="6">
        <v>1</v>
      </c>
      <c r="V239" s="6"/>
      <c r="W239" s="12">
        <f t="shared" si="12"/>
        <v>-10.3</v>
      </c>
      <c r="X239" s="7">
        <f>'Calibration-S40 to end'!$U$11*(QAQC!L239^2)+'Calibration-S40 to end'!$U$12*QAQC!L239+'Calibration-S40 to end'!$U$13</f>
        <v>-9.7632083387000002</v>
      </c>
      <c r="Y239" s="7">
        <f t="shared" si="14"/>
        <v>-9.7632083387000002</v>
      </c>
      <c r="Z239" s="6"/>
      <c r="AA239" s="6"/>
      <c r="AB239" s="14"/>
      <c r="AC239" s="14"/>
      <c r="AD239" s="14"/>
      <c r="AE239" s="14"/>
      <c r="AF239" s="6">
        <v>1</v>
      </c>
      <c r="AG239" s="6"/>
      <c r="AH239" s="6">
        <f t="shared" si="15"/>
        <v>-118</v>
      </c>
      <c r="AI239" s="13">
        <f>'Calibration-S40 to end'!$I$11*(QAQC!Q239^2)+'Calibration-S40 to end'!$I$12*QAQC!Q239+'Calibration-S40 to end'!$I$13</f>
        <v>-119.118317555</v>
      </c>
      <c r="AJ239" s="13">
        <f t="shared" si="17"/>
        <v>-119.118317555</v>
      </c>
      <c r="AK239" s="9"/>
      <c r="AL239" s="6"/>
      <c r="AM239" s="14"/>
      <c r="AN239" s="14"/>
      <c r="AO239" s="12"/>
      <c r="AP239" s="14"/>
      <c r="AQ239" s="6"/>
      <c r="AR239" s="6">
        <v>233</v>
      </c>
    </row>
    <row r="240" spans="1:45" ht="15.75" customHeight="1" x14ac:dyDescent="0.2">
      <c r="A240" s="10">
        <v>46085</v>
      </c>
      <c r="B240" s="11">
        <v>0.64298611111111115</v>
      </c>
      <c r="C240" s="1" t="s">
        <v>122</v>
      </c>
      <c r="D240" s="1" t="s">
        <v>126</v>
      </c>
      <c r="E240" s="1">
        <v>17</v>
      </c>
      <c r="F240" s="1" t="s">
        <v>88</v>
      </c>
      <c r="G240" s="1">
        <v>1</v>
      </c>
      <c r="H240" s="1">
        <v>1</v>
      </c>
      <c r="I240" s="1" t="s">
        <v>47</v>
      </c>
      <c r="J240" s="1" t="s">
        <v>48</v>
      </c>
      <c r="K240" s="1">
        <v>5.6399999999999999E-2</v>
      </c>
      <c r="L240" s="1">
        <v>1.28</v>
      </c>
      <c r="M240" s="1">
        <v>29.2</v>
      </c>
      <c r="N240" s="1" t="s">
        <v>49</v>
      </c>
      <c r="O240" s="1" t="s">
        <v>50</v>
      </c>
      <c r="P240" s="1">
        <v>0.372</v>
      </c>
      <c r="Q240" s="1">
        <v>4.9400000000000004</v>
      </c>
      <c r="R240" s="1">
        <v>454</v>
      </c>
      <c r="T240" s="6">
        <v>1</v>
      </c>
      <c r="U240" s="6">
        <v>1</v>
      </c>
      <c r="V240" s="6"/>
      <c r="W240" s="12">
        <f t="shared" si="12"/>
        <v>29.2</v>
      </c>
      <c r="X240" s="7">
        <f>'Calibration-S40 to end'!$U$11*(QAQC!L240^2)+'Calibration-S40 to end'!$U$12*QAQC!L240+'Calibration-S40 to end'!$U$13</f>
        <v>25.360252319999997</v>
      </c>
      <c r="Y240" s="7">
        <f t="shared" si="14"/>
        <v>25.360252319999997</v>
      </c>
      <c r="Z240" s="6">
        <f>100*(Y240-25)/25</f>
        <v>1.4410092799999887</v>
      </c>
      <c r="AA240" s="6" t="str">
        <f>IF((ABS(Z240))&lt;=20,"PASS","FAIL")</f>
        <v>PASS</v>
      </c>
      <c r="AF240" s="6">
        <v>1</v>
      </c>
      <c r="AG240" s="6"/>
      <c r="AH240" s="6">
        <f t="shared" si="15"/>
        <v>454</v>
      </c>
      <c r="AI240" s="13">
        <f>'Calibration-S40 to end'!$I$11*(QAQC!Q240^2)+'Calibration-S40 to end'!$I$12*QAQC!Q240+'Calibration-S40 to end'!$I$13</f>
        <v>271.19796208000002</v>
      </c>
      <c r="AJ240" s="13">
        <f t="shared" si="17"/>
        <v>271.19796208000002</v>
      </c>
      <c r="AK240" s="9">
        <f>100*(AJ240-250)/250</f>
        <v>8.4791848320000103</v>
      </c>
      <c r="AL240" s="6" t="str">
        <f>IF((ABS(AK240))&lt;=20,"PASS","FAIL")</f>
        <v>PASS</v>
      </c>
      <c r="AO240" s="12"/>
      <c r="AQ240" s="6"/>
      <c r="AR240" s="6">
        <v>234</v>
      </c>
    </row>
    <row r="241" spans="1:44" ht="15.75" customHeight="1" x14ac:dyDescent="0.2">
      <c r="A241" s="10">
        <v>46085</v>
      </c>
      <c r="B241" s="11">
        <v>0.64385416666666662</v>
      </c>
      <c r="C241" s="1" t="s">
        <v>122</v>
      </c>
      <c r="D241" s="1" t="s">
        <v>51</v>
      </c>
      <c r="E241" s="1" t="s">
        <v>52</v>
      </c>
      <c r="F241" s="1" t="s">
        <v>46</v>
      </c>
      <c r="G241" s="1">
        <v>1</v>
      </c>
      <c r="H241" s="1">
        <v>1</v>
      </c>
      <c r="I241" s="1" t="s">
        <v>47</v>
      </c>
      <c r="J241" s="1" t="s">
        <v>48</v>
      </c>
      <c r="K241" s="1">
        <v>0.14599999999999999</v>
      </c>
      <c r="L241" s="1">
        <v>1.81</v>
      </c>
      <c r="M241" s="1">
        <v>47.4</v>
      </c>
      <c r="N241" s="1" t="s">
        <v>49</v>
      </c>
      <c r="O241" s="1" t="s">
        <v>50</v>
      </c>
      <c r="P241" s="1">
        <v>2.0099999999999998</v>
      </c>
      <c r="Q241" s="1">
        <v>26.4</v>
      </c>
      <c r="R241" s="1">
        <v>2660</v>
      </c>
      <c r="S241" s="6">
        <f>100*(Q242/Q241)</f>
        <v>95.075757575757592</v>
      </c>
      <c r="T241" s="6">
        <v>1</v>
      </c>
      <c r="U241" s="6">
        <v>1</v>
      </c>
      <c r="V241" s="6"/>
      <c r="W241" s="12">
        <f t="shared" si="12"/>
        <v>47.4</v>
      </c>
      <c r="X241" s="7">
        <f>'Calibration-S40 to end'!$U$11*(QAQC!L241^2)+'Calibration-S40 to end'!$U$12*QAQC!L241+'Calibration-S40 to end'!$U$13</f>
        <v>41.383083529999993</v>
      </c>
      <c r="Y241" s="7">
        <f t="shared" si="14"/>
        <v>41.383083529999993</v>
      </c>
      <c r="Z241" s="6"/>
      <c r="AA241" s="6"/>
      <c r="AB241" s="12"/>
      <c r="AC241" s="14"/>
      <c r="AF241" s="6">
        <v>1</v>
      </c>
      <c r="AG241" s="6"/>
      <c r="AH241" s="6">
        <f t="shared" si="15"/>
        <v>2660</v>
      </c>
      <c r="AI241" s="13">
        <f>'Calibration-S40 to end'!$I$11*(QAQC!Q241^2)+'Calibration-S40 to end'!$I$12*QAQC!Q241+'Calibration-S40 to end'!$I$13</f>
        <v>1405.0918280000003</v>
      </c>
      <c r="AJ241" s="13">
        <f t="shared" si="17"/>
        <v>1405.0918280000003</v>
      </c>
      <c r="AK241" s="9"/>
      <c r="AL241" s="6"/>
      <c r="AM241" s="12"/>
      <c r="AN241" s="14"/>
      <c r="AO241" s="12"/>
      <c r="AP241" s="14"/>
      <c r="AQ241" s="6"/>
      <c r="AR241" s="6">
        <v>235</v>
      </c>
    </row>
    <row r="242" spans="1:44" ht="15.75" customHeight="1" x14ac:dyDescent="0.2">
      <c r="A242" s="10">
        <v>46085</v>
      </c>
      <c r="B242" s="11">
        <v>0.64474537037037039</v>
      </c>
      <c r="C242" s="1" t="s">
        <v>122</v>
      </c>
      <c r="D242" s="1" t="s">
        <v>53</v>
      </c>
      <c r="E242" s="1" t="s">
        <v>54</v>
      </c>
      <c r="F242" s="1" t="s">
        <v>46</v>
      </c>
      <c r="G242" s="1">
        <v>1</v>
      </c>
      <c r="H242" s="1">
        <v>1</v>
      </c>
      <c r="I242" s="1" t="s">
        <v>47</v>
      </c>
      <c r="J242" s="1" t="s">
        <v>48</v>
      </c>
      <c r="K242" s="1">
        <v>0.13400000000000001</v>
      </c>
      <c r="L242" s="1">
        <v>1.65</v>
      </c>
      <c r="M242" s="1">
        <v>41.8</v>
      </c>
      <c r="N242" s="1" t="s">
        <v>49</v>
      </c>
      <c r="O242" s="1" t="s">
        <v>50</v>
      </c>
      <c r="P242" s="1">
        <v>1.96</v>
      </c>
      <c r="Q242" s="1">
        <v>25.1</v>
      </c>
      <c r="R242" s="1">
        <v>2540</v>
      </c>
      <c r="T242" s="6">
        <v>1</v>
      </c>
      <c r="U242" s="6">
        <v>1</v>
      </c>
      <c r="V242" s="6"/>
      <c r="W242" s="12">
        <f t="shared" si="12"/>
        <v>41.8</v>
      </c>
      <c r="X242" s="7">
        <f>'Calibration-S40 to end'!$U$11*(QAQC!L242^2)+'Calibration-S40 to end'!$U$12*QAQC!L242+'Calibration-S40 to end'!$U$13</f>
        <v>36.567474249999989</v>
      </c>
      <c r="Y242" s="7">
        <f t="shared" si="14"/>
        <v>36.567474249999989</v>
      </c>
      <c r="Z242" s="6"/>
      <c r="AA242" s="6"/>
      <c r="AB242" s="12"/>
      <c r="AC242" s="14"/>
      <c r="AD242" s="14"/>
      <c r="AE242" s="14"/>
      <c r="AF242" s="6">
        <v>1</v>
      </c>
      <c r="AG242" s="6"/>
      <c r="AH242" s="6">
        <f t="shared" si="15"/>
        <v>2540</v>
      </c>
      <c r="AI242" s="13">
        <f>'Calibration-S40 to end'!$I$11*(QAQC!Q242^2)+'Calibration-S40 to end'!$I$12*QAQC!Q242+'Calibration-S40 to end'!$I$13</f>
        <v>1358.4753880000001</v>
      </c>
      <c r="AJ242" s="13">
        <f t="shared" si="17"/>
        <v>1358.4753880000001</v>
      </c>
      <c r="AK242" s="9"/>
      <c r="AL242" s="6"/>
      <c r="AM242" s="12"/>
      <c r="AN242" s="14"/>
      <c r="AO242" s="12"/>
      <c r="AQ242" s="6"/>
      <c r="AR242" s="6">
        <v>236</v>
      </c>
    </row>
    <row r="243" spans="1:44" ht="15.75" customHeight="1" x14ac:dyDescent="0.2">
      <c r="A243" s="10">
        <v>46085</v>
      </c>
      <c r="B243" s="11">
        <v>0.64563657407407404</v>
      </c>
      <c r="C243" s="1" t="s">
        <v>122</v>
      </c>
      <c r="D243" s="1" t="s">
        <v>240</v>
      </c>
      <c r="E243" s="1">
        <v>178</v>
      </c>
      <c r="F243" s="1" t="s">
        <v>46</v>
      </c>
      <c r="G243" s="1">
        <v>1</v>
      </c>
      <c r="H243" s="1">
        <v>1</v>
      </c>
      <c r="I243" s="1" t="s">
        <v>47</v>
      </c>
      <c r="J243" s="1" t="s">
        <v>48</v>
      </c>
      <c r="K243" s="1">
        <v>7.2400000000000006E-2</v>
      </c>
      <c r="L243" s="1">
        <v>1.65</v>
      </c>
      <c r="M243" s="1">
        <v>41.8</v>
      </c>
      <c r="N243" s="1" t="s">
        <v>49</v>
      </c>
      <c r="O243" s="1" t="s">
        <v>50</v>
      </c>
      <c r="P243" s="1">
        <v>0.70399999999999996</v>
      </c>
      <c r="Q243" s="1">
        <v>9.1</v>
      </c>
      <c r="R243" s="1">
        <v>901</v>
      </c>
      <c r="T243" s="6">
        <v>1</v>
      </c>
      <c r="U243" s="6">
        <v>1</v>
      </c>
      <c r="V243" s="6"/>
      <c r="W243" s="12">
        <f t="shared" si="12"/>
        <v>41.8</v>
      </c>
      <c r="X243" s="7">
        <f>'Calibration-S40 to end'!$U$11*(QAQC!L243^2)+'Calibration-S40 to end'!$U$12*QAQC!L243+'Calibration-S40 to end'!$U$13</f>
        <v>36.567474249999989</v>
      </c>
      <c r="Y243" s="7">
        <f t="shared" si="14"/>
        <v>36.567474249999989</v>
      </c>
      <c r="Z243" s="6"/>
      <c r="AA243" s="6"/>
      <c r="AB243" s="12"/>
      <c r="AC243" s="14"/>
      <c r="AD243" s="14"/>
      <c r="AE243" s="14"/>
      <c r="AF243" s="6">
        <v>1</v>
      </c>
      <c r="AG243" s="6"/>
      <c r="AH243" s="6">
        <f t="shared" si="15"/>
        <v>901</v>
      </c>
      <c r="AI243" s="13">
        <f>'Calibration-S40 to end'!$I$11*(QAQC!Q243^2)+'Calibration-S40 to end'!$I$12*QAQC!Q243+'Calibration-S40 to end'!$I$13</f>
        <v>551.61362800000006</v>
      </c>
      <c r="AJ243" s="13">
        <f t="shared" si="17"/>
        <v>551.61362800000006</v>
      </c>
      <c r="AK243" s="9"/>
      <c r="AL243" s="6"/>
      <c r="AM243" s="12"/>
      <c r="AN243" s="14"/>
      <c r="AO243" s="12"/>
      <c r="AP243" s="14"/>
      <c r="AQ243" s="6"/>
      <c r="AR243" s="6">
        <v>237</v>
      </c>
    </row>
    <row r="244" spans="1:44" ht="15.75" customHeight="1" x14ac:dyDescent="0.2">
      <c r="A244" s="10">
        <v>46085</v>
      </c>
      <c r="B244" s="11">
        <v>0.64652777777777781</v>
      </c>
      <c r="C244" s="1" t="s">
        <v>122</v>
      </c>
      <c r="D244" s="1" t="s">
        <v>241</v>
      </c>
      <c r="E244" s="1">
        <v>179</v>
      </c>
      <c r="F244" s="1" t="s">
        <v>46</v>
      </c>
      <c r="G244" s="1">
        <v>1</v>
      </c>
      <c r="H244" s="1">
        <v>1</v>
      </c>
      <c r="I244" s="1" t="s">
        <v>47</v>
      </c>
      <c r="J244" s="1" t="s">
        <v>48</v>
      </c>
      <c r="K244" s="1">
        <v>3.1800000000000002E-2</v>
      </c>
      <c r="L244" s="1">
        <v>0.82299999999999995</v>
      </c>
      <c r="M244" s="1">
        <v>13.2</v>
      </c>
      <c r="N244" s="1" t="s">
        <v>49</v>
      </c>
      <c r="O244" s="1" t="s">
        <v>50</v>
      </c>
      <c r="P244" s="1">
        <v>0.33800000000000002</v>
      </c>
      <c r="Q244" s="1">
        <v>4.46</v>
      </c>
      <c r="R244" s="1">
        <v>401</v>
      </c>
      <c r="T244" s="6">
        <v>1</v>
      </c>
      <c r="U244" s="6">
        <v>1</v>
      </c>
      <c r="V244" s="6"/>
      <c r="W244" s="12">
        <f t="shared" si="12"/>
        <v>13.2</v>
      </c>
      <c r="X244" s="7">
        <f>'Calibration-S40 to end'!$U$11*(QAQC!L244^2)+'Calibration-S40 to end'!$U$12*QAQC!L244+'Calibration-S40 to end'!$U$13</f>
        <v>11.380740271699999</v>
      </c>
      <c r="Y244" s="7">
        <f t="shared" si="14"/>
        <v>11.380740271699999</v>
      </c>
      <c r="Z244" s="6"/>
      <c r="AA244" s="6"/>
      <c r="AB244" s="9"/>
      <c r="AC244" s="6"/>
      <c r="AD244" s="6"/>
      <c r="AE244" s="6"/>
      <c r="AF244" s="6">
        <v>1</v>
      </c>
      <c r="AG244" s="6"/>
      <c r="AH244" s="6">
        <f t="shared" si="15"/>
        <v>401</v>
      </c>
      <c r="AI244" s="13">
        <f>'Calibration-S40 to end'!$I$11*(QAQC!Q244^2)+'Calibration-S40 to end'!$I$12*QAQC!Q244+'Calibration-S40 to end'!$I$13</f>
        <v>236.96656048000003</v>
      </c>
      <c r="AJ244" s="13">
        <f t="shared" si="17"/>
        <v>236.96656048000003</v>
      </c>
      <c r="AK244" s="9"/>
      <c r="AL244" s="6"/>
      <c r="AM244" s="9"/>
      <c r="AN244" s="6"/>
      <c r="AO244" s="12"/>
      <c r="AQ244" s="6"/>
      <c r="AR244" s="6">
        <v>238</v>
      </c>
    </row>
    <row r="245" spans="1:44" ht="15.75" customHeight="1" x14ac:dyDescent="0.2">
      <c r="A245" s="10">
        <v>46085</v>
      </c>
      <c r="B245" s="11">
        <v>0.64741898148148147</v>
      </c>
      <c r="C245" s="1" t="s">
        <v>122</v>
      </c>
      <c r="D245" s="1" t="s">
        <v>242</v>
      </c>
      <c r="E245" s="1">
        <v>180</v>
      </c>
      <c r="F245" s="1" t="s">
        <v>46</v>
      </c>
      <c r="G245" s="1">
        <v>1</v>
      </c>
      <c r="H245" s="1">
        <v>1</v>
      </c>
      <c r="I245" s="1" t="s">
        <v>47</v>
      </c>
      <c r="J245" s="1" t="s">
        <v>48</v>
      </c>
      <c r="K245" s="1">
        <v>7.9899999999999999E-2</v>
      </c>
      <c r="L245" s="1">
        <v>1.71</v>
      </c>
      <c r="M245" s="1">
        <v>44.2</v>
      </c>
      <c r="N245" s="1" t="s">
        <v>49</v>
      </c>
      <c r="O245" s="1" t="s">
        <v>50</v>
      </c>
      <c r="P245" s="1">
        <v>1.76</v>
      </c>
      <c r="Q245" s="1">
        <v>22.4</v>
      </c>
      <c r="R245" s="1">
        <v>2270</v>
      </c>
      <c r="T245" s="6">
        <v>1</v>
      </c>
      <c r="U245" s="6">
        <v>1</v>
      </c>
      <c r="V245" s="6"/>
      <c r="W245" s="12">
        <f t="shared" si="12"/>
        <v>44.2</v>
      </c>
      <c r="X245" s="7">
        <f>'Calibration-S40 to end'!$U$11*(QAQC!L245^2)+'Calibration-S40 to end'!$U$12*QAQC!L245+'Calibration-S40 to end'!$U$13</f>
        <v>38.375503929999994</v>
      </c>
      <c r="Y245" s="7">
        <f t="shared" si="14"/>
        <v>38.375503929999994</v>
      </c>
      <c r="Z245" s="6"/>
      <c r="AA245" s="6"/>
      <c r="AB245" s="12"/>
      <c r="AC245" s="14"/>
      <c r="AF245" s="6">
        <v>1</v>
      </c>
      <c r="AG245" s="6"/>
      <c r="AH245" s="6">
        <f t="shared" si="15"/>
        <v>2270</v>
      </c>
      <c r="AI245" s="13">
        <f>'Calibration-S40 to end'!$I$11*(QAQC!Q245^2)+'Calibration-S40 to end'!$I$12*QAQC!Q245+'Calibration-S40 to end'!$I$13</f>
        <v>1252.560868</v>
      </c>
      <c r="AJ245" s="13">
        <f t="shared" si="17"/>
        <v>1252.560868</v>
      </c>
      <c r="AK245" s="9"/>
      <c r="AL245" s="6"/>
      <c r="AM245" s="12"/>
      <c r="AN245" s="14"/>
      <c r="AO245" s="12"/>
      <c r="AP245" s="14"/>
      <c r="AQ245" s="6"/>
      <c r="AR245" s="6">
        <v>239</v>
      </c>
    </row>
    <row r="246" spans="1:44" ht="15.75" customHeight="1" x14ac:dyDescent="0.2">
      <c r="A246" s="10">
        <v>46085</v>
      </c>
      <c r="B246" s="11">
        <v>0.64832175925925928</v>
      </c>
      <c r="C246" s="1" t="s">
        <v>122</v>
      </c>
      <c r="D246" s="1" t="s">
        <v>243</v>
      </c>
      <c r="E246" s="1">
        <v>181</v>
      </c>
      <c r="F246" s="1" t="s">
        <v>46</v>
      </c>
      <c r="G246" s="1">
        <v>1</v>
      </c>
      <c r="H246" s="1">
        <v>1</v>
      </c>
      <c r="I246" s="1" t="s">
        <v>47</v>
      </c>
      <c r="J246" s="1" t="s">
        <v>48</v>
      </c>
      <c r="K246" s="1">
        <v>0.191</v>
      </c>
      <c r="L246" s="1">
        <v>3.78</v>
      </c>
      <c r="M246" s="1">
        <v>117</v>
      </c>
      <c r="N246" s="1" t="s">
        <v>49</v>
      </c>
      <c r="O246" s="1" t="s">
        <v>50</v>
      </c>
      <c r="P246" s="1">
        <v>0.95</v>
      </c>
      <c r="Q246" s="1">
        <v>12.2</v>
      </c>
      <c r="R246" s="1">
        <v>1230</v>
      </c>
      <c r="T246" s="6">
        <v>1</v>
      </c>
      <c r="U246" s="6">
        <v>1</v>
      </c>
      <c r="V246" s="6"/>
      <c r="W246" s="12">
        <f t="shared" si="12"/>
        <v>117</v>
      </c>
      <c r="X246" s="7">
        <f>'Calibration-S40 to end'!$U$11*(QAQC!L246^2)+'Calibration-S40 to end'!$U$12*QAQC!L246+'Calibration-S40 to end'!$U$13</f>
        <v>99.153347319999995</v>
      </c>
      <c r="Y246" s="7">
        <f t="shared" si="14"/>
        <v>99.153347319999995</v>
      </c>
      <c r="Z246" s="6"/>
      <c r="AA246" s="6"/>
      <c r="AB246" s="12"/>
      <c r="AC246" s="14"/>
      <c r="AD246" s="6"/>
      <c r="AE246" s="6"/>
      <c r="AF246" s="6">
        <v>1</v>
      </c>
      <c r="AG246" s="6"/>
      <c r="AH246" s="6">
        <f t="shared" si="15"/>
        <v>1230</v>
      </c>
      <c r="AI246" s="13">
        <f>'Calibration-S40 to end'!$I$11*(QAQC!Q246^2)+'Calibration-S40 to end'!$I$12*QAQC!Q246+'Calibration-S40 to end'!$I$13</f>
        <v>741.62267200000008</v>
      </c>
      <c r="AJ246" s="13">
        <f t="shared" si="17"/>
        <v>741.62267200000008</v>
      </c>
      <c r="AK246" s="9"/>
      <c r="AL246" s="6"/>
      <c r="AM246" s="12"/>
      <c r="AN246" s="14"/>
      <c r="AO246" s="12"/>
      <c r="AQ246" s="6"/>
      <c r="AR246" s="6">
        <v>240</v>
      </c>
    </row>
    <row r="247" spans="1:44" ht="15.75" customHeight="1" x14ac:dyDescent="0.2">
      <c r="A247" s="10">
        <v>46085</v>
      </c>
      <c r="B247" s="11">
        <v>0.64921296296296294</v>
      </c>
      <c r="C247" s="1" t="s">
        <v>122</v>
      </c>
      <c r="D247" s="1" t="s">
        <v>244</v>
      </c>
      <c r="E247" s="1">
        <v>182</v>
      </c>
      <c r="F247" s="1" t="s">
        <v>75</v>
      </c>
      <c r="G247" s="1">
        <v>1</v>
      </c>
      <c r="H247" s="1">
        <v>1</v>
      </c>
      <c r="I247" s="1" t="s">
        <v>47</v>
      </c>
      <c r="J247" s="1" t="s">
        <v>48</v>
      </c>
      <c r="K247" s="1">
        <v>9.5299999999999996E-2</v>
      </c>
      <c r="L247" s="1">
        <v>2.21</v>
      </c>
      <c r="M247" s="1">
        <v>61.5</v>
      </c>
      <c r="N247" s="1" t="s">
        <v>49</v>
      </c>
      <c r="O247" s="1" t="s">
        <v>50</v>
      </c>
      <c r="P247" s="1">
        <v>4.5</v>
      </c>
      <c r="Q247" s="1">
        <v>57.8</v>
      </c>
      <c r="R247" s="1">
        <v>5430</v>
      </c>
      <c r="T247" s="6">
        <v>1</v>
      </c>
      <c r="U247" s="6">
        <v>1</v>
      </c>
      <c r="V247" s="6"/>
      <c r="W247" s="12">
        <f t="shared" si="12"/>
        <v>61.5</v>
      </c>
      <c r="X247" s="7">
        <f>'Calibration-S40 to end'!$U$11*(QAQC!L247^2)+'Calibration-S40 to end'!$U$12*QAQC!L247+'Calibration-S40 to end'!$U$13</f>
        <v>53.340861930000003</v>
      </c>
      <c r="Y247" s="7">
        <f t="shared" si="14"/>
        <v>53.340861930000003</v>
      </c>
      <c r="Z247" s="6"/>
      <c r="AA247" s="6"/>
      <c r="AB247" s="9"/>
      <c r="AC247" s="6"/>
      <c r="AD247" s="14"/>
      <c r="AE247" s="14"/>
      <c r="AF247" s="6">
        <v>1</v>
      </c>
      <c r="AG247" s="6"/>
      <c r="AH247" s="6">
        <f t="shared" si="15"/>
        <v>5430</v>
      </c>
      <c r="AI247" s="13">
        <f>'Calibration-S40 to end'!$I$11*(QAQC!Q247^2)+'Calibration-S40 to end'!$I$12*QAQC!Q247+'Calibration-S40 to end'!$I$13</f>
        <v>1666.3040320000007</v>
      </c>
      <c r="AJ247" s="13">
        <f t="shared" si="17"/>
        <v>1666.3040320000007</v>
      </c>
      <c r="AK247" s="9"/>
      <c r="AL247" s="6"/>
      <c r="AM247" s="9"/>
      <c r="AN247" s="6"/>
      <c r="AO247" s="12"/>
      <c r="AP247" s="14"/>
      <c r="AQ247" s="6"/>
      <c r="AR247" s="6">
        <v>241</v>
      </c>
    </row>
    <row r="248" spans="1:44" ht="15.75" customHeight="1" x14ac:dyDescent="0.2">
      <c r="A248" s="10">
        <v>46085</v>
      </c>
      <c r="B248" s="11">
        <v>0.65011574074074074</v>
      </c>
      <c r="C248" s="1" t="s">
        <v>122</v>
      </c>
      <c r="D248" s="1" t="s">
        <v>245</v>
      </c>
      <c r="E248" s="1">
        <v>188</v>
      </c>
      <c r="F248" s="1" t="s">
        <v>75</v>
      </c>
      <c r="G248" s="1">
        <v>1</v>
      </c>
      <c r="H248" s="1">
        <v>1</v>
      </c>
      <c r="I248" s="1" t="s">
        <v>47</v>
      </c>
      <c r="J248" s="1" t="s">
        <v>48</v>
      </c>
      <c r="K248" s="1">
        <v>9.8400000000000001E-2</v>
      </c>
      <c r="L248" s="1">
        <v>2.0099999999999998</v>
      </c>
      <c r="M248" s="1">
        <v>54.7</v>
      </c>
      <c r="N248" s="1" t="s">
        <v>49</v>
      </c>
      <c r="O248" s="1" t="s">
        <v>50</v>
      </c>
      <c r="P248" s="1">
        <v>4.5199999999999996</v>
      </c>
      <c r="Q248" s="1">
        <v>57.6</v>
      </c>
      <c r="R248" s="1">
        <v>5410</v>
      </c>
      <c r="T248" s="6">
        <v>1</v>
      </c>
      <c r="U248" s="6">
        <v>1</v>
      </c>
      <c r="V248" s="6"/>
      <c r="W248" s="12">
        <f t="shared" si="12"/>
        <v>54.7</v>
      </c>
      <c r="X248" s="7">
        <f>'Calibration-S40 to end'!$U$11*(QAQC!L248^2)+'Calibration-S40 to end'!$U$12*QAQC!L248+'Calibration-S40 to end'!$U$13</f>
        <v>47.376480729999983</v>
      </c>
      <c r="Y248" s="7">
        <f t="shared" si="14"/>
        <v>47.376480729999983</v>
      </c>
      <c r="Z248" s="6"/>
      <c r="AA248" s="6"/>
      <c r="AB248" s="12">
        <f>ABS(100*ABS(Y248-Y247)/AVERAGE(Y248,Y247))</f>
        <v>11.843801757428178</v>
      </c>
      <c r="AC248" s="14" t="str">
        <f>IF(Y248&gt;10, (IF((AND(AB248&gt;=0,AB248&lt;=20)=TRUE),"PASS","FAIL")),(IF((AND(AB248&gt;=0,AB248&lt;=50)=TRUE),"PASS","FAIL")))</f>
        <v>PASS</v>
      </c>
      <c r="AF248" s="6">
        <v>1</v>
      </c>
      <c r="AG248" s="6"/>
      <c r="AH248" s="6">
        <f t="shared" si="15"/>
        <v>5410</v>
      </c>
      <c r="AI248" s="13">
        <f>'Calibration-S40 to end'!$I$11*(QAQC!Q248^2)+'Calibration-S40 to end'!$I$12*QAQC!Q248+'Calibration-S40 to end'!$I$13</f>
        <v>1669.8955880000005</v>
      </c>
      <c r="AJ248" s="13">
        <f t="shared" si="17"/>
        <v>1669.8955880000005</v>
      </c>
      <c r="AK248" s="9"/>
      <c r="AL248" s="6"/>
      <c r="AM248" s="12">
        <f>ABS(100*ABS(AJ248-AJ247)/AVERAGE(AJ248,AJ247))</f>
        <v>0.21530821947637854</v>
      </c>
      <c r="AN248" s="14" t="str">
        <f>IF(AJ248&gt;10, (IF((AND(AM248&gt;=0,AM248&lt;=20)=TRUE),"PASS","FAIL")),(IF((AND(AM248&gt;=0,AM248&lt;=50)=TRUE),"PASS","FAIL")))</f>
        <v>PASS</v>
      </c>
      <c r="AO248" s="12"/>
      <c r="AQ248" s="6"/>
      <c r="AR248" s="6">
        <v>242</v>
      </c>
    </row>
    <row r="249" spans="1:44" ht="15.75" customHeight="1" x14ac:dyDescent="0.2">
      <c r="A249" s="10">
        <v>46085</v>
      </c>
      <c r="B249" s="11">
        <v>0.65101851851851855</v>
      </c>
      <c r="C249" s="1" t="s">
        <v>122</v>
      </c>
      <c r="D249" s="1" t="s">
        <v>246</v>
      </c>
      <c r="E249" s="1">
        <v>183</v>
      </c>
      <c r="F249" s="1" t="s">
        <v>46</v>
      </c>
      <c r="G249" s="1">
        <v>1</v>
      </c>
      <c r="H249" s="1">
        <v>1</v>
      </c>
      <c r="I249" s="1" t="s">
        <v>47</v>
      </c>
      <c r="J249" s="1" t="s">
        <v>48</v>
      </c>
      <c r="K249" s="1">
        <v>5.9700000000000003E-2</v>
      </c>
      <c r="L249" s="1">
        <v>1.39</v>
      </c>
      <c r="M249" s="1">
        <v>33</v>
      </c>
      <c r="N249" s="1" t="s">
        <v>49</v>
      </c>
      <c r="O249" s="1" t="s">
        <v>50</v>
      </c>
      <c r="P249" s="1">
        <v>0.59899999999999998</v>
      </c>
      <c r="Q249" s="1">
        <v>7.81</v>
      </c>
      <c r="R249" s="1">
        <v>764</v>
      </c>
      <c r="T249" s="6">
        <v>1</v>
      </c>
      <c r="U249" s="6">
        <v>1</v>
      </c>
      <c r="V249" s="6"/>
      <c r="W249" s="12">
        <f t="shared" si="12"/>
        <v>33</v>
      </c>
      <c r="X249" s="7">
        <f>'Calibration-S40 to end'!$U$11*(QAQC!L249^2)+'Calibration-S40 to end'!$U$12*QAQC!L249+'Calibration-S40 to end'!$U$13</f>
        <v>28.702502329999998</v>
      </c>
      <c r="Y249" s="7">
        <f t="shared" si="14"/>
        <v>28.702502329999998</v>
      </c>
      <c r="Z249" s="6"/>
      <c r="AA249" s="6"/>
      <c r="AB249" s="14"/>
      <c r="AC249" s="14"/>
      <c r="AD249" s="14"/>
      <c r="AE249" s="14"/>
      <c r="AF249" s="6">
        <v>1</v>
      </c>
      <c r="AG249" s="6"/>
      <c r="AH249" s="6">
        <f t="shared" si="15"/>
        <v>764</v>
      </c>
      <c r="AI249" s="13">
        <f>'Calibration-S40 to end'!$I$11*(QAQC!Q249^2)+'Calibration-S40 to end'!$I$12*QAQC!Q249+'Calibration-S40 to end'!$I$13</f>
        <v>467.77588558000002</v>
      </c>
      <c r="AJ249" s="13">
        <f t="shared" si="17"/>
        <v>467.77588558000002</v>
      </c>
      <c r="AK249" s="9"/>
      <c r="AL249" s="6"/>
      <c r="AM249" s="14"/>
      <c r="AN249" s="14"/>
      <c r="AO249" s="12"/>
      <c r="AP249" s="14"/>
      <c r="AQ249" s="6"/>
      <c r="AR249" s="6">
        <v>243</v>
      </c>
    </row>
    <row r="250" spans="1:44" ht="15.75" customHeight="1" x14ac:dyDescent="0.2">
      <c r="A250" s="10">
        <v>46085</v>
      </c>
      <c r="B250" s="11">
        <v>0.65190972222222221</v>
      </c>
      <c r="C250" s="1" t="s">
        <v>122</v>
      </c>
      <c r="D250" s="1" t="s">
        <v>247</v>
      </c>
      <c r="E250" s="1">
        <v>184</v>
      </c>
      <c r="F250" s="1" t="s">
        <v>46</v>
      </c>
      <c r="G250" s="1">
        <v>1</v>
      </c>
      <c r="H250" s="1">
        <v>1</v>
      </c>
      <c r="I250" s="1" t="s">
        <v>47</v>
      </c>
      <c r="J250" s="1" t="s">
        <v>48</v>
      </c>
      <c r="K250" s="1">
        <v>7.6399999999999996E-2</v>
      </c>
      <c r="L250" s="1">
        <v>1.54</v>
      </c>
      <c r="M250" s="1">
        <v>38.200000000000003</v>
      </c>
      <c r="N250" s="1" t="s">
        <v>49</v>
      </c>
      <c r="O250" s="1" t="s">
        <v>50</v>
      </c>
      <c r="P250" s="1">
        <v>0.52400000000000002</v>
      </c>
      <c r="Q250" s="1">
        <v>6.91</v>
      </c>
      <c r="R250" s="1">
        <v>667</v>
      </c>
      <c r="T250" s="6">
        <v>1</v>
      </c>
      <c r="U250" s="6">
        <v>1</v>
      </c>
      <c r="V250" s="6"/>
      <c r="W250" s="12">
        <f t="shared" si="12"/>
        <v>38.200000000000003</v>
      </c>
      <c r="X250" s="7">
        <f>'Calibration-S40 to end'!$U$11*(QAQC!L250^2)+'Calibration-S40 to end'!$U$12*QAQC!L250+'Calibration-S40 to end'!$U$13</f>
        <v>33.245970679999999</v>
      </c>
      <c r="Y250" s="7">
        <f t="shared" si="14"/>
        <v>33.245970679999999</v>
      </c>
      <c r="Z250" s="6"/>
      <c r="AA250" s="6"/>
      <c r="AF250" s="6">
        <v>3</v>
      </c>
      <c r="AG250" s="6" t="s">
        <v>248</v>
      </c>
      <c r="AH250" s="6">
        <f t="shared" si="15"/>
        <v>667</v>
      </c>
      <c r="AI250" s="13">
        <f>'Calibration-S40 to end'!$I$11*(QAQC!Q250^2)+'Calibration-S40 to end'!$I$12*QAQC!Q250+'Calibration-S40 to end'!$I$13</f>
        <v>407.62446118000003</v>
      </c>
      <c r="AJ250" s="13">
        <f t="shared" si="17"/>
        <v>407.62446118000003</v>
      </c>
      <c r="AK250" s="9"/>
      <c r="AL250" s="6"/>
      <c r="AO250" s="12"/>
      <c r="AQ250" s="6"/>
      <c r="AR250" s="6">
        <v>244</v>
      </c>
    </row>
    <row r="251" spans="1:44" ht="15.75" customHeight="1" x14ac:dyDescent="0.2">
      <c r="A251" s="10">
        <v>46085</v>
      </c>
      <c r="B251" s="11">
        <v>0.65280092592592598</v>
      </c>
      <c r="C251" s="1" t="s">
        <v>122</v>
      </c>
      <c r="D251" s="1" t="s">
        <v>249</v>
      </c>
      <c r="E251" s="1">
        <v>185</v>
      </c>
      <c r="F251" s="1" t="s">
        <v>46</v>
      </c>
      <c r="G251" s="1">
        <v>1</v>
      </c>
      <c r="H251" s="1">
        <v>1</v>
      </c>
      <c r="I251" s="1" t="s">
        <v>47</v>
      </c>
      <c r="J251" s="1" t="s">
        <v>48</v>
      </c>
      <c r="K251" s="1">
        <v>0.41399999999999998</v>
      </c>
      <c r="L251" s="1">
        <v>7.72</v>
      </c>
      <c r="M251" s="1">
        <v>261</v>
      </c>
      <c r="N251" s="1" t="s">
        <v>49</v>
      </c>
      <c r="O251" s="1" t="s">
        <v>50</v>
      </c>
      <c r="P251" s="1">
        <v>0.88</v>
      </c>
      <c r="Q251" s="1">
        <v>11.3</v>
      </c>
      <c r="R251" s="1">
        <v>1140</v>
      </c>
      <c r="T251" s="6">
        <v>1</v>
      </c>
      <c r="U251" s="6">
        <v>3</v>
      </c>
      <c r="V251" s="6" t="s">
        <v>154</v>
      </c>
      <c r="W251" s="12">
        <f t="shared" si="12"/>
        <v>261</v>
      </c>
      <c r="X251" s="7">
        <f>'Calibration-S40 to end'!$U$11*(QAQC!L251^2)+'Calibration-S40 to end'!$U$12*QAQC!L251+'Calibration-S40 to end'!$U$13</f>
        <v>206.24826031999996</v>
      </c>
      <c r="Y251" s="7">
        <f t="shared" si="14"/>
        <v>206.24826031999996</v>
      </c>
      <c r="Z251" s="6"/>
      <c r="AA251" s="6"/>
      <c r="AB251" s="14"/>
      <c r="AC251" s="14"/>
      <c r="AD251" s="14"/>
      <c r="AE251" s="14"/>
      <c r="AF251" s="6">
        <v>1</v>
      </c>
      <c r="AG251" s="6"/>
      <c r="AH251" s="6">
        <f t="shared" si="15"/>
        <v>1140</v>
      </c>
      <c r="AI251" s="13">
        <f>'Calibration-S40 to end'!$I$11*(QAQC!Q251^2)+'Calibration-S40 to end'!$I$12*QAQC!Q251+'Calibration-S40 to end'!$I$13</f>
        <v>688.1263120000001</v>
      </c>
      <c r="AJ251" s="13">
        <f t="shared" si="17"/>
        <v>688.1263120000001</v>
      </c>
      <c r="AK251" s="9"/>
      <c r="AL251" s="6"/>
      <c r="AM251" s="14"/>
      <c r="AN251" s="14"/>
      <c r="AO251" s="12"/>
      <c r="AP251" s="14"/>
      <c r="AQ251" s="6"/>
      <c r="AR251" s="6">
        <v>245</v>
      </c>
    </row>
    <row r="252" spans="1:44" ht="15.75" customHeight="1" x14ac:dyDescent="0.2">
      <c r="A252" s="10">
        <v>46085</v>
      </c>
      <c r="B252" s="11">
        <v>0.65370370370370368</v>
      </c>
      <c r="C252" s="1" t="s">
        <v>122</v>
      </c>
      <c r="D252" s="1" t="s">
        <v>250</v>
      </c>
      <c r="E252" s="1">
        <v>186</v>
      </c>
      <c r="F252" s="1" t="s">
        <v>46</v>
      </c>
      <c r="G252" s="1">
        <v>1</v>
      </c>
      <c r="H252" s="1">
        <v>1</v>
      </c>
      <c r="I252" s="1" t="s">
        <v>47</v>
      </c>
      <c r="J252" s="1" t="s">
        <v>48</v>
      </c>
      <c r="K252" s="1">
        <v>7.9500000000000001E-2</v>
      </c>
      <c r="L252" s="1">
        <v>1.75</v>
      </c>
      <c r="M252" s="1">
        <v>45.6</v>
      </c>
      <c r="N252" s="1" t="s">
        <v>49</v>
      </c>
      <c r="O252" s="1" t="s">
        <v>50</v>
      </c>
      <c r="P252" s="1">
        <v>0.97199999999999998</v>
      </c>
      <c r="Q252" s="1">
        <v>12.5</v>
      </c>
      <c r="R252" s="1">
        <v>1270</v>
      </c>
      <c r="S252" s="6"/>
      <c r="T252" s="6">
        <v>1</v>
      </c>
      <c r="U252" s="6">
        <v>1</v>
      </c>
      <c r="V252" s="6"/>
      <c r="W252" s="12">
        <f t="shared" si="12"/>
        <v>45.6</v>
      </c>
      <c r="X252" s="7">
        <f>'Calibration-S40 to end'!$U$11*(QAQC!L252^2)+'Calibration-S40 to end'!$U$12*QAQC!L252+'Calibration-S40 to end'!$U$13</f>
        <v>39.579406250000005</v>
      </c>
      <c r="Y252" s="7">
        <f t="shared" si="14"/>
        <v>39.579406250000005</v>
      </c>
      <c r="Z252" s="6"/>
      <c r="AA252" s="6"/>
      <c r="AF252" s="6">
        <v>1</v>
      </c>
      <c r="AG252" s="6"/>
      <c r="AH252" s="6">
        <f t="shared" si="15"/>
        <v>1270</v>
      </c>
      <c r="AI252" s="13">
        <f>'Calibration-S40 to end'!$I$11*(QAQC!Q252^2)+'Calibration-S40 to end'!$I$12*QAQC!Q252+'Calibration-S40 to end'!$I$13</f>
        <v>759.15160000000003</v>
      </c>
      <c r="AJ252" s="13">
        <f t="shared" si="17"/>
        <v>759.15160000000003</v>
      </c>
      <c r="AK252" s="9"/>
      <c r="AL252" s="6"/>
      <c r="AO252" s="12"/>
      <c r="AQ252" s="6"/>
      <c r="AR252" s="6">
        <v>246</v>
      </c>
    </row>
    <row r="253" spans="1:44" ht="15.75" customHeight="1" x14ac:dyDescent="0.2">
      <c r="A253" s="10">
        <v>46085</v>
      </c>
      <c r="B253" s="11">
        <v>0.65460648148148148</v>
      </c>
      <c r="C253" s="1" t="s">
        <v>122</v>
      </c>
      <c r="D253" s="1" t="s">
        <v>251</v>
      </c>
      <c r="E253" s="1">
        <v>187</v>
      </c>
      <c r="F253" s="1" t="s">
        <v>84</v>
      </c>
      <c r="G253" s="1">
        <v>1</v>
      </c>
      <c r="H253" s="1">
        <v>1</v>
      </c>
      <c r="I253" s="1" t="s">
        <v>47</v>
      </c>
      <c r="J253" s="1" t="s">
        <v>48</v>
      </c>
      <c r="K253" s="1">
        <v>2.2700000000000001E-2</v>
      </c>
      <c r="L253" s="1">
        <v>0.59399999999999997</v>
      </c>
      <c r="M253" s="1">
        <v>5.27</v>
      </c>
      <c r="N253" s="1" t="s">
        <v>49</v>
      </c>
      <c r="O253" s="1" t="s">
        <v>50</v>
      </c>
      <c r="P253" s="1">
        <v>0.17</v>
      </c>
      <c r="Q253" s="1">
        <v>2.61</v>
      </c>
      <c r="R253" s="1">
        <v>198</v>
      </c>
      <c r="T253" s="6">
        <v>1</v>
      </c>
      <c r="U253" s="6">
        <v>1</v>
      </c>
      <c r="V253" s="6"/>
      <c r="W253" s="12">
        <f t="shared" si="12"/>
        <v>5.27</v>
      </c>
      <c r="X253" s="7">
        <f>'Calibration-S40 to end'!$U$11*(QAQC!L253^2)+'Calibration-S40 to end'!$U$12*QAQC!L253+'Calibration-S40 to end'!$U$13</f>
        <v>4.3187113828000001</v>
      </c>
      <c r="Y253" s="7">
        <f t="shared" si="14"/>
        <v>4.3187113828000001</v>
      </c>
      <c r="Z253" s="6"/>
      <c r="AA253" s="6"/>
      <c r="AB253" s="14"/>
      <c r="AC253" s="14"/>
      <c r="AD253" s="14"/>
      <c r="AE253" s="14"/>
      <c r="AF253" s="6">
        <v>1</v>
      </c>
      <c r="AG253" s="6"/>
      <c r="AH253" s="6">
        <f t="shared" si="15"/>
        <v>198</v>
      </c>
      <c r="AI253" s="13">
        <f>'Calibration-S40 to end'!$I$11*(QAQC!Q253^2)+'Calibration-S40 to end'!$I$12*QAQC!Q253+'Calibration-S40 to end'!$I$13</f>
        <v>101.40273038000001</v>
      </c>
      <c r="AJ253" s="13">
        <f t="shared" si="17"/>
        <v>101.40273038000001</v>
      </c>
      <c r="AK253" s="9"/>
      <c r="AL253" s="6"/>
      <c r="AM253" s="14"/>
      <c r="AN253" s="14"/>
      <c r="AO253" s="12"/>
      <c r="AP253" s="14"/>
      <c r="AQ253" s="6"/>
      <c r="AR253" s="6">
        <v>247</v>
      </c>
    </row>
    <row r="254" spans="1:44" ht="15.75" customHeight="1" x14ac:dyDescent="0.2">
      <c r="A254" s="10">
        <v>46085</v>
      </c>
      <c r="B254" s="11">
        <v>0.65549768518518514</v>
      </c>
      <c r="C254" s="1" t="s">
        <v>122</v>
      </c>
      <c r="D254" s="1" t="s">
        <v>252</v>
      </c>
      <c r="E254" s="1">
        <v>189</v>
      </c>
      <c r="F254" s="1" t="s">
        <v>84</v>
      </c>
      <c r="G254" s="1">
        <v>1</v>
      </c>
      <c r="H254" s="1">
        <v>1</v>
      </c>
      <c r="I254" s="1" t="s">
        <v>47</v>
      </c>
      <c r="J254" s="1" t="s">
        <v>48</v>
      </c>
      <c r="K254" s="1">
        <v>6.7100000000000007E-2</v>
      </c>
      <c r="L254" s="1">
        <v>1.45</v>
      </c>
      <c r="M254" s="1">
        <v>35</v>
      </c>
      <c r="N254" s="1" t="s">
        <v>49</v>
      </c>
      <c r="O254" s="1" t="s">
        <v>50</v>
      </c>
      <c r="P254" s="1">
        <v>0.44800000000000001</v>
      </c>
      <c r="Q254" s="1">
        <v>5.86</v>
      </c>
      <c r="R254" s="1">
        <v>553</v>
      </c>
      <c r="T254" s="6">
        <v>1</v>
      </c>
      <c r="U254" s="6">
        <v>1</v>
      </c>
      <c r="V254" s="6"/>
      <c r="W254" s="12">
        <f t="shared" si="12"/>
        <v>35</v>
      </c>
      <c r="X254" s="7">
        <f>'Calibration-S40 to end'!$U$11*(QAQC!L254^2)+'Calibration-S40 to end'!$U$12*QAQC!L254+'Calibration-S40 to end'!$U$13</f>
        <v>30.521848249999994</v>
      </c>
      <c r="Y254" s="7">
        <f t="shared" si="14"/>
        <v>30.521848249999994</v>
      </c>
      <c r="Z254" s="6"/>
      <c r="AA254" s="6"/>
      <c r="AD254" s="14">
        <f>100*((Y254*10250)-(Y253*10000))/(1000*250)</f>
        <v>107.86473229379997</v>
      </c>
      <c r="AE254" s="14" t="str">
        <f>IF(Y254&gt;30, (IF((AND(AD254&gt;=80,AD254&lt;=120)=TRUE),"PASS","FAIL")),(IF((AND(AD254&gt;=50,AD254&lt;=150)=TRUE),"PASS","FAIL")))</f>
        <v>PASS</v>
      </c>
      <c r="AF254" s="6">
        <v>1</v>
      </c>
      <c r="AG254" s="6"/>
      <c r="AH254" s="6">
        <f t="shared" si="15"/>
        <v>553</v>
      </c>
      <c r="AI254" s="13">
        <f>'Calibration-S40 to end'!$I$11*(QAQC!Q254^2)+'Calibration-S40 to end'!$I$12*QAQC!Q254+'Calibration-S40 to end'!$I$13</f>
        <v>335.72339488</v>
      </c>
      <c r="AJ254" s="13">
        <f t="shared" si="17"/>
        <v>335.72339488</v>
      </c>
      <c r="AK254" s="9"/>
      <c r="AL254" s="6"/>
      <c r="AO254" s="12">
        <f>100*((AJ254*10250)-(AJ253*10000))/(1000*2500)</f>
        <v>97.08549974879999</v>
      </c>
      <c r="AP254" s="14" t="str">
        <f>IF(AJ254&gt;30, (IF((AND(AO254&gt;=80,AO254&lt;=120)=TRUE),"PASS","FAIL")),(IF((AND(AO254&gt;=50,AO254&lt;=150)=TRUE),"PASS","FAIL")))</f>
        <v>PASS</v>
      </c>
      <c r="AQ254" s="6"/>
      <c r="AR254" s="6">
        <v>248</v>
      </c>
    </row>
    <row r="255" spans="1:44" ht="15.75" customHeight="1" x14ac:dyDescent="0.2">
      <c r="A255" s="10">
        <v>46085</v>
      </c>
      <c r="B255" s="11">
        <v>0.65638888888888891</v>
      </c>
      <c r="C255" s="1" t="s">
        <v>122</v>
      </c>
      <c r="D255" s="1" t="s">
        <v>139</v>
      </c>
      <c r="E255" s="1" t="s">
        <v>56</v>
      </c>
      <c r="F255" s="1" t="s">
        <v>46</v>
      </c>
      <c r="G255" s="1">
        <v>1</v>
      </c>
      <c r="H255" s="1">
        <v>1</v>
      </c>
      <c r="I255" s="1" t="s">
        <v>47</v>
      </c>
      <c r="J255" s="1" t="s">
        <v>48</v>
      </c>
      <c r="K255" s="1">
        <v>0.13500000000000001</v>
      </c>
      <c r="L255" s="1">
        <v>1.64</v>
      </c>
      <c r="M255" s="1">
        <v>41.6</v>
      </c>
      <c r="N255" s="1" t="s">
        <v>49</v>
      </c>
      <c r="O255" s="1" t="s">
        <v>50</v>
      </c>
      <c r="P255" s="1">
        <v>5.2300000000000003E-3</v>
      </c>
      <c r="Q255" s="1">
        <v>7.7700000000000005E-2</v>
      </c>
      <c r="R255" s="1">
        <v>-81.599999999999994</v>
      </c>
      <c r="T255" s="6">
        <v>1</v>
      </c>
      <c r="U255" s="6">
        <v>1</v>
      </c>
      <c r="V255" s="6"/>
      <c r="W255" s="12">
        <f t="shared" si="12"/>
        <v>41.6</v>
      </c>
      <c r="X255" s="7">
        <f>'Calibration-S40 to end'!$U$11*(QAQC!L255^2)+'Calibration-S40 to end'!$U$12*QAQC!L255+'Calibration-S40 to end'!$U$13</f>
        <v>36.265882079999997</v>
      </c>
      <c r="Y255" s="7">
        <f t="shared" si="14"/>
        <v>36.265882079999997</v>
      </c>
      <c r="Z255" s="6"/>
      <c r="AA255" s="6"/>
      <c r="AB255" s="14"/>
      <c r="AC255" s="14"/>
      <c r="AD255" s="14"/>
      <c r="AE255" s="14"/>
      <c r="AF255" s="6">
        <v>1</v>
      </c>
      <c r="AG255" s="6"/>
      <c r="AH255" s="6">
        <f t="shared" si="15"/>
        <v>-81.599999999999994</v>
      </c>
      <c r="AI255" s="13">
        <f>'Calibration-S40 to end'!$I$11*(QAQC!Q255^2)+'Calibration-S40 to end'!$I$12*QAQC!Q255+'Calibration-S40 to end'!$I$13</f>
        <v>-93.504650435637998</v>
      </c>
      <c r="AJ255" s="13">
        <f t="shared" si="17"/>
        <v>-93.504650435637998</v>
      </c>
      <c r="AK255" s="9"/>
      <c r="AL255" s="6"/>
      <c r="AM255" s="14"/>
      <c r="AN255" s="14"/>
      <c r="AO255" s="12"/>
      <c r="AP255" s="14"/>
      <c r="AQ255" s="6"/>
      <c r="AR255" s="6">
        <v>249</v>
      </c>
    </row>
    <row r="256" spans="1:44" ht="15.75" customHeight="1" x14ac:dyDescent="0.2">
      <c r="A256" s="10">
        <v>46085</v>
      </c>
      <c r="B256" s="11">
        <v>0.65728009259259257</v>
      </c>
      <c r="C256" s="1" t="s">
        <v>122</v>
      </c>
      <c r="D256" s="1" t="s">
        <v>126</v>
      </c>
      <c r="E256" s="1">
        <v>18</v>
      </c>
      <c r="F256" s="1" t="s">
        <v>88</v>
      </c>
      <c r="G256" s="1">
        <v>1</v>
      </c>
      <c r="H256" s="1">
        <v>1</v>
      </c>
      <c r="I256" s="1" t="s">
        <v>47</v>
      </c>
      <c r="J256" s="1" t="s">
        <v>48</v>
      </c>
      <c r="K256" s="1">
        <v>5.4899999999999997E-2</v>
      </c>
      <c r="L256" s="1">
        <v>1.29</v>
      </c>
      <c r="M256" s="1">
        <v>29.3</v>
      </c>
      <c r="N256" s="1" t="s">
        <v>49</v>
      </c>
      <c r="O256" s="1" t="s">
        <v>50</v>
      </c>
      <c r="P256" s="1">
        <v>0.38300000000000001</v>
      </c>
      <c r="Q256" s="1">
        <v>5</v>
      </c>
      <c r="R256" s="1">
        <v>461</v>
      </c>
      <c r="T256" s="6">
        <v>1</v>
      </c>
      <c r="U256" s="6">
        <v>1</v>
      </c>
      <c r="V256" s="6"/>
      <c r="W256" s="12">
        <f t="shared" si="12"/>
        <v>29.3</v>
      </c>
      <c r="X256" s="7">
        <f>'Calibration-S40 to end'!$U$11*(QAQC!L256^2)+'Calibration-S40 to end'!$U$12*QAQC!L256+'Calibration-S40 to end'!$U$13</f>
        <v>25.664455929999999</v>
      </c>
      <c r="Y256" s="7">
        <f t="shared" si="14"/>
        <v>25.664455929999999</v>
      </c>
      <c r="Z256" s="6">
        <f>100*(Y256-25)/25</f>
        <v>2.6578237199999961</v>
      </c>
      <c r="AA256" s="6" t="str">
        <f>IF((ABS(Z256))&lt;=20,"PASS","FAIL")</f>
        <v>PASS</v>
      </c>
      <c r="AF256" s="6">
        <v>1</v>
      </c>
      <c r="AG256" s="6"/>
      <c r="AH256" s="6">
        <f t="shared" si="15"/>
        <v>461</v>
      </c>
      <c r="AI256" s="13">
        <f>'Calibration-S40 to end'!$I$11*(QAQC!Q256^2)+'Calibration-S40 to end'!$I$12*QAQC!Q256+'Calibration-S40 to end'!$I$13</f>
        <v>275.44960000000003</v>
      </c>
      <c r="AJ256" s="13">
        <f t="shared" si="17"/>
        <v>275.44960000000003</v>
      </c>
      <c r="AK256" s="9">
        <f>100*(AJ256-250)/250</f>
        <v>10.179840000000013</v>
      </c>
      <c r="AL256" s="6" t="str">
        <f>IF((ABS(AK256))&lt;=20,"PASS","FAIL")</f>
        <v>PASS</v>
      </c>
      <c r="AO256" s="12"/>
      <c r="AR256" s="6">
        <v>250</v>
      </c>
    </row>
    <row r="257" spans="1:44" ht="15.75" customHeight="1" x14ac:dyDescent="0.2">
      <c r="A257" s="10">
        <v>46085</v>
      </c>
      <c r="B257" s="11">
        <v>0.65818287037037038</v>
      </c>
      <c r="C257" s="1" t="s">
        <v>122</v>
      </c>
      <c r="D257" s="1" t="s">
        <v>253</v>
      </c>
      <c r="E257" s="1">
        <v>190</v>
      </c>
      <c r="F257" s="1" t="s">
        <v>46</v>
      </c>
      <c r="G257" s="1">
        <v>1</v>
      </c>
      <c r="H257" s="1">
        <v>1</v>
      </c>
      <c r="I257" s="1" t="s">
        <v>47</v>
      </c>
      <c r="J257" s="1" t="s">
        <v>48</v>
      </c>
      <c r="K257" s="1">
        <v>8.48E-2</v>
      </c>
      <c r="L257" s="1">
        <v>1.82</v>
      </c>
      <c r="M257" s="1">
        <v>47.8</v>
      </c>
      <c r="N257" s="1" t="s">
        <v>49</v>
      </c>
      <c r="O257" s="1" t="s">
        <v>50</v>
      </c>
      <c r="P257" s="1">
        <v>1.01</v>
      </c>
      <c r="Q257" s="1">
        <v>12.5</v>
      </c>
      <c r="R257" s="1">
        <v>1260</v>
      </c>
      <c r="T257" s="6">
        <v>1</v>
      </c>
      <c r="U257" s="6">
        <v>1</v>
      </c>
      <c r="V257" s="6"/>
      <c r="W257" s="12">
        <f t="shared" si="12"/>
        <v>47.8</v>
      </c>
      <c r="X257" s="7">
        <f>'Calibration-S40 to end'!$U$11*(QAQC!L257^2)+'Calibration-S40 to end'!$U$12*QAQC!L257+'Calibration-S40 to end'!$U$13</f>
        <v>41.68344252</v>
      </c>
      <c r="Y257" s="7">
        <f t="shared" si="14"/>
        <v>41.68344252</v>
      </c>
      <c r="Z257" s="6"/>
      <c r="AA257" s="6"/>
      <c r="AB257" s="14"/>
      <c r="AC257" s="14"/>
      <c r="AD257" s="14"/>
      <c r="AE257" s="14"/>
      <c r="AF257" s="6">
        <v>1</v>
      </c>
      <c r="AG257" s="6"/>
      <c r="AH257" s="6">
        <f t="shared" si="15"/>
        <v>1260</v>
      </c>
      <c r="AI257" s="13">
        <f>'Calibration-S40 to end'!$I$11*(QAQC!Q257^2)+'Calibration-S40 to end'!$I$12*QAQC!Q257+'Calibration-S40 to end'!$I$13</f>
        <v>759.15160000000003</v>
      </c>
      <c r="AJ257" s="13">
        <f t="shared" si="17"/>
        <v>759.15160000000003</v>
      </c>
      <c r="AK257" s="9"/>
      <c r="AL257" s="6"/>
      <c r="AM257" s="14"/>
      <c r="AN257" s="14"/>
      <c r="AO257" s="12"/>
      <c r="AR257" s="6">
        <v>251</v>
      </c>
    </row>
    <row r="258" spans="1:44" ht="15.75" customHeight="1" x14ac:dyDescent="0.2">
      <c r="A258" s="10">
        <v>46085</v>
      </c>
      <c r="B258" s="11">
        <v>0.65908564814814818</v>
      </c>
      <c r="C258" s="1" t="s">
        <v>122</v>
      </c>
      <c r="D258" s="1" t="s">
        <v>254</v>
      </c>
      <c r="E258" s="1">
        <v>191</v>
      </c>
      <c r="F258" s="1" t="s">
        <v>46</v>
      </c>
      <c r="G258" s="1">
        <v>1</v>
      </c>
      <c r="H258" s="1">
        <v>1</v>
      </c>
      <c r="I258" s="1" t="s">
        <v>47</v>
      </c>
      <c r="J258" s="1" t="s">
        <v>48</v>
      </c>
      <c r="K258" s="1">
        <v>6.5100000000000005E-2</v>
      </c>
      <c r="L258" s="1">
        <v>1.48</v>
      </c>
      <c r="M258" s="1">
        <v>36.1</v>
      </c>
      <c r="N258" s="1" t="s">
        <v>49</v>
      </c>
      <c r="O258" s="1" t="s">
        <v>50</v>
      </c>
      <c r="P258" s="1">
        <v>0.59699999999999998</v>
      </c>
      <c r="Q258" s="1">
        <v>7.83</v>
      </c>
      <c r="R258" s="1">
        <v>765</v>
      </c>
      <c r="T258" s="6">
        <v>1</v>
      </c>
      <c r="U258" s="6">
        <v>1</v>
      </c>
      <c r="V258" s="6"/>
      <c r="W258" s="12">
        <f t="shared" si="12"/>
        <v>36.1</v>
      </c>
      <c r="X258" s="7">
        <f>'Calibration-S40 to end'!$U$11*(QAQC!L258^2)+'Calibration-S40 to end'!$U$12*QAQC!L258+'Calibration-S40 to end'!$U$13</f>
        <v>31.43054192</v>
      </c>
      <c r="Y258" s="7">
        <f t="shared" si="14"/>
        <v>31.43054192</v>
      </c>
      <c r="Z258" s="6"/>
      <c r="AA258" s="6"/>
      <c r="AF258" s="6">
        <v>1</v>
      </c>
      <c r="AG258" s="6"/>
      <c r="AH258" s="6">
        <f t="shared" si="15"/>
        <v>765</v>
      </c>
      <c r="AI258" s="13">
        <f>'Calibration-S40 to end'!$I$11*(QAQC!Q258^2)+'Calibration-S40 to end'!$I$12*QAQC!Q258+'Calibration-S40 to end'!$I$13</f>
        <v>469.09708741999998</v>
      </c>
      <c r="AJ258" s="13">
        <f t="shared" si="17"/>
        <v>469.09708741999998</v>
      </c>
      <c r="AK258" s="9"/>
      <c r="AL258" s="6"/>
      <c r="AO258" s="12"/>
      <c r="AR258" s="6">
        <v>252</v>
      </c>
    </row>
    <row r="259" spans="1:44" ht="15.75" customHeight="1" x14ac:dyDescent="0.2">
      <c r="A259" s="10">
        <v>46085</v>
      </c>
      <c r="B259" s="11">
        <v>0.65998842592592588</v>
      </c>
      <c r="C259" s="1" t="s">
        <v>122</v>
      </c>
      <c r="D259" s="1" t="s">
        <v>255</v>
      </c>
      <c r="E259" s="1">
        <v>192</v>
      </c>
      <c r="F259" s="1" t="s">
        <v>46</v>
      </c>
      <c r="G259" s="1">
        <v>1</v>
      </c>
      <c r="H259" s="1">
        <v>1</v>
      </c>
      <c r="I259" s="1" t="s">
        <v>47</v>
      </c>
      <c r="J259" s="1" t="s">
        <v>48</v>
      </c>
      <c r="K259" s="1">
        <v>6.4500000000000002E-2</v>
      </c>
      <c r="L259" s="1">
        <v>1.5</v>
      </c>
      <c r="M259" s="1">
        <v>36.700000000000003</v>
      </c>
      <c r="N259" s="1" t="s">
        <v>49</v>
      </c>
      <c r="O259" s="1" t="s">
        <v>50</v>
      </c>
      <c r="P259" s="1">
        <v>1.72</v>
      </c>
      <c r="Q259" s="1">
        <v>22</v>
      </c>
      <c r="R259" s="1">
        <v>2230</v>
      </c>
      <c r="T259" s="6">
        <v>1</v>
      </c>
      <c r="U259" s="6">
        <v>1</v>
      </c>
      <c r="V259" s="6"/>
      <c r="W259" s="12">
        <f t="shared" si="12"/>
        <v>36.700000000000003</v>
      </c>
      <c r="X259" s="7">
        <f>'Calibration-S40 to end'!$U$11*(QAQC!L259^2)+'Calibration-S40 to end'!$U$12*QAQC!L259+'Calibration-S40 to end'!$U$13</f>
        <v>32.035975000000008</v>
      </c>
      <c r="Y259" s="7">
        <f t="shared" si="14"/>
        <v>32.035975000000008</v>
      </c>
      <c r="Z259" s="6"/>
      <c r="AA259" s="6"/>
      <c r="AB259" s="14"/>
      <c r="AC259" s="14"/>
      <c r="AD259" s="14"/>
      <c r="AE259" s="14"/>
      <c r="AF259" s="6">
        <v>1</v>
      </c>
      <c r="AG259" s="6"/>
      <c r="AH259" s="6">
        <f t="shared" si="15"/>
        <v>2230</v>
      </c>
      <c r="AI259" s="13">
        <f>'Calibration-S40 to end'!$I$11*(QAQC!Q259^2)+'Calibration-S40 to end'!$I$12*QAQC!Q259+'Calibration-S40 to end'!$I$13</f>
        <v>1235.8255000000001</v>
      </c>
      <c r="AJ259" s="13">
        <f t="shared" si="17"/>
        <v>1235.8255000000001</v>
      </c>
      <c r="AK259" s="9"/>
      <c r="AL259" s="6"/>
      <c r="AM259" s="14"/>
      <c r="AN259" s="14"/>
      <c r="AO259" s="12"/>
      <c r="AR259" s="6">
        <v>253</v>
      </c>
    </row>
    <row r="260" spans="1:44" ht="15.75" customHeight="1" x14ac:dyDescent="0.2">
      <c r="A260" s="10">
        <v>46085</v>
      </c>
      <c r="B260" s="11">
        <v>0.66087962962962965</v>
      </c>
      <c r="C260" s="1" t="s">
        <v>122</v>
      </c>
      <c r="D260" s="1" t="s">
        <v>256</v>
      </c>
      <c r="E260" s="1">
        <v>193</v>
      </c>
      <c r="F260" s="1" t="s">
        <v>46</v>
      </c>
      <c r="G260" s="1">
        <v>1</v>
      </c>
      <c r="H260" s="1">
        <v>1</v>
      </c>
      <c r="I260" s="1" t="s">
        <v>47</v>
      </c>
      <c r="J260" s="1" t="s">
        <v>48</v>
      </c>
      <c r="K260" s="1">
        <v>5.8000000000000003E-2</v>
      </c>
      <c r="L260" s="1">
        <v>1.35</v>
      </c>
      <c r="M260" s="1">
        <v>31.7</v>
      </c>
      <c r="N260" s="1" t="s">
        <v>49</v>
      </c>
      <c r="O260" s="1" t="s">
        <v>50</v>
      </c>
      <c r="P260" s="1">
        <v>0.69299999999999995</v>
      </c>
      <c r="Q260" s="1">
        <v>8.66</v>
      </c>
      <c r="R260" s="1">
        <v>854</v>
      </c>
      <c r="T260" s="6">
        <v>1</v>
      </c>
      <c r="U260" s="6">
        <v>1</v>
      </c>
      <c r="V260" s="6"/>
      <c r="W260" s="12">
        <f t="shared" si="12"/>
        <v>31.7</v>
      </c>
      <c r="X260" s="7">
        <f>'Calibration-S40 to end'!$U$11*(QAQC!L260^2)+'Calibration-S40 to end'!$U$12*QAQC!L260+'Calibration-S40 to end'!$U$13</f>
        <v>27.488154250000004</v>
      </c>
      <c r="Y260" s="7">
        <f t="shared" si="14"/>
        <v>27.488154250000004</v>
      </c>
      <c r="Z260" s="6"/>
      <c r="AA260" s="6"/>
      <c r="AF260" s="6">
        <v>1</v>
      </c>
      <c r="AG260" s="6"/>
      <c r="AH260" s="6">
        <f t="shared" si="15"/>
        <v>854</v>
      </c>
      <c r="AI260" s="13">
        <f>'Calibration-S40 to end'!$I$11*(QAQC!Q260^2)+'Calibration-S40 to end'!$I$12*QAQC!Q260+'Calibration-S40 to end'!$I$13</f>
        <v>523.33279168000001</v>
      </c>
      <c r="AJ260" s="13">
        <f t="shared" si="17"/>
        <v>523.33279168000001</v>
      </c>
      <c r="AK260" s="9"/>
      <c r="AL260" s="6"/>
      <c r="AO260" s="12"/>
      <c r="AR260" s="6">
        <v>254</v>
      </c>
    </row>
    <row r="261" spans="1:44" ht="15.75" customHeight="1" x14ac:dyDescent="0.2">
      <c r="A261" s="10">
        <v>46085</v>
      </c>
      <c r="B261" s="11">
        <v>0.66175925925925927</v>
      </c>
      <c r="C261" s="1" t="s">
        <v>122</v>
      </c>
      <c r="D261" s="1" t="s">
        <v>257</v>
      </c>
      <c r="E261" s="1">
        <v>194</v>
      </c>
      <c r="F261" s="1" t="s">
        <v>75</v>
      </c>
      <c r="G261" s="1">
        <v>1</v>
      </c>
      <c r="H261" s="1">
        <v>1</v>
      </c>
      <c r="I261" s="1" t="s">
        <v>47</v>
      </c>
      <c r="J261" s="1" t="s">
        <v>48</v>
      </c>
      <c r="K261" s="1">
        <v>8.2500000000000004E-2</v>
      </c>
      <c r="L261" s="1">
        <v>1.78</v>
      </c>
      <c r="M261" s="1">
        <v>46.6</v>
      </c>
      <c r="N261" s="1" t="s">
        <v>49</v>
      </c>
      <c r="O261" s="1" t="s">
        <v>50</v>
      </c>
      <c r="P261" s="1">
        <v>0.83299999999999996</v>
      </c>
      <c r="Q261" s="1">
        <v>10.9</v>
      </c>
      <c r="R261" s="1">
        <v>1100</v>
      </c>
      <c r="T261" s="6">
        <v>1</v>
      </c>
      <c r="U261" s="6">
        <v>1</v>
      </c>
      <c r="V261" s="6"/>
      <c r="W261" s="12">
        <f t="shared" si="12"/>
        <v>46.6</v>
      </c>
      <c r="X261" s="7">
        <f>'Calibration-S40 to end'!$U$11*(QAQC!L261^2)+'Calibration-S40 to end'!$U$12*QAQC!L261+'Calibration-S40 to end'!$U$13</f>
        <v>40.48157132</v>
      </c>
      <c r="Y261" s="7">
        <f t="shared" si="14"/>
        <v>40.48157132</v>
      </c>
      <c r="Z261" s="6"/>
      <c r="AA261" s="6"/>
      <c r="AB261" s="14"/>
      <c r="AC261" s="14"/>
      <c r="AD261" s="14"/>
      <c r="AE261" s="14"/>
      <c r="AF261" s="6">
        <v>1</v>
      </c>
      <c r="AG261" s="6"/>
      <c r="AH261" s="6">
        <f t="shared" si="15"/>
        <v>1100</v>
      </c>
      <c r="AI261" s="13">
        <f>'Calibration-S40 to end'!$I$11*(QAQC!Q261^2)+'Calibration-S40 to end'!$I$12*QAQC!Q261+'Calibration-S40 to end'!$I$13</f>
        <v>663.91220800000008</v>
      </c>
      <c r="AJ261" s="13">
        <f t="shared" si="17"/>
        <v>663.91220800000008</v>
      </c>
      <c r="AK261" s="12"/>
      <c r="AM261" s="14"/>
      <c r="AN261" s="14"/>
      <c r="AO261" s="12"/>
      <c r="AR261" s="6">
        <v>255</v>
      </c>
    </row>
    <row r="262" spans="1:44" ht="15.75" customHeight="1" x14ac:dyDescent="0.2">
      <c r="A262" s="10">
        <v>46085</v>
      </c>
      <c r="B262" s="11">
        <v>0.66267361111111112</v>
      </c>
      <c r="C262" s="1" t="s">
        <v>122</v>
      </c>
      <c r="D262" s="1" t="s">
        <v>258</v>
      </c>
      <c r="E262" s="1">
        <v>199</v>
      </c>
      <c r="F262" s="1" t="s">
        <v>75</v>
      </c>
      <c r="G262" s="1">
        <v>1</v>
      </c>
      <c r="H262" s="1">
        <v>1</v>
      </c>
      <c r="I262" s="1" t="s">
        <v>47</v>
      </c>
      <c r="J262" s="1" t="s">
        <v>48</v>
      </c>
      <c r="K262" s="1">
        <v>5.7299999999999997E-2</v>
      </c>
      <c r="L262" s="1">
        <v>1.37</v>
      </c>
      <c r="M262" s="1">
        <v>32.299999999999997</v>
      </c>
      <c r="N262" s="1" t="s">
        <v>49</v>
      </c>
      <c r="O262" s="1" t="s">
        <v>50</v>
      </c>
      <c r="P262" s="1">
        <v>0.47399999999999998</v>
      </c>
      <c r="Q262" s="1">
        <v>6.32</v>
      </c>
      <c r="R262" s="1">
        <v>603</v>
      </c>
      <c r="T262" s="6">
        <v>1</v>
      </c>
      <c r="U262" s="6">
        <v>3</v>
      </c>
      <c r="V262" s="6" t="s">
        <v>259</v>
      </c>
      <c r="W262" s="12">
        <f t="shared" si="12"/>
        <v>32.299999999999997</v>
      </c>
      <c r="X262" s="7">
        <f>'Calibration-S40 to end'!$U$11*(QAQC!L262^2)+'Calibration-S40 to end'!$U$12*QAQC!L262+'Calibration-S40 to end'!$U$13</f>
        <v>28.095473369999997</v>
      </c>
      <c r="Y262" s="7">
        <f t="shared" si="14"/>
        <v>28.095473369999997</v>
      </c>
      <c r="Z262" s="6"/>
      <c r="AA262" s="6"/>
      <c r="AB262" s="12">
        <f>ABS(100*ABS(Y262-Y261)/AVERAGE(Y262,Y261))</f>
        <v>36.123160471527761</v>
      </c>
      <c r="AC262" s="14" t="str">
        <f>IF(Y262&gt;10, (IF((AND(AB262&gt;=0,AB262&lt;=20)=TRUE),"PASS","FAIL")),(IF((AND(AB262&gt;=0,AB262&lt;=50)=TRUE),"PASS","FAIL")))</f>
        <v>FAIL</v>
      </c>
      <c r="AF262" s="6">
        <v>3</v>
      </c>
      <c r="AG262" s="6" t="s">
        <v>259</v>
      </c>
      <c r="AH262" s="6">
        <f t="shared" si="15"/>
        <v>603</v>
      </c>
      <c r="AI262" s="13">
        <f>'Calibration-S40 to end'!$I$11*(QAQC!Q262^2)+'Calibration-S40 to end'!$I$12*QAQC!Q262+'Calibration-S40 to end'!$I$13</f>
        <v>367.45148272000006</v>
      </c>
      <c r="AJ262" s="13">
        <f t="shared" si="17"/>
        <v>367.45148272000006</v>
      </c>
      <c r="AK262" s="12"/>
      <c r="AM262" s="12">
        <f>ABS(100*ABS(AJ262-AJ261)/AVERAGE(AJ262,AJ261))</f>
        <v>57.48907547308346</v>
      </c>
      <c r="AN262" s="14" t="str">
        <f>IF(AJ262&gt;10, (IF((AND(AM262&gt;=0,AM262&lt;=20)=TRUE),"PASS","FAIL")),(IF((AND(AM262&gt;=0,AM262&lt;=50)=TRUE),"PASS","FAIL")))</f>
        <v>FAIL</v>
      </c>
      <c r="AO262" s="12"/>
      <c r="AR262" s="6">
        <v>256</v>
      </c>
    </row>
    <row r="263" spans="1:44" ht="15.75" customHeight="1" x14ac:dyDescent="0.2">
      <c r="A263" s="10">
        <v>46085</v>
      </c>
      <c r="B263" s="11">
        <v>0.66357638888888892</v>
      </c>
      <c r="C263" s="1" t="s">
        <v>122</v>
      </c>
      <c r="D263" s="1" t="s">
        <v>260</v>
      </c>
      <c r="E263" s="1">
        <v>195</v>
      </c>
      <c r="F263" s="1" t="s">
        <v>46</v>
      </c>
      <c r="G263" s="1">
        <v>1</v>
      </c>
      <c r="H263" s="1">
        <v>1</v>
      </c>
      <c r="I263" s="1" t="s">
        <v>47</v>
      </c>
      <c r="J263" s="1" t="s">
        <v>48</v>
      </c>
      <c r="K263" s="1">
        <v>3.4299999999999997E-2</v>
      </c>
      <c r="L263" s="1">
        <v>0.93</v>
      </c>
      <c r="M263" s="1">
        <v>16.899999999999999</v>
      </c>
      <c r="N263" s="1" t="s">
        <v>49</v>
      </c>
      <c r="O263" s="1" t="s">
        <v>50</v>
      </c>
      <c r="P263" s="1">
        <v>0.27900000000000003</v>
      </c>
      <c r="Q263" s="1">
        <v>3.75</v>
      </c>
      <c r="R263" s="1">
        <v>324</v>
      </c>
      <c r="T263" s="6">
        <v>1</v>
      </c>
      <c r="U263" s="6">
        <v>1</v>
      </c>
      <c r="V263" s="6"/>
      <c r="W263" s="12">
        <f t="shared" si="12"/>
        <v>16.899999999999999</v>
      </c>
      <c r="X263" s="7">
        <f>'Calibration-S40 to end'!$U$11*(QAQC!L263^2)+'Calibration-S40 to end'!$U$12*QAQC!L263+'Calibration-S40 to end'!$U$13</f>
        <v>14.667425769999998</v>
      </c>
      <c r="Y263" s="7">
        <f t="shared" si="14"/>
        <v>14.667425769999998</v>
      </c>
      <c r="Z263" s="6"/>
      <c r="AA263" s="6"/>
      <c r="AB263" s="14"/>
      <c r="AC263" s="14"/>
      <c r="AD263" s="14"/>
      <c r="AE263" s="14"/>
      <c r="AF263" s="6">
        <v>1</v>
      </c>
      <c r="AG263" s="6"/>
      <c r="AH263" s="6">
        <f t="shared" si="15"/>
        <v>324</v>
      </c>
      <c r="AI263" s="13">
        <f>'Calibration-S40 to end'!$I$11*(QAQC!Q263^2)+'Calibration-S40 to end'!$I$12*QAQC!Q263+'Calibration-S40 to end'!$I$13</f>
        <v>185.62103750000003</v>
      </c>
      <c r="AJ263" s="13">
        <f t="shared" si="17"/>
        <v>185.62103750000003</v>
      </c>
      <c r="AK263" s="12"/>
      <c r="AM263" s="14"/>
      <c r="AN263" s="14"/>
      <c r="AO263" s="12"/>
      <c r="AR263" s="6">
        <v>257</v>
      </c>
    </row>
    <row r="264" spans="1:44" ht="15.75" customHeight="1" x14ac:dyDescent="0.2">
      <c r="A264" s="10">
        <v>46085</v>
      </c>
      <c r="B264" s="11">
        <v>0.66446759259259258</v>
      </c>
      <c r="C264" s="1" t="s">
        <v>122</v>
      </c>
      <c r="D264" s="1" t="s">
        <v>261</v>
      </c>
      <c r="E264" s="1">
        <v>196</v>
      </c>
      <c r="F264" s="1" t="s">
        <v>46</v>
      </c>
      <c r="G264" s="1">
        <v>1</v>
      </c>
      <c r="H264" s="1">
        <v>1</v>
      </c>
      <c r="I264" s="1" t="s">
        <v>47</v>
      </c>
      <c r="J264" s="1" t="s">
        <v>48</v>
      </c>
      <c r="K264" s="1">
        <v>5.3900000000000003E-2</v>
      </c>
      <c r="L264" s="1">
        <v>1.39</v>
      </c>
      <c r="M264" s="1">
        <v>32.9</v>
      </c>
      <c r="N264" s="1" t="s">
        <v>49</v>
      </c>
      <c r="O264" s="1" t="s">
        <v>50</v>
      </c>
      <c r="P264" s="1">
        <v>0.316</v>
      </c>
      <c r="Q264" s="1">
        <v>4.3</v>
      </c>
      <c r="R264" s="1">
        <v>384</v>
      </c>
      <c r="T264" s="6">
        <v>1</v>
      </c>
      <c r="U264" s="6">
        <v>3</v>
      </c>
      <c r="V264" s="6" t="s">
        <v>248</v>
      </c>
      <c r="W264" s="12">
        <f t="shared" si="12"/>
        <v>32.9</v>
      </c>
      <c r="X264" s="7">
        <f>'Calibration-S40 to end'!$U$11*(QAQC!L264^2)+'Calibration-S40 to end'!$U$12*QAQC!L264+'Calibration-S40 to end'!$U$13</f>
        <v>28.702502329999998</v>
      </c>
      <c r="Y264" s="7">
        <f t="shared" si="14"/>
        <v>28.702502329999998</v>
      </c>
      <c r="Z264" s="6"/>
      <c r="AA264" s="6"/>
      <c r="AF264" s="6">
        <v>1</v>
      </c>
      <c r="AG264" s="6"/>
      <c r="AH264" s="6">
        <f t="shared" si="15"/>
        <v>384</v>
      </c>
      <c r="AI264" s="13">
        <f>'Calibration-S40 to end'!$I$11*(QAQC!Q264^2)+'Calibration-S40 to end'!$I$12*QAQC!Q264+'Calibration-S40 to end'!$I$13</f>
        <v>225.46985200000003</v>
      </c>
      <c r="AJ264" s="13">
        <f t="shared" si="17"/>
        <v>225.46985200000003</v>
      </c>
      <c r="AK264" s="12"/>
      <c r="AO264" s="12"/>
      <c r="AR264" s="6">
        <v>258</v>
      </c>
    </row>
    <row r="265" spans="1:44" ht="15.75" customHeight="1" x14ac:dyDescent="0.2">
      <c r="A265" s="10">
        <v>46085</v>
      </c>
      <c r="B265" s="11">
        <v>0.66537037037037039</v>
      </c>
      <c r="C265" s="1" t="s">
        <v>122</v>
      </c>
      <c r="D265" s="1" t="s">
        <v>262</v>
      </c>
      <c r="E265" s="1">
        <v>197</v>
      </c>
      <c r="F265" s="1" t="s">
        <v>46</v>
      </c>
      <c r="G265" s="1">
        <v>1</v>
      </c>
      <c r="H265" s="1">
        <v>1</v>
      </c>
      <c r="I265" s="1" t="s">
        <v>47</v>
      </c>
      <c r="J265" s="1" t="s">
        <v>48</v>
      </c>
      <c r="K265" s="1">
        <v>0.06</v>
      </c>
      <c r="L265" s="1">
        <v>1.35</v>
      </c>
      <c r="M265" s="1">
        <v>31.4</v>
      </c>
      <c r="N265" s="1" t="s">
        <v>49</v>
      </c>
      <c r="O265" s="1" t="s">
        <v>50</v>
      </c>
      <c r="P265" s="1">
        <v>0.61499999999999999</v>
      </c>
      <c r="Q265" s="1">
        <v>8.0299999999999994</v>
      </c>
      <c r="R265" s="1">
        <v>787</v>
      </c>
      <c r="T265" s="6">
        <v>1</v>
      </c>
      <c r="U265" s="6">
        <v>1</v>
      </c>
      <c r="V265" s="6"/>
      <c r="W265" s="12">
        <f t="shared" si="12"/>
        <v>31.4</v>
      </c>
      <c r="X265" s="7">
        <f>'Calibration-S40 to end'!$U$11*(QAQC!L265^2)+'Calibration-S40 to end'!$U$12*QAQC!L265+'Calibration-S40 to end'!$U$13</f>
        <v>27.488154250000004</v>
      </c>
      <c r="Y265" s="7">
        <f t="shared" si="14"/>
        <v>27.488154250000004</v>
      </c>
      <c r="Z265" s="6"/>
      <c r="AA265" s="6"/>
      <c r="AB265" s="14"/>
      <c r="AC265" s="14"/>
      <c r="AD265" s="14"/>
      <c r="AE265" s="14"/>
      <c r="AF265" s="6">
        <v>1</v>
      </c>
      <c r="AG265" s="6"/>
      <c r="AH265" s="6">
        <f t="shared" si="15"/>
        <v>787</v>
      </c>
      <c r="AI265" s="13">
        <f>'Calibration-S40 to end'!$I$11*(QAQC!Q265^2)+'Calibration-S40 to end'!$I$12*QAQC!Q265+'Calibration-S40 to end'!$I$13</f>
        <v>482.27204901999994</v>
      </c>
      <c r="AJ265" s="13">
        <f t="shared" si="17"/>
        <v>482.27204901999994</v>
      </c>
      <c r="AK265" s="12"/>
      <c r="AM265" s="14"/>
      <c r="AN265" s="14"/>
      <c r="AO265" s="12"/>
      <c r="AR265" s="6">
        <v>259</v>
      </c>
    </row>
    <row r="266" spans="1:44" ht="15.75" customHeight="1" x14ac:dyDescent="0.2">
      <c r="A266" s="10">
        <v>46085</v>
      </c>
      <c r="B266" s="11">
        <v>0.66626157407407405</v>
      </c>
      <c r="C266" s="1" t="s">
        <v>122</v>
      </c>
      <c r="D266" s="1" t="s">
        <v>263</v>
      </c>
      <c r="E266" s="1">
        <v>198</v>
      </c>
      <c r="F266" s="1" t="s">
        <v>46</v>
      </c>
      <c r="G266" s="1">
        <v>1</v>
      </c>
      <c r="H266" s="1">
        <v>1</v>
      </c>
      <c r="I266" s="1" t="s">
        <v>47</v>
      </c>
      <c r="J266" s="1" t="s">
        <v>48</v>
      </c>
      <c r="K266" s="1">
        <v>0.10299999999999999</v>
      </c>
      <c r="L266" s="1">
        <v>2.2200000000000002</v>
      </c>
      <c r="M266" s="1">
        <v>61.9</v>
      </c>
      <c r="N266" s="1" t="s">
        <v>49</v>
      </c>
      <c r="O266" s="1" t="s">
        <v>50</v>
      </c>
      <c r="P266" s="1">
        <v>0.8</v>
      </c>
      <c r="Q266" s="1">
        <v>10.4</v>
      </c>
      <c r="R266" s="1">
        <v>1040</v>
      </c>
      <c r="T266" s="6">
        <v>1</v>
      </c>
      <c r="U266" s="6">
        <v>1</v>
      </c>
      <c r="V266" s="6"/>
      <c r="W266" s="12">
        <f t="shared" si="12"/>
        <v>61.9</v>
      </c>
      <c r="X266" s="7">
        <f>'Calibration-S40 to end'!$U$11*(QAQC!L266^2)+'Calibration-S40 to end'!$U$12*QAQC!L266+'Calibration-S40 to end'!$U$13</f>
        <v>53.638319320000008</v>
      </c>
      <c r="Y266" s="7">
        <f t="shared" si="14"/>
        <v>53.638319320000008</v>
      </c>
      <c r="Z266" s="6"/>
      <c r="AA266" s="6"/>
      <c r="AF266" s="6">
        <v>1</v>
      </c>
      <c r="AG266" s="6"/>
      <c r="AH266" s="6">
        <f t="shared" si="15"/>
        <v>1040</v>
      </c>
      <c r="AI266" s="13">
        <f>'Calibration-S40 to end'!$I$11*(QAQC!Q266^2)+'Calibration-S40 to end'!$I$12*QAQC!Q266+'Calibration-S40 to end'!$I$13</f>
        <v>633.26558800000009</v>
      </c>
      <c r="AJ266" s="13">
        <f t="shared" si="17"/>
        <v>633.26558800000009</v>
      </c>
      <c r="AK266" s="12"/>
      <c r="AO266" s="12"/>
      <c r="AR266" s="6">
        <v>260</v>
      </c>
    </row>
    <row r="267" spans="1:44" ht="15.75" customHeight="1" x14ac:dyDescent="0.2">
      <c r="A267" s="10">
        <v>46085</v>
      </c>
      <c r="B267" s="11">
        <v>0.66716435185185186</v>
      </c>
      <c r="C267" s="1" t="s">
        <v>122</v>
      </c>
      <c r="D267" s="1" t="s">
        <v>264</v>
      </c>
      <c r="E267" s="1">
        <v>199</v>
      </c>
      <c r="F267" s="1" t="s">
        <v>84</v>
      </c>
      <c r="G267" s="1">
        <v>1</v>
      </c>
      <c r="H267" s="1">
        <v>1</v>
      </c>
      <c r="I267" s="1" t="s">
        <v>47</v>
      </c>
      <c r="J267" s="1" t="s">
        <v>48</v>
      </c>
      <c r="K267" s="1">
        <v>5.8200000000000002E-2</v>
      </c>
      <c r="L267" s="1">
        <v>1.33</v>
      </c>
      <c r="M267" s="1">
        <v>30.8</v>
      </c>
      <c r="N267" s="1" t="s">
        <v>49</v>
      </c>
      <c r="O267" s="1" t="s">
        <v>50</v>
      </c>
      <c r="P267" s="1">
        <v>0.47599999999999998</v>
      </c>
      <c r="Q267" s="1">
        <v>6.18</v>
      </c>
      <c r="R267" s="1">
        <v>588</v>
      </c>
      <c r="T267" s="6">
        <v>1</v>
      </c>
      <c r="U267" s="6">
        <v>1</v>
      </c>
      <c r="V267" s="6"/>
      <c r="W267" s="12">
        <f t="shared" si="12"/>
        <v>30.8</v>
      </c>
      <c r="X267" s="7">
        <f>'Calibration-S40 to end'!$U$11*(QAQC!L267^2)+'Calibration-S40 to end'!$U$12*QAQC!L267+'Calibration-S40 to end'!$U$13</f>
        <v>26.880544969999999</v>
      </c>
      <c r="Y267" s="7">
        <f t="shared" si="14"/>
        <v>26.880544969999999</v>
      </c>
      <c r="Z267" s="6"/>
      <c r="AA267" s="6"/>
      <c r="AB267" s="14"/>
      <c r="AC267" s="14"/>
      <c r="AD267" s="14"/>
      <c r="AE267" s="14"/>
      <c r="AF267" s="6">
        <v>1</v>
      </c>
      <c r="AG267" s="6"/>
      <c r="AH267" s="6">
        <f t="shared" si="15"/>
        <v>588</v>
      </c>
      <c r="AI267" s="13">
        <f>'Calibration-S40 to end'!$I$11*(QAQC!Q267^2)+'Calibration-S40 to end'!$I$12*QAQC!Q267+'Calibration-S40 to end'!$I$13</f>
        <v>357.83283872000004</v>
      </c>
      <c r="AJ267" s="13">
        <f t="shared" si="17"/>
        <v>357.83283872000004</v>
      </c>
      <c r="AK267" s="12"/>
      <c r="AM267" s="14"/>
      <c r="AN267" s="14"/>
      <c r="AO267" s="12"/>
      <c r="AR267" s="6">
        <v>261</v>
      </c>
    </row>
    <row r="268" spans="1:44" ht="15.75" customHeight="1" x14ac:dyDescent="0.2">
      <c r="A268" s="10">
        <v>46085</v>
      </c>
      <c r="B268" s="11">
        <v>0.66806712962962966</v>
      </c>
      <c r="C268" s="1" t="s">
        <v>122</v>
      </c>
      <c r="D268" s="1" t="s">
        <v>265</v>
      </c>
      <c r="E268" s="1">
        <v>201</v>
      </c>
      <c r="F268" s="1" t="s">
        <v>84</v>
      </c>
      <c r="G268" s="1">
        <v>1</v>
      </c>
      <c r="H268" s="1">
        <v>1</v>
      </c>
      <c r="I268" s="1" t="s">
        <v>47</v>
      </c>
      <c r="J268" s="1" t="s">
        <v>48</v>
      </c>
      <c r="K268" s="1">
        <v>0.104</v>
      </c>
      <c r="L268" s="1">
        <v>2.17</v>
      </c>
      <c r="M268" s="1">
        <v>60.2</v>
      </c>
      <c r="N268" s="1" t="s">
        <v>49</v>
      </c>
      <c r="O268" s="1" t="s">
        <v>50</v>
      </c>
      <c r="P268" s="1">
        <v>0.76800000000000002</v>
      </c>
      <c r="Q268" s="1">
        <v>10</v>
      </c>
      <c r="R268" s="1">
        <v>1000</v>
      </c>
      <c r="T268" s="6">
        <v>1</v>
      </c>
      <c r="U268" s="6">
        <v>1</v>
      </c>
      <c r="V268" s="6"/>
      <c r="W268" s="12">
        <f t="shared" si="12"/>
        <v>60.2</v>
      </c>
      <c r="X268" s="7">
        <f>'Calibration-S40 to end'!$U$11*(QAQC!L268^2)+'Calibration-S40 to end'!$U$12*QAQC!L268+'Calibration-S40 to end'!$U$13</f>
        <v>52.150306970000003</v>
      </c>
      <c r="Y268" s="7">
        <f t="shared" si="14"/>
        <v>52.150306970000003</v>
      </c>
      <c r="Z268" s="6"/>
      <c r="AA268" s="6"/>
      <c r="AD268" s="14">
        <f>100*((Y268*10250)-(Y267*10000))/(1000*250)</f>
        <v>106.29407869700003</v>
      </c>
      <c r="AE268" s="14" t="str">
        <f>IF(Y268&gt;30, (IF((AND(AD268&gt;=80,AD268&lt;=120)=TRUE),"PASS","FAIL")),(IF((AND(AD268&gt;=50,AD268&lt;=150)=TRUE),"PASS","FAIL")))</f>
        <v>PASS</v>
      </c>
      <c r="AF268" s="6">
        <v>1</v>
      </c>
      <c r="AG268" s="6"/>
      <c r="AH268" s="6">
        <f t="shared" si="15"/>
        <v>1000</v>
      </c>
      <c r="AI268" s="13">
        <f>'Calibration-S40 to end'!$I$11*(QAQC!Q268^2)+'Calibration-S40 to end'!$I$12*QAQC!Q268+'Calibration-S40 to end'!$I$13</f>
        <v>608.44510000000002</v>
      </c>
      <c r="AJ268" s="13">
        <f t="shared" si="17"/>
        <v>608.44510000000002</v>
      </c>
      <c r="AK268" s="12"/>
      <c r="AO268" s="12">
        <f>100*((AJ268*10250)-(AJ267*10000))/(1000*2500)</f>
        <v>106.32935551200001</v>
      </c>
      <c r="AP268" s="14" t="str">
        <f>IF(AJ268&gt;30, (IF((AND(AO268&gt;=80,AO268&lt;=120)=TRUE),"PASS","FAIL")),(IF((AND(AO268&gt;=50,AO268&lt;=150)=TRUE),"PASS","FAIL")))</f>
        <v>PASS</v>
      </c>
      <c r="AR268" s="6">
        <v>262</v>
      </c>
    </row>
    <row r="269" spans="1:44" ht="15.75" customHeight="1" x14ac:dyDescent="0.2">
      <c r="A269" s="10">
        <v>46085</v>
      </c>
      <c r="B269" s="11">
        <v>0.66895833333333332</v>
      </c>
      <c r="C269" s="1" t="s">
        <v>122</v>
      </c>
      <c r="D269" s="1" t="s">
        <v>125</v>
      </c>
      <c r="E269" s="1" t="s">
        <v>58</v>
      </c>
      <c r="F269" s="1" t="s">
        <v>46</v>
      </c>
      <c r="G269" s="1">
        <v>1</v>
      </c>
      <c r="H269" s="1">
        <v>1</v>
      </c>
      <c r="I269" s="1" t="s">
        <v>47</v>
      </c>
      <c r="J269" s="1" t="s">
        <v>48</v>
      </c>
      <c r="K269" s="1">
        <v>1.0999999999999999E-2</v>
      </c>
      <c r="L269" s="1">
        <v>0.123</v>
      </c>
      <c r="M269" s="1">
        <v>-11</v>
      </c>
      <c r="N269" s="1" t="s">
        <v>49</v>
      </c>
      <c r="O269" s="1" t="s">
        <v>50</v>
      </c>
      <c r="P269" s="1">
        <v>3.6700000000000003E-2</v>
      </c>
      <c r="Q269" s="1">
        <v>0.153</v>
      </c>
      <c r="R269" s="1">
        <v>-73.3</v>
      </c>
      <c r="T269" s="6">
        <v>1</v>
      </c>
      <c r="U269" s="6">
        <v>1</v>
      </c>
      <c r="V269" s="6"/>
      <c r="W269" s="12">
        <f t="shared" si="12"/>
        <v>-11</v>
      </c>
      <c r="X269" s="7">
        <f>'Calibration-S40 to end'!$U$11*(QAQC!L269^2)+'Calibration-S40 to end'!$U$12*QAQC!L269+'Calibration-S40 to end'!$U$13</f>
        <v>-10.3258297883</v>
      </c>
      <c r="Y269" s="7">
        <f t="shared" si="14"/>
        <v>-10.3258297883</v>
      </c>
      <c r="Z269" s="6"/>
      <c r="AA269" s="6"/>
      <c r="AB269" s="14"/>
      <c r="AC269" s="14"/>
      <c r="AD269" s="14"/>
      <c r="AE269" s="14"/>
      <c r="AF269" s="6">
        <v>1</v>
      </c>
      <c r="AG269" s="6"/>
      <c r="AH269" s="6">
        <f t="shared" si="15"/>
        <v>-73.3</v>
      </c>
      <c r="AI269" s="13">
        <f>'Calibration-S40 to end'!$I$11*(QAQC!Q269^2)+'Calibration-S40 to end'!$I$12*QAQC!Q269+'Calibration-S40 to end'!$I$13</f>
        <v>-87.553103759799995</v>
      </c>
      <c r="AJ269" s="13">
        <f t="shared" si="17"/>
        <v>-87.553103759799995</v>
      </c>
      <c r="AK269" s="12"/>
      <c r="AO269" s="12"/>
      <c r="AR269" s="6">
        <v>263</v>
      </c>
    </row>
    <row r="270" spans="1:44" ht="15.75" customHeight="1" x14ac:dyDescent="0.2">
      <c r="A270" s="10">
        <v>46085</v>
      </c>
      <c r="B270" s="11">
        <v>0.66984953703703709</v>
      </c>
      <c r="C270" s="1" t="s">
        <v>122</v>
      </c>
      <c r="D270" s="1" t="s">
        <v>126</v>
      </c>
      <c r="E270" s="1">
        <v>17</v>
      </c>
      <c r="F270" s="1" t="s">
        <v>88</v>
      </c>
      <c r="G270" s="1">
        <v>1</v>
      </c>
      <c r="H270" s="1">
        <v>1</v>
      </c>
      <c r="I270" s="1" t="s">
        <v>47</v>
      </c>
      <c r="J270" s="1" t="s">
        <v>48</v>
      </c>
      <c r="K270" s="1">
        <v>5.4899999999999997E-2</v>
      </c>
      <c r="L270" s="1">
        <v>1.28</v>
      </c>
      <c r="M270" s="1">
        <v>29.2</v>
      </c>
      <c r="N270" s="1" t="s">
        <v>49</v>
      </c>
      <c r="O270" s="1" t="s">
        <v>50</v>
      </c>
      <c r="P270" s="1">
        <v>0.39600000000000002</v>
      </c>
      <c r="Q270" s="1">
        <v>5.2</v>
      </c>
      <c r="R270" s="1">
        <v>482</v>
      </c>
      <c r="T270" s="6">
        <v>1</v>
      </c>
      <c r="U270" s="6">
        <v>1</v>
      </c>
      <c r="V270" s="6"/>
      <c r="W270" s="12">
        <f t="shared" si="12"/>
        <v>29.2</v>
      </c>
      <c r="X270" s="7">
        <f>'Calibration-S40 to end'!$U$11*(QAQC!L270^2)+'Calibration-S40 to end'!$U$12*QAQC!L270+'Calibration-S40 to end'!$U$13</f>
        <v>25.360252319999997</v>
      </c>
      <c r="Y270" s="7">
        <f t="shared" si="14"/>
        <v>25.360252319999997</v>
      </c>
      <c r="Z270" s="6">
        <f>100*(Y270-25)/25</f>
        <v>1.4410092799999887</v>
      </c>
      <c r="AA270" s="6" t="str">
        <f>IF((ABS(Z270))&lt;=20,"PASS","FAIL")</f>
        <v>PASS</v>
      </c>
      <c r="AF270" s="6">
        <v>1</v>
      </c>
      <c r="AG270" s="6"/>
      <c r="AH270" s="6">
        <f t="shared" si="15"/>
        <v>482</v>
      </c>
      <c r="AI270" s="13">
        <f>'Calibration-S40 to end'!$I$11*(QAQC!Q270^2)+'Calibration-S40 to end'!$I$12*QAQC!Q270+'Calibration-S40 to end'!$I$13</f>
        <v>289.57793200000003</v>
      </c>
      <c r="AJ270" s="13">
        <f t="shared" si="17"/>
        <v>289.57793200000003</v>
      </c>
      <c r="AK270" s="9">
        <f>100*(AJ270-250)/250</f>
        <v>15.831172800000013</v>
      </c>
      <c r="AL270" s="6" t="str">
        <f>IF((ABS(AK270))&lt;=20,"PASS","FAIL")</f>
        <v>PASS</v>
      </c>
      <c r="AO270" s="12"/>
      <c r="AR270" s="6">
        <v>264</v>
      </c>
    </row>
    <row r="271" spans="1:44" ht="15.75" customHeight="1" x14ac:dyDescent="0.2">
      <c r="A271" s="10">
        <v>46085</v>
      </c>
      <c r="B271" s="11">
        <v>0.67072916666666671</v>
      </c>
      <c r="C271" s="1" t="s">
        <v>122</v>
      </c>
      <c r="D271" s="1" t="s">
        <v>51</v>
      </c>
      <c r="E271" s="1" t="s">
        <v>52</v>
      </c>
      <c r="F271" s="1" t="s">
        <v>46</v>
      </c>
      <c r="G271" s="1">
        <v>1</v>
      </c>
      <c r="H271" s="1">
        <v>1</v>
      </c>
      <c r="I271" s="1" t="s">
        <v>47</v>
      </c>
      <c r="J271" s="1" t="s">
        <v>48</v>
      </c>
      <c r="K271" s="1">
        <v>0.14000000000000001</v>
      </c>
      <c r="L271" s="1">
        <v>1.78</v>
      </c>
      <c r="M271" s="1">
        <v>46.5</v>
      </c>
      <c r="N271" s="1" t="s">
        <v>49</v>
      </c>
      <c r="O271" s="1" t="s">
        <v>50</v>
      </c>
      <c r="P271" s="1">
        <v>1.83</v>
      </c>
      <c r="Q271" s="1">
        <v>24</v>
      </c>
      <c r="R271" s="1">
        <v>2430</v>
      </c>
      <c r="S271" s="6">
        <f>100*(Q272/Q271)</f>
        <v>91.25</v>
      </c>
      <c r="T271" s="6">
        <v>1</v>
      </c>
      <c r="U271" s="6">
        <v>1</v>
      </c>
      <c r="V271" s="6"/>
      <c r="W271" s="12">
        <f t="shared" si="12"/>
        <v>46.5</v>
      </c>
      <c r="X271" s="7">
        <f>'Calibration-S40 to end'!$U$11*(QAQC!L271^2)+'Calibration-S40 to end'!$U$12*QAQC!L271+'Calibration-S40 to end'!$U$13</f>
        <v>40.48157132</v>
      </c>
      <c r="Y271" s="7">
        <f t="shared" si="14"/>
        <v>40.48157132</v>
      </c>
      <c r="Z271" s="6"/>
      <c r="AA271" s="6"/>
      <c r="AB271" s="14"/>
      <c r="AC271" s="14"/>
      <c r="AD271" s="14"/>
      <c r="AE271" s="14"/>
      <c r="AF271" s="6">
        <v>1</v>
      </c>
      <c r="AG271" s="6"/>
      <c r="AH271" s="6">
        <f t="shared" si="15"/>
        <v>2430</v>
      </c>
      <c r="AI271" s="13">
        <f>'Calibration-S40 to end'!$I$11*(QAQC!Q271^2)+'Calibration-S40 to end'!$I$12*QAQC!Q271+'Calibration-S40 to end'!$I$13</f>
        <v>1316.8073000000002</v>
      </c>
      <c r="AJ271" s="13">
        <f t="shared" si="17"/>
        <v>1316.8073000000002</v>
      </c>
      <c r="AK271" s="12"/>
      <c r="AO271" s="12"/>
      <c r="AR271" s="6">
        <v>265</v>
      </c>
    </row>
    <row r="272" spans="1:44" ht="15.75" customHeight="1" x14ac:dyDescent="0.2">
      <c r="A272" s="10">
        <v>46085</v>
      </c>
      <c r="B272" s="11">
        <v>0.67159722222222218</v>
      </c>
      <c r="C272" s="1" t="s">
        <v>122</v>
      </c>
      <c r="D272" s="1" t="s">
        <v>53</v>
      </c>
      <c r="E272" s="1" t="s">
        <v>54</v>
      </c>
      <c r="F272" s="1" t="s">
        <v>46</v>
      </c>
      <c r="G272" s="1">
        <v>1</v>
      </c>
      <c r="H272" s="1">
        <v>1</v>
      </c>
      <c r="I272" s="1" t="s">
        <v>47</v>
      </c>
      <c r="J272" s="1" t="s">
        <v>48</v>
      </c>
      <c r="K272" s="1">
        <v>0.13700000000000001</v>
      </c>
      <c r="L272" s="1">
        <v>1.7</v>
      </c>
      <c r="M272" s="1">
        <v>43.7</v>
      </c>
      <c r="N272" s="1" t="s">
        <v>49</v>
      </c>
      <c r="O272" s="1" t="s">
        <v>50</v>
      </c>
      <c r="P272" s="1">
        <v>1.7</v>
      </c>
      <c r="Q272" s="1">
        <v>21.9</v>
      </c>
      <c r="R272" s="1">
        <v>2220</v>
      </c>
      <c r="T272" s="6">
        <v>1</v>
      </c>
      <c r="U272" s="6">
        <v>1</v>
      </c>
      <c r="V272" s="6"/>
      <c r="W272" s="12">
        <f t="shared" si="12"/>
        <v>43.7</v>
      </c>
      <c r="X272" s="7">
        <f>'Calibration-S40 to end'!$U$11*(QAQC!L272^2)+'Calibration-S40 to end'!$U$12*QAQC!L272+'Calibration-S40 to end'!$U$13</f>
        <v>38.074347000000003</v>
      </c>
      <c r="Y272" s="7">
        <f t="shared" si="14"/>
        <v>38.074347000000003</v>
      </c>
      <c r="Z272" s="6"/>
      <c r="AA272" s="6"/>
      <c r="AF272" s="6">
        <v>1</v>
      </c>
      <c r="AG272" s="6"/>
      <c r="AH272" s="6">
        <f t="shared" si="15"/>
        <v>2220</v>
      </c>
      <c r="AI272" s="13">
        <f>'Calibration-S40 to end'!$I$11*(QAQC!Q272^2)+'Calibration-S40 to end'!$I$12*QAQC!Q272+'Calibration-S40 to end'!$I$13</f>
        <v>1231.5995480000001</v>
      </c>
      <c r="AJ272" s="13">
        <f t="shared" si="17"/>
        <v>1231.5995480000001</v>
      </c>
      <c r="AK272" s="12"/>
      <c r="AO272" s="12"/>
      <c r="AR272" s="6">
        <v>266</v>
      </c>
    </row>
    <row r="273" spans="1:44" ht="15.75" customHeight="1" x14ac:dyDescent="0.2">
      <c r="A273" s="10">
        <v>46085</v>
      </c>
      <c r="B273" s="11">
        <v>0.67248842592592595</v>
      </c>
      <c r="C273" s="1" t="s">
        <v>122</v>
      </c>
      <c r="D273" s="1" t="s">
        <v>266</v>
      </c>
      <c r="E273" s="1">
        <v>202</v>
      </c>
      <c r="F273" s="1" t="s">
        <v>46</v>
      </c>
      <c r="G273" s="1">
        <v>1</v>
      </c>
      <c r="H273" s="1">
        <v>1</v>
      </c>
      <c r="I273" s="1" t="s">
        <v>47</v>
      </c>
      <c r="J273" s="1" t="s">
        <v>48</v>
      </c>
      <c r="K273" s="1">
        <v>3.5299999999999998E-2</v>
      </c>
      <c r="L273" s="1">
        <v>0.88900000000000001</v>
      </c>
      <c r="M273" s="1">
        <v>15.5</v>
      </c>
      <c r="N273" s="1" t="s">
        <v>49</v>
      </c>
      <c r="O273" s="1" t="s">
        <v>50</v>
      </c>
      <c r="P273" s="1">
        <v>0.308</v>
      </c>
      <c r="Q273" s="1">
        <v>3.58</v>
      </c>
      <c r="R273" s="1">
        <v>305</v>
      </c>
      <c r="T273" s="6">
        <v>1</v>
      </c>
      <c r="U273" s="6">
        <v>1</v>
      </c>
      <c r="V273" s="6"/>
      <c r="W273" s="12">
        <f t="shared" si="12"/>
        <v>15.5</v>
      </c>
      <c r="X273" s="7">
        <f>'Calibration-S40 to end'!$U$11*(QAQC!L273^2)+'Calibration-S40 to end'!$U$12*QAQC!L273+'Calibration-S40 to end'!$U$13</f>
        <v>13.409023073300002</v>
      </c>
      <c r="Y273" s="7">
        <f t="shared" si="14"/>
        <v>13.409023073300002</v>
      </c>
      <c r="Z273" s="6"/>
      <c r="AA273" s="6"/>
      <c r="AB273" s="14"/>
      <c r="AC273" s="14"/>
      <c r="AD273" s="14"/>
      <c r="AE273" s="14"/>
      <c r="AF273" s="6">
        <v>1</v>
      </c>
      <c r="AG273" s="6"/>
      <c r="AH273" s="6">
        <f t="shared" si="15"/>
        <v>305</v>
      </c>
      <c r="AI273" s="13">
        <f>'Calibration-S40 to end'!$I$11*(QAQC!Q273^2)+'Calibration-S40 to end'!$I$12*QAQC!Q273+'Calibration-S40 to end'!$I$13</f>
        <v>173.20104591999998</v>
      </c>
      <c r="AJ273" s="13">
        <f t="shared" si="17"/>
        <v>173.20104591999998</v>
      </c>
      <c r="AK273" s="12"/>
      <c r="AM273" s="12"/>
      <c r="AO273" s="12"/>
      <c r="AR273" s="6">
        <v>267</v>
      </c>
    </row>
    <row r="274" spans="1:44" ht="15.75" customHeight="1" x14ac:dyDescent="0.2">
      <c r="A274" s="10">
        <v>46085</v>
      </c>
      <c r="B274" s="11">
        <v>0.67340277777777779</v>
      </c>
      <c r="C274" s="1" t="s">
        <v>122</v>
      </c>
      <c r="D274" s="1" t="s">
        <v>267</v>
      </c>
      <c r="E274" s="1">
        <v>203</v>
      </c>
      <c r="F274" s="1" t="s">
        <v>46</v>
      </c>
      <c r="G274" s="1">
        <v>1</v>
      </c>
      <c r="H274" s="1">
        <v>1</v>
      </c>
      <c r="I274" s="1" t="s">
        <v>47</v>
      </c>
      <c r="J274" s="1" t="s">
        <v>48</v>
      </c>
      <c r="K274" s="1">
        <v>3.8399999999999997E-2</v>
      </c>
      <c r="L274" s="1">
        <v>1</v>
      </c>
      <c r="M274" s="1">
        <v>19.5</v>
      </c>
      <c r="N274" s="1" t="s">
        <v>49</v>
      </c>
      <c r="O274" s="1" t="s">
        <v>50</v>
      </c>
      <c r="P274" s="1">
        <v>0.377</v>
      </c>
      <c r="Q274" s="1">
        <v>4.9800000000000004</v>
      </c>
      <c r="R274" s="1">
        <v>458</v>
      </c>
      <c r="T274" s="6">
        <v>1</v>
      </c>
      <c r="U274" s="6">
        <v>1</v>
      </c>
      <c r="V274" s="6"/>
      <c r="W274" s="12">
        <f t="shared" si="12"/>
        <v>19.5</v>
      </c>
      <c r="X274" s="7">
        <f>'Calibration-S40 to end'!$U$11*(QAQC!L274^2)+'Calibration-S40 to end'!$U$12*QAQC!L274+'Calibration-S40 to end'!$U$13</f>
        <v>16.813099999999999</v>
      </c>
      <c r="Y274" s="7">
        <f t="shared" si="14"/>
        <v>16.813099999999999</v>
      </c>
      <c r="Z274" s="6"/>
      <c r="AA274" s="6"/>
      <c r="AF274" s="6">
        <v>1</v>
      </c>
      <c r="AG274" s="6"/>
      <c r="AH274" s="6">
        <f t="shared" si="15"/>
        <v>458</v>
      </c>
      <c r="AI274" s="13">
        <f>'Calibration-S40 to end'!$I$11*(QAQC!Q274^2)+'Calibration-S40 to end'!$I$12*QAQC!Q274+'Calibration-S40 to end'!$I$13</f>
        <v>274.03306112000007</v>
      </c>
      <c r="AJ274" s="13">
        <f t="shared" si="17"/>
        <v>274.03306112000007</v>
      </c>
      <c r="AK274" s="12"/>
      <c r="AM274" s="12"/>
      <c r="AO274" s="12"/>
      <c r="AR274" s="6">
        <v>268</v>
      </c>
    </row>
    <row r="275" spans="1:44" ht="15.75" customHeight="1" x14ac:dyDescent="0.2">
      <c r="A275" s="10">
        <v>46085</v>
      </c>
      <c r="B275" s="11">
        <v>0.6743055555555556</v>
      </c>
      <c r="C275" s="1" t="s">
        <v>122</v>
      </c>
      <c r="D275" s="1" t="s">
        <v>268</v>
      </c>
      <c r="E275" s="1">
        <v>204</v>
      </c>
      <c r="F275" s="1" t="s">
        <v>46</v>
      </c>
      <c r="G275" s="1">
        <v>1</v>
      </c>
      <c r="H275" s="1">
        <v>1</v>
      </c>
      <c r="I275" s="1" t="s">
        <v>47</v>
      </c>
      <c r="J275" s="1" t="s">
        <v>48</v>
      </c>
      <c r="K275" s="1">
        <v>6.1800000000000001E-2</v>
      </c>
      <c r="L275" s="1">
        <v>1.47</v>
      </c>
      <c r="M275" s="1">
        <v>35.6</v>
      </c>
      <c r="N275" s="1" t="s">
        <v>49</v>
      </c>
      <c r="O275" s="1" t="s">
        <v>50</v>
      </c>
      <c r="P275" s="1">
        <v>0.65600000000000003</v>
      </c>
      <c r="Q275" s="1">
        <v>8.49</v>
      </c>
      <c r="R275" s="1">
        <v>837</v>
      </c>
      <c r="T275" s="6">
        <v>1</v>
      </c>
      <c r="U275" s="6">
        <v>1</v>
      </c>
      <c r="V275" s="6"/>
      <c r="W275" s="12">
        <f t="shared" si="12"/>
        <v>35.6</v>
      </c>
      <c r="X275" s="7">
        <f>'Calibration-S40 to end'!$U$11*(QAQC!L275^2)+'Calibration-S40 to end'!$U$12*QAQC!L275+'Calibration-S40 to end'!$U$13</f>
        <v>31.12771657</v>
      </c>
      <c r="Y275" s="7">
        <f t="shared" si="14"/>
        <v>31.12771657</v>
      </c>
      <c r="Z275" s="6"/>
      <c r="AA275" s="6"/>
      <c r="AB275" s="14"/>
      <c r="AC275" s="14"/>
      <c r="AD275" s="14"/>
      <c r="AE275" s="14"/>
      <c r="AF275" s="6">
        <v>1</v>
      </c>
      <c r="AG275" s="6"/>
      <c r="AH275" s="6">
        <f t="shared" si="15"/>
        <v>837</v>
      </c>
      <c r="AI275" s="13">
        <f>'Calibration-S40 to end'!$I$11*(QAQC!Q275^2)+'Calibration-S40 to end'!$I$12*QAQC!Q275+'Calibration-S40 to end'!$I$13</f>
        <v>512.31876878000014</v>
      </c>
      <c r="AJ275" s="13">
        <f t="shared" si="17"/>
        <v>512.31876878000014</v>
      </c>
      <c r="AK275" s="12"/>
      <c r="AM275" s="12"/>
      <c r="AO275" s="12"/>
      <c r="AR275" s="6">
        <v>269</v>
      </c>
    </row>
    <row r="276" spans="1:44" ht="15.75" customHeight="1" x14ac:dyDescent="0.2">
      <c r="A276" s="10">
        <v>46085</v>
      </c>
      <c r="B276" s="11">
        <v>0.67519675925925926</v>
      </c>
      <c r="C276" s="1" t="s">
        <v>122</v>
      </c>
      <c r="D276" s="1" t="s">
        <v>269</v>
      </c>
      <c r="E276" s="1">
        <v>205</v>
      </c>
      <c r="F276" s="1" t="s">
        <v>46</v>
      </c>
      <c r="G276" s="1">
        <v>1</v>
      </c>
      <c r="H276" s="1">
        <v>1</v>
      </c>
      <c r="I276" s="1" t="s">
        <v>47</v>
      </c>
      <c r="J276" s="1" t="s">
        <v>48</v>
      </c>
      <c r="K276" s="1">
        <v>2.7099999999999999E-2</v>
      </c>
      <c r="L276" s="1">
        <v>0.70799999999999996</v>
      </c>
      <c r="M276" s="1">
        <v>9.1999999999999993</v>
      </c>
      <c r="N276" s="1" t="s">
        <v>49</v>
      </c>
      <c r="O276" s="1" t="s">
        <v>50</v>
      </c>
      <c r="P276" s="1">
        <v>0.41399999999999998</v>
      </c>
      <c r="Q276" s="1">
        <v>5.41</v>
      </c>
      <c r="R276" s="1">
        <v>505</v>
      </c>
      <c r="T276" s="6">
        <v>1</v>
      </c>
      <c r="U276" s="6">
        <v>1</v>
      </c>
      <c r="V276" s="6"/>
      <c r="W276" s="12">
        <f t="shared" si="12"/>
        <v>9.1999999999999993</v>
      </c>
      <c r="X276" s="7">
        <f>'Calibration-S40 to end'!$U$11*(QAQC!L276^2)+'Calibration-S40 to end'!$U$12*QAQC!L276+'Calibration-S40 to end'!$U$13</f>
        <v>7.8390615472</v>
      </c>
      <c r="Y276" s="7">
        <f t="shared" si="14"/>
        <v>7.8390615472</v>
      </c>
      <c r="Z276" s="6"/>
      <c r="AA276" s="6"/>
      <c r="AF276" s="6">
        <v>1</v>
      </c>
      <c r="AG276" s="6"/>
      <c r="AH276" s="6">
        <f t="shared" si="15"/>
        <v>505</v>
      </c>
      <c r="AI276" s="13">
        <f>'Calibration-S40 to end'!$I$11*(QAQC!Q276^2)+'Calibration-S40 to end'!$I$12*QAQC!Q276+'Calibration-S40 to end'!$I$13</f>
        <v>304.34016717999998</v>
      </c>
      <c r="AJ276" s="13">
        <f t="shared" si="17"/>
        <v>304.34016717999998</v>
      </c>
      <c r="AK276" s="12"/>
      <c r="AM276" s="12"/>
      <c r="AO276" s="12"/>
      <c r="AR276" s="6">
        <v>270</v>
      </c>
    </row>
    <row r="277" spans="1:44" ht="15.75" customHeight="1" x14ac:dyDescent="0.2">
      <c r="A277" s="10">
        <v>46085</v>
      </c>
      <c r="B277" s="11">
        <v>0.67609953703703707</v>
      </c>
      <c r="C277" s="1" t="s">
        <v>122</v>
      </c>
      <c r="D277" s="1" t="s">
        <v>270</v>
      </c>
      <c r="E277" s="1">
        <v>206</v>
      </c>
      <c r="F277" s="1" t="s">
        <v>75</v>
      </c>
      <c r="G277" s="1">
        <v>1</v>
      </c>
      <c r="H277" s="1">
        <v>1</v>
      </c>
      <c r="I277" s="1" t="s">
        <v>47</v>
      </c>
      <c r="J277" s="1" t="s">
        <v>48</v>
      </c>
      <c r="K277" s="1">
        <v>7.2300000000000003E-2</v>
      </c>
      <c r="L277" s="1">
        <v>1.63</v>
      </c>
      <c r="M277" s="1">
        <v>41.3</v>
      </c>
      <c r="N277" s="1" t="s">
        <v>49</v>
      </c>
      <c r="O277" s="1" t="s">
        <v>50</v>
      </c>
      <c r="P277" s="1">
        <v>0.66700000000000004</v>
      </c>
      <c r="Q277" s="1">
        <v>8.68</v>
      </c>
      <c r="R277" s="1">
        <v>856</v>
      </c>
      <c r="T277" s="6">
        <v>1</v>
      </c>
      <c r="U277" s="6">
        <v>1</v>
      </c>
      <c r="V277" s="6"/>
      <c r="W277" s="12">
        <f t="shared" si="12"/>
        <v>41.3</v>
      </c>
      <c r="X277" s="7">
        <f>'Calibration-S40 to end'!$U$11*(QAQC!L277^2)+'Calibration-S40 to end'!$U$12*QAQC!L277+'Calibration-S40 to end'!$U$13</f>
        <v>35.96421737</v>
      </c>
      <c r="Y277" s="7">
        <f t="shared" si="14"/>
        <v>35.96421737</v>
      </c>
      <c r="Z277" s="6"/>
      <c r="AA277" s="6"/>
      <c r="AB277" s="14"/>
      <c r="AC277" s="14"/>
      <c r="AD277" s="14"/>
      <c r="AE277" s="14"/>
      <c r="AF277" s="6">
        <v>1</v>
      </c>
      <c r="AG277" s="6"/>
      <c r="AH277" s="6">
        <f t="shared" si="15"/>
        <v>856</v>
      </c>
      <c r="AI277" s="13">
        <f>'Calibration-S40 to end'!$I$11*(QAQC!Q277^2)+'Calibration-S40 to end'!$I$12*QAQC!Q277+'Calibration-S40 to end'!$I$13</f>
        <v>524.62535872000012</v>
      </c>
      <c r="AJ277" s="13">
        <f t="shared" si="17"/>
        <v>524.62535872000012</v>
      </c>
      <c r="AK277" s="12"/>
      <c r="AM277" s="12"/>
      <c r="AO277" s="12"/>
      <c r="AR277" s="6">
        <v>271</v>
      </c>
    </row>
    <row r="278" spans="1:44" ht="15.75" customHeight="1" x14ac:dyDescent="0.2">
      <c r="A278" s="10">
        <v>46085</v>
      </c>
      <c r="B278" s="11">
        <v>0.67700231481481477</v>
      </c>
      <c r="C278" s="1" t="s">
        <v>122</v>
      </c>
      <c r="D278" s="1" t="s">
        <v>271</v>
      </c>
      <c r="E278" s="1">
        <v>207</v>
      </c>
      <c r="F278" s="1" t="s">
        <v>75</v>
      </c>
      <c r="G278" s="1">
        <v>1</v>
      </c>
      <c r="H278" s="1">
        <v>1</v>
      </c>
      <c r="I278" s="1" t="s">
        <v>47</v>
      </c>
      <c r="J278" s="1" t="s">
        <v>48</v>
      </c>
      <c r="K278" s="1">
        <v>8.1000000000000003E-2</v>
      </c>
      <c r="L278" s="1">
        <v>1.72</v>
      </c>
      <c r="M278" s="1">
        <v>44.3</v>
      </c>
      <c r="N278" s="1" t="s">
        <v>49</v>
      </c>
      <c r="O278" s="1" t="s">
        <v>50</v>
      </c>
      <c r="P278" s="1">
        <v>0.69099999999999995</v>
      </c>
      <c r="Q278" s="1">
        <v>8.64</v>
      </c>
      <c r="R278" s="1">
        <v>853</v>
      </c>
      <c r="T278" s="6">
        <v>1</v>
      </c>
      <c r="U278" s="6">
        <v>1</v>
      </c>
      <c r="V278" s="6"/>
      <c r="W278" s="12">
        <f t="shared" si="12"/>
        <v>44.3</v>
      </c>
      <c r="X278" s="7">
        <f>'Calibration-S40 to end'!$U$11*(QAQC!L278^2)+'Calibration-S40 to end'!$U$12*QAQC!L278+'Calibration-S40 to end'!$U$13</f>
        <v>38.676588319999993</v>
      </c>
      <c r="Y278" s="7">
        <f t="shared" si="14"/>
        <v>38.676588319999993</v>
      </c>
      <c r="Z278" s="6"/>
      <c r="AA278" s="6"/>
      <c r="AB278" s="12">
        <f>ABS(100*ABS(Y278-Y277)/AVERAGE(Y278,Y277))</f>
        <v>7.2677965488879588</v>
      </c>
      <c r="AC278" s="14" t="str">
        <f>IF(Y278&gt;10, (IF((AND(AB278&gt;=0,AB278&lt;=20)=TRUE),"PASS","FAIL")),(IF((AND(AB278&gt;=0,AB278&lt;=50)=TRUE),"PASS","FAIL")))</f>
        <v>PASS</v>
      </c>
      <c r="AF278" s="6">
        <v>1</v>
      </c>
      <c r="AG278" s="6"/>
      <c r="AH278" s="6">
        <f t="shared" si="15"/>
        <v>853</v>
      </c>
      <c r="AI278" s="13">
        <f>'Calibration-S40 to end'!$I$11*(QAQC!Q278^2)+'Calibration-S40 to end'!$I$12*QAQC!Q278+'Calibration-S40 to end'!$I$13</f>
        <v>522.03955088000009</v>
      </c>
      <c r="AJ278" s="13">
        <f t="shared" si="17"/>
        <v>522.03955088000009</v>
      </c>
      <c r="AK278" s="12"/>
      <c r="AM278" s="12">
        <f>ABS(100*ABS(AJ278-AJ277)/AVERAGE(AJ278,AJ277))</f>
        <v>0.49410423838289136</v>
      </c>
      <c r="AN278" s="14" t="str">
        <f>IF(AJ278&gt;10, (IF((AND(AM278&gt;=0,AM278&lt;=20)=TRUE),"PASS","FAIL")),(IF((AND(AM278&gt;=0,AM278&lt;=50)=TRUE),"PASS","FAIL")))</f>
        <v>PASS</v>
      </c>
      <c r="AO278" s="12"/>
      <c r="AR278" s="6">
        <v>272</v>
      </c>
    </row>
    <row r="279" spans="1:44" ht="15.75" customHeight="1" x14ac:dyDescent="0.2">
      <c r="A279" s="10">
        <v>46085</v>
      </c>
      <c r="B279" s="11">
        <v>0.67789351851851853</v>
      </c>
      <c r="C279" s="1" t="s">
        <v>122</v>
      </c>
      <c r="D279" s="1" t="s">
        <v>168</v>
      </c>
      <c r="E279" s="1">
        <v>1</v>
      </c>
      <c r="F279" s="1" t="s">
        <v>88</v>
      </c>
      <c r="G279" s="1">
        <v>1</v>
      </c>
      <c r="H279" s="1">
        <v>1</v>
      </c>
      <c r="I279" s="1" t="s">
        <v>47</v>
      </c>
      <c r="J279" s="1" t="s">
        <v>48</v>
      </c>
      <c r="K279" s="1">
        <v>0.29499999999999998</v>
      </c>
      <c r="L279" s="1">
        <v>5.57</v>
      </c>
      <c r="M279" s="1">
        <v>182</v>
      </c>
      <c r="N279" s="1" t="s">
        <v>49</v>
      </c>
      <c r="O279" s="1" t="s">
        <v>50</v>
      </c>
      <c r="P279" s="1">
        <v>2.29</v>
      </c>
      <c r="Q279" s="1">
        <v>29.1</v>
      </c>
      <c r="R279" s="1">
        <v>2920</v>
      </c>
      <c r="T279" s="6">
        <v>1</v>
      </c>
      <c r="U279" s="6">
        <v>1</v>
      </c>
      <c r="V279" s="6"/>
      <c r="W279" s="12">
        <f t="shared" si="12"/>
        <v>182</v>
      </c>
      <c r="X279" s="7">
        <f>'Calibration-S40 to end'!$U$11*(QAQC!L279^2)+'Calibration-S40 to end'!$U$12*QAQC!L279+'Calibration-S40 to end'!$U$13</f>
        <v>149.20399377000001</v>
      </c>
      <c r="Y279" s="7">
        <f t="shared" si="14"/>
        <v>149.20399377000001</v>
      </c>
      <c r="Z279" s="6">
        <f>100*(Y279-150)/150</f>
        <v>-0.53067081999999266</v>
      </c>
      <c r="AA279" s="6" t="str">
        <f t="shared" ref="AA279:AA284" si="20">IF((ABS(Z279))&lt;=20,"PASS","FAIL")</f>
        <v>PASS</v>
      </c>
      <c r="AB279" s="14"/>
      <c r="AC279" s="14"/>
      <c r="AD279" s="14"/>
      <c r="AE279" s="14"/>
      <c r="AF279" s="6">
        <v>1</v>
      </c>
      <c r="AG279" s="6"/>
      <c r="AH279" s="6">
        <f t="shared" si="15"/>
        <v>2920</v>
      </c>
      <c r="AI279" s="13">
        <f>'Calibration-S40 to end'!$I$11*(QAQC!Q279^2)+'Calibration-S40 to end'!$I$12*QAQC!Q279+'Calibration-S40 to end'!$I$13</f>
        <v>1492.8148280000003</v>
      </c>
      <c r="AJ279" s="13">
        <f t="shared" si="17"/>
        <v>1492.8148280000003</v>
      </c>
      <c r="AK279" s="9">
        <f>100*(AJ279-1500)/1500</f>
        <v>-0.47901146666664923</v>
      </c>
      <c r="AL279" s="6" t="str">
        <f t="shared" ref="AL279:AL284" si="21">IF((ABS(AK279))&lt;=20,"PASS","FAIL")</f>
        <v>PASS</v>
      </c>
      <c r="AM279" s="12"/>
      <c r="AO279" s="12"/>
      <c r="AR279" s="6">
        <v>273</v>
      </c>
    </row>
    <row r="280" spans="1:44" ht="15.75" customHeight="1" x14ac:dyDescent="0.2">
      <c r="A280" s="10">
        <v>46085</v>
      </c>
      <c r="B280" s="11">
        <v>0.67878472222222219</v>
      </c>
      <c r="C280" s="1" t="s">
        <v>122</v>
      </c>
      <c r="D280" s="1" t="s">
        <v>169</v>
      </c>
      <c r="E280" s="1">
        <v>3</v>
      </c>
      <c r="F280" s="1" t="s">
        <v>88</v>
      </c>
      <c r="G280" s="1">
        <v>1</v>
      </c>
      <c r="H280" s="1">
        <v>1</v>
      </c>
      <c r="I280" s="1" t="s">
        <v>47</v>
      </c>
      <c r="J280" s="1" t="s">
        <v>48</v>
      </c>
      <c r="K280" s="1">
        <v>0.20300000000000001</v>
      </c>
      <c r="L280" s="1">
        <v>3.89</v>
      </c>
      <c r="M280" s="1">
        <v>121</v>
      </c>
      <c r="N280" s="1" t="s">
        <v>49</v>
      </c>
      <c r="O280" s="1" t="s">
        <v>50</v>
      </c>
      <c r="P280" s="1">
        <v>1.37</v>
      </c>
      <c r="Q280" s="1">
        <v>17.2</v>
      </c>
      <c r="R280" s="1">
        <v>1740</v>
      </c>
      <c r="T280" s="6">
        <v>1</v>
      </c>
      <c r="U280" s="6">
        <v>1</v>
      </c>
      <c r="V280" s="6"/>
      <c r="W280" s="12">
        <f t="shared" si="12"/>
        <v>121</v>
      </c>
      <c r="X280" s="7">
        <f>'Calibration-S40 to end'!$U$11*(QAQC!L280^2)+'Calibration-S40 to end'!$U$12*QAQC!L280+'Calibration-S40 to end'!$U$13</f>
        <v>102.29611233</v>
      </c>
      <c r="Y280" s="7">
        <f t="shared" si="14"/>
        <v>102.29611233</v>
      </c>
      <c r="Z280" s="6">
        <f>100*(Y280-100)/100</f>
        <v>2.2961123299999997</v>
      </c>
      <c r="AA280" s="6" t="str">
        <f t="shared" si="20"/>
        <v>PASS</v>
      </c>
      <c r="AF280" s="6">
        <v>1</v>
      </c>
      <c r="AG280" s="6"/>
      <c r="AH280" s="6">
        <f t="shared" si="15"/>
        <v>1740</v>
      </c>
      <c r="AI280" s="13">
        <f>'Calibration-S40 to end'!$I$11*(QAQC!Q280^2)+'Calibration-S40 to end'!$I$12*QAQC!Q280+'Calibration-S40 to end'!$I$13</f>
        <v>1013.9797720000001</v>
      </c>
      <c r="AJ280" s="13">
        <f t="shared" si="17"/>
        <v>1013.9797720000001</v>
      </c>
      <c r="AK280" s="9">
        <f>100*(AJ280-1000)/1000</f>
        <v>1.3979772000000139</v>
      </c>
      <c r="AL280" s="6" t="str">
        <f t="shared" si="21"/>
        <v>PASS</v>
      </c>
      <c r="AM280" s="12"/>
      <c r="AO280" s="12"/>
      <c r="AR280" s="6">
        <v>274</v>
      </c>
    </row>
    <row r="281" spans="1:44" ht="15.75" customHeight="1" x14ac:dyDescent="0.2">
      <c r="A281" s="10">
        <v>46085</v>
      </c>
      <c r="B281" s="11">
        <v>0.67967592592592596</v>
      </c>
      <c r="C281" s="1" t="s">
        <v>122</v>
      </c>
      <c r="D281" s="1" t="s">
        <v>170</v>
      </c>
      <c r="E281" s="1">
        <v>5</v>
      </c>
      <c r="F281" s="1" t="s">
        <v>88</v>
      </c>
      <c r="G281" s="1">
        <v>1</v>
      </c>
      <c r="H281" s="1">
        <v>1</v>
      </c>
      <c r="I281" s="1" t="s">
        <v>47</v>
      </c>
      <c r="J281" s="1" t="s">
        <v>48</v>
      </c>
      <c r="K281" s="1">
        <v>0.10199999999999999</v>
      </c>
      <c r="L281" s="1">
        <v>2.11</v>
      </c>
      <c r="M281" s="1">
        <v>57.9</v>
      </c>
      <c r="N281" s="1" t="s">
        <v>49</v>
      </c>
      <c r="O281" s="1" t="s">
        <v>50</v>
      </c>
      <c r="P281" s="1">
        <v>0.69399999999999995</v>
      </c>
      <c r="Q281" s="1">
        <v>8.5299999999999994</v>
      </c>
      <c r="R281" s="1">
        <v>840</v>
      </c>
      <c r="T281" s="6">
        <v>1</v>
      </c>
      <c r="U281" s="6">
        <v>1</v>
      </c>
      <c r="V281" s="6"/>
      <c r="W281" s="12">
        <f t="shared" si="12"/>
        <v>57.9</v>
      </c>
      <c r="X281" s="7">
        <f>'Calibration-S40 to end'!$U$11*(QAQC!L281^2)+'Calibration-S40 to end'!$U$12*QAQC!L281+'Calibration-S40 to end'!$U$13</f>
        <v>50.362298330000002</v>
      </c>
      <c r="Y281" s="7">
        <f t="shared" si="14"/>
        <v>50.362298330000002</v>
      </c>
      <c r="Z281" s="6">
        <f>100*(Y281-50)/50</f>
        <v>0.72459666000000311</v>
      </c>
      <c r="AA281" s="6" t="str">
        <f t="shared" si="20"/>
        <v>PASS</v>
      </c>
      <c r="AB281" s="14"/>
      <c r="AC281" s="14"/>
      <c r="AD281" s="14"/>
      <c r="AE281" s="14"/>
      <c r="AF281" s="6">
        <v>1</v>
      </c>
      <c r="AG281" s="6"/>
      <c r="AH281" s="6">
        <f t="shared" si="15"/>
        <v>840</v>
      </c>
      <c r="AI281" s="13">
        <f>'Calibration-S40 to end'!$I$11*(QAQC!Q281^2)+'Calibration-S40 to end'!$I$12*QAQC!Q281+'Calibration-S40 to end'!$I$13</f>
        <v>514.91468301999998</v>
      </c>
      <c r="AJ281" s="13">
        <f t="shared" si="17"/>
        <v>514.91468301999998</v>
      </c>
      <c r="AK281" s="9">
        <f>100*(AJ281-500)/500</f>
        <v>2.9829366039999967</v>
      </c>
      <c r="AL281" s="6" t="str">
        <f t="shared" si="21"/>
        <v>PASS</v>
      </c>
      <c r="AM281" s="12"/>
      <c r="AO281" s="12"/>
      <c r="AR281" s="6">
        <v>275</v>
      </c>
    </row>
    <row r="282" spans="1:44" ht="15.75" customHeight="1" x14ac:dyDescent="0.2">
      <c r="A282" s="10">
        <v>46085</v>
      </c>
      <c r="B282" s="11">
        <v>0.68054398148148143</v>
      </c>
      <c r="C282" s="1" t="s">
        <v>122</v>
      </c>
      <c r="D282" s="1" t="s">
        <v>126</v>
      </c>
      <c r="E282" s="1">
        <v>7</v>
      </c>
      <c r="F282" s="1" t="s">
        <v>88</v>
      </c>
      <c r="G282" s="1">
        <v>1</v>
      </c>
      <c r="H282" s="1">
        <v>1</v>
      </c>
      <c r="I282" s="1" t="s">
        <v>47</v>
      </c>
      <c r="J282" s="1" t="s">
        <v>48</v>
      </c>
      <c r="K282" s="1">
        <v>5.5599999999999997E-2</v>
      </c>
      <c r="L282" s="1">
        <v>1.27</v>
      </c>
      <c r="M282" s="1">
        <v>28.7</v>
      </c>
      <c r="N282" s="1" t="s">
        <v>49</v>
      </c>
      <c r="O282" s="1" t="s">
        <v>50</v>
      </c>
      <c r="P282" s="1">
        <v>0.317</v>
      </c>
      <c r="Q282" s="1">
        <v>4.1900000000000004</v>
      </c>
      <c r="R282" s="1">
        <v>373</v>
      </c>
      <c r="T282" s="6">
        <v>1</v>
      </c>
      <c r="U282" s="6">
        <v>1</v>
      </c>
      <c r="V282" s="6"/>
      <c r="W282" s="12">
        <f t="shared" si="12"/>
        <v>28.7</v>
      </c>
      <c r="X282" s="7">
        <f>'Calibration-S40 to end'!$U$11*(QAQC!L282^2)+'Calibration-S40 to end'!$U$12*QAQC!L282+'Calibration-S40 to end'!$U$13</f>
        <v>25.055976169999997</v>
      </c>
      <c r="Y282" s="7">
        <f t="shared" si="14"/>
        <v>25.055976169999997</v>
      </c>
      <c r="Z282" s="6">
        <f>100*(Y282-25)/25</f>
        <v>0.22390467999998975</v>
      </c>
      <c r="AA282" s="6" t="str">
        <f t="shared" si="20"/>
        <v>PASS</v>
      </c>
      <c r="AF282" s="6">
        <v>1</v>
      </c>
      <c r="AG282" s="6"/>
      <c r="AH282" s="6">
        <f t="shared" si="15"/>
        <v>373</v>
      </c>
      <c r="AI282" s="13">
        <f>'Calibration-S40 to end'!$I$11*(QAQC!Q282^2)+'Calibration-S40 to end'!$I$12*QAQC!Q282+'Calibration-S40 to end'!$I$13</f>
        <v>217.54085158000001</v>
      </c>
      <c r="AJ282" s="13">
        <f t="shared" si="17"/>
        <v>217.54085158000001</v>
      </c>
      <c r="AK282" s="9">
        <f>100*(AJ282-250)/250</f>
        <v>-12.983659367999996</v>
      </c>
      <c r="AL282" s="6" t="str">
        <f t="shared" si="21"/>
        <v>PASS</v>
      </c>
      <c r="AM282" s="12"/>
      <c r="AO282" s="12"/>
      <c r="AR282" s="6">
        <v>276</v>
      </c>
    </row>
    <row r="283" spans="1:44" ht="15.75" customHeight="1" x14ac:dyDescent="0.2">
      <c r="A283" s="10">
        <v>46085</v>
      </c>
      <c r="B283" s="11">
        <v>0.6814351851851852</v>
      </c>
      <c r="C283" s="1" t="s">
        <v>122</v>
      </c>
      <c r="D283" s="1" t="s">
        <v>171</v>
      </c>
      <c r="E283" s="1">
        <v>9</v>
      </c>
      <c r="F283" s="1" t="s">
        <v>88</v>
      </c>
      <c r="G283" s="1">
        <v>1</v>
      </c>
      <c r="H283" s="1">
        <v>1</v>
      </c>
      <c r="I283" s="1" t="s">
        <v>47</v>
      </c>
      <c r="J283" s="1" t="s">
        <v>48</v>
      </c>
      <c r="K283" s="1">
        <v>2.8899999999999999E-2</v>
      </c>
      <c r="L283" s="1">
        <v>0.77800000000000002</v>
      </c>
      <c r="M283" s="1">
        <v>11.6</v>
      </c>
      <c r="N283" s="1" t="s">
        <v>49</v>
      </c>
      <c r="O283" s="1" t="s">
        <v>50</v>
      </c>
      <c r="P283" s="1">
        <v>0.18</v>
      </c>
      <c r="Q283" s="1">
        <v>2.57</v>
      </c>
      <c r="R283" s="1">
        <v>194</v>
      </c>
      <c r="T283" s="6">
        <v>1</v>
      </c>
      <c r="U283" s="6">
        <v>1</v>
      </c>
      <c r="V283" s="6"/>
      <c r="W283" s="12">
        <f t="shared" si="12"/>
        <v>11.6</v>
      </c>
      <c r="X283" s="7">
        <f>'Calibration-S40 to end'!$U$11*(QAQC!L283^2)+'Calibration-S40 to end'!$U$12*QAQC!L283+'Calibration-S40 to end'!$U$13</f>
        <v>9.996008493199998</v>
      </c>
      <c r="Y283" s="7">
        <f t="shared" si="14"/>
        <v>9.996008493199998</v>
      </c>
      <c r="Z283" s="6">
        <f>100*(Y283-10)/10</f>
        <v>-3.9915068000020426E-2</v>
      </c>
      <c r="AA283" s="6" t="str">
        <f t="shared" si="20"/>
        <v>PASS</v>
      </c>
      <c r="AB283" s="14"/>
      <c r="AC283" s="14"/>
      <c r="AD283" s="14"/>
      <c r="AE283" s="14"/>
      <c r="AF283" s="6">
        <v>1</v>
      </c>
      <c r="AG283" s="6"/>
      <c r="AH283" s="6">
        <f t="shared" si="15"/>
        <v>194</v>
      </c>
      <c r="AI283" s="13">
        <f>'Calibration-S40 to end'!$I$11*(QAQC!Q283^2)+'Calibration-S40 to end'!$I$12*QAQC!Q283+'Calibration-S40 to end'!$I$13</f>
        <v>98.407950220000004</v>
      </c>
      <c r="AJ283" s="13">
        <f t="shared" si="17"/>
        <v>98.407950220000004</v>
      </c>
      <c r="AK283" s="9">
        <f>100*(AJ283-100)/100</f>
        <v>-1.5920497799999964</v>
      </c>
      <c r="AL283" s="6" t="str">
        <f t="shared" si="21"/>
        <v>PASS</v>
      </c>
      <c r="AM283" s="12"/>
      <c r="AO283" s="12"/>
      <c r="AR283" s="6">
        <v>277</v>
      </c>
    </row>
    <row r="284" spans="1:44" ht="15.75" customHeight="1" x14ac:dyDescent="0.2">
      <c r="A284" s="10">
        <v>46085</v>
      </c>
      <c r="B284" s="11">
        <v>0.68232638888888886</v>
      </c>
      <c r="C284" s="1" t="s">
        <v>122</v>
      </c>
      <c r="D284" s="1" t="s">
        <v>172</v>
      </c>
      <c r="E284" s="1">
        <v>11</v>
      </c>
      <c r="F284" s="1" t="s">
        <v>88</v>
      </c>
      <c r="G284" s="1">
        <v>1</v>
      </c>
      <c r="H284" s="1">
        <v>1</v>
      </c>
      <c r="I284" s="1" t="s">
        <v>47</v>
      </c>
      <c r="J284" s="1" t="s">
        <v>48</v>
      </c>
      <c r="K284" s="1">
        <v>2.58E-2</v>
      </c>
      <c r="L284" s="1">
        <v>0.75600000000000001</v>
      </c>
      <c r="M284" s="1">
        <v>10.9</v>
      </c>
      <c r="N284" s="1" t="s">
        <v>49</v>
      </c>
      <c r="O284" s="1" t="s">
        <v>50</v>
      </c>
      <c r="P284" s="1">
        <v>0.13700000000000001</v>
      </c>
      <c r="Q284" s="1">
        <v>2.04</v>
      </c>
      <c r="R284" s="1">
        <v>136</v>
      </c>
      <c r="T284" s="6">
        <v>1</v>
      </c>
      <c r="U284" s="6">
        <v>3</v>
      </c>
      <c r="V284" s="6" t="s">
        <v>272</v>
      </c>
      <c r="W284" s="12">
        <f t="shared" si="12"/>
        <v>10.9</v>
      </c>
      <c r="X284" s="7">
        <f>'Calibration-S40 to end'!$U$11*(QAQC!L284^2)+'Calibration-S40 to end'!$U$12*QAQC!L284+'Calibration-S40 to end'!$U$13</f>
        <v>9.3184938927999994</v>
      </c>
      <c r="Y284" s="7">
        <f t="shared" si="14"/>
        <v>9.3184938927999994</v>
      </c>
      <c r="Z284" s="6">
        <f>100*(Y284-5)/5</f>
        <v>86.369877855999988</v>
      </c>
      <c r="AA284" s="6" t="str">
        <f t="shared" si="20"/>
        <v>FAIL</v>
      </c>
      <c r="AF284" s="6">
        <v>1</v>
      </c>
      <c r="AG284" s="6"/>
      <c r="AH284" s="6">
        <f t="shared" si="15"/>
        <v>136</v>
      </c>
      <c r="AI284" s="13">
        <f>'Calibration-S40 to end'!$I$11*(QAQC!Q284^2)+'Calibration-S40 to end'!$I$12*QAQC!Q284+'Calibration-S40 to end'!$I$13</f>
        <v>58.472684479999998</v>
      </c>
      <c r="AJ284" s="13">
        <f t="shared" si="17"/>
        <v>58.472684479999998</v>
      </c>
      <c r="AK284" s="9">
        <f>100*(AJ284-50)/50</f>
        <v>16.945368959999996</v>
      </c>
      <c r="AL284" s="6" t="str">
        <f t="shared" si="21"/>
        <v>PASS</v>
      </c>
      <c r="AM284" s="12"/>
      <c r="AO284" s="12"/>
      <c r="AR284" s="6">
        <v>278</v>
      </c>
    </row>
    <row r="285" spans="1:44" ht="15.75" customHeight="1" x14ac:dyDescent="0.2">
      <c r="A285" s="10">
        <v>46085</v>
      </c>
      <c r="B285" s="11">
        <v>0.68320601851851848</v>
      </c>
      <c r="C285" s="1" t="s">
        <v>122</v>
      </c>
      <c r="D285" s="1" t="s">
        <v>173</v>
      </c>
      <c r="E285" s="1">
        <v>13</v>
      </c>
      <c r="F285" s="1" t="s">
        <v>88</v>
      </c>
      <c r="G285" s="1">
        <v>1</v>
      </c>
      <c r="H285" s="1">
        <v>1</v>
      </c>
      <c r="I285" s="1" t="s">
        <v>47</v>
      </c>
      <c r="J285" s="1" t="s">
        <v>48</v>
      </c>
      <c r="K285" s="1">
        <v>2.06E-2</v>
      </c>
      <c r="L285" s="1">
        <v>0.46800000000000003</v>
      </c>
      <c r="M285" s="1">
        <v>0.91700000000000004</v>
      </c>
      <c r="N285" s="1" t="s">
        <v>49</v>
      </c>
      <c r="O285" s="1" t="s">
        <v>50</v>
      </c>
      <c r="P285" s="1">
        <v>7.8399999999999997E-2</v>
      </c>
      <c r="Q285" s="1">
        <v>1.28</v>
      </c>
      <c r="R285" s="1">
        <v>52.2</v>
      </c>
      <c r="T285" s="6">
        <v>1</v>
      </c>
      <c r="U285" s="6">
        <v>1</v>
      </c>
      <c r="V285" s="6"/>
      <c r="W285" s="12">
        <f t="shared" si="12"/>
        <v>0.91700000000000004</v>
      </c>
      <c r="X285" s="7">
        <f>'Calibration-S40 to end'!$U$11*(QAQC!L285^2)+'Calibration-S40 to end'!$U$12*QAQC!L285+'Calibration-S40 to end'!$U$13</f>
        <v>0.41682999520000052</v>
      </c>
      <c r="Y285" s="7">
        <f t="shared" si="14"/>
        <v>0.41682999520000052</v>
      </c>
      <c r="Z285" s="6"/>
      <c r="AA285" s="6"/>
      <c r="AB285" s="14"/>
      <c r="AC285" s="14"/>
      <c r="AD285" s="14"/>
      <c r="AE285" s="14"/>
      <c r="AF285" s="6">
        <v>1</v>
      </c>
      <c r="AG285" s="6"/>
      <c r="AH285" s="6">
        <f t="shared" si="15"/>
        <v>52.2</v>
      </c>
      <c r="AI285" s="13">
        <f>'Calibration-S40 to end'!$I$11*(QAQC!Q285^2)+'Calibration-S40 to end'!$I$12*QAQC!Q285+'Calibration-S40 to end'!$I$13</f>
        <v>0.38132751999999925</v>
      </c>
      <c r="AJ285" s="13">
        <f t="shared" si="17"/>
        <v>0.38132751999999925</v>
      </c>
      <c r="AK285" s="12"/>
      <c r="AM285" s="12"/>
      <c r="AO285" s="12"/>
      <c r="AR285" s="6">
        <v>279</v>
      </c>
    </row>
    <row r="286" spans="1:44" ht="15.75" customHeight="1" x14ac:dyDescent="0.2">
      <c r="A286" s="10">
        <v>46085</v>
      </c>
      <c r="B286" s="11">
        <v>0.68407407407407406</v>
      </c>
      <c r="C286" s="1" t="s">
        <v>122</v>
      </c>
      <c r="D286" s="1" t="s">
        <v>51</v>
      </c>
      <c r="E286" s="1" t="s">
        <v>52</v>
      </c>
      <c r="F286" s="1" t="s">
        <v>46</v>
      </c>
      <c r="G286" s="1">
        <v>1</v>
      </c>
      <c r="H286" s="1">
        <v>1</v>
      </c>
      <c r="I286" s="1" t="s">
        <v>47</v>
      </c>
      <c r="J286" s="1" t="s">
        <v>48</v>
      </c>
      <c r="K286" s="1">
        <v>0.13700000000000001</v>
      </c>
      <c r="L286" s="1">
        <v>1.67</v>
      </c>
      <c r="M286" s="1">
        <v>42.7</v>
      </c>
      <c r="N286" s="1" t="s">
        <v>49</v>
      </c>
      <c r="O286" s="1" t="s">
        <v>50</v>
      </c>
      <c r="P286" s="1">
        <v>1.83</v>
      </c>
      <c r="Q286" s="1">
        <v>23.8</v>
      </c>
      <c r="R286" s="1">
        <v>2410</v>
      </c>
      <c r="S286" s="6">
        <f>100*(Q287/Q286)</f>
        <v>104.62184873949579</v>
      </c>
      <c r="T286" s="6">
        <v>1</v>
      </c>
      <c r="U286" s="6">
        <v>1</v>
      </c>
      <c r="V286" s="6"/>
      <c r="W286" s="12">
        <f t="shared" si="12"/>
        <v>42.7</v>
      </c>
      <c r="X286" s="7">
        <f>'Calibration-S40 to end'!$U$11*(QAQC!L286^2)+'Calibration-S40 to end'!$U$12*QAQC!L286+'Calibration-S40 to end'!$U$13</f>
        <v>37.170440970000001</v>
      </c>
      <c r="Y286" s="7">
        <f t="shared" si="14"/>
        <v>37.170440970000001</v>
      </c>
      <c r="Z286" s="6"/>
      <c r="AA286" s="6"/>
      <c r="AF286" s="6">
        <v>1</v>
      </c>
      <c r="AG286" s="6"/>
      <c r="AH286" s="6">
        <f t="shared" si="15"/>
        <v>2410</v>
      </c>
      <c r="AI286" s="13">
        <f>'Calibration-S40 to end'!$I$11*(QAQC!Q286^2)+'Calibration-S40 to end'!$I$12*QAQC!Q286+'Calibration-S40 to end'!$I$13</f>
        <v>1309.0123120000003</v>
      </c>
      <c r="AJ286" s="13">
        <f t="shared" si="17"/>
        <v>1309.0123120000003</v>
      </c>
      <c r="AK286" s="12"/>
      <c r="AM286" s="12"/>
      <c r="AO286" s="12"/>
      <c r="AR286" s="6">
        <v>280</v>
      </c>
    </row>
    <row r="287" spans="1:44" ht="15.75" customHeight="1" x14ac:dyDescent="0.2">
      <c r="A287" s="10">
        <v>46085</v>
      </c>
      <c r="B287" s="11">
        <v>0.68497685185185186</v>
      </c>
      <c r="C287" s="1" t="s">
        <v>122</v>
      </c>
      <c r="D287" s="1" t="s">
        <v>53</v>
      </c>
      <c r="E287" s="1" t="s">
        <v>54</v>
      </c>
      <c r="F287" s="1" t="s">
        <v>46</v>
      </c>
      <c r="G287" s="1">
        <v>1</v>
      </c>
      <c r="H287" s="1">
        <v>1</v>
      </c>
      <c r="I287" s="1" t="s">
        <v>47</v>
      </c>
      <c r="J287" s="1" t="s">
        <v>48</v>
      </c>
      <c r="K287" s="1">
        <v>0.14000000000000001</v>
      </c>
      <c r="L287" s="1">
        <v>1.74</v>
      </c>
      <c r="M287" s="1">
        <v>45</v>
      </c>
      <c r="N287" s="1" t="s">
        <v>49</v>
      </c>
      <c r="O287" s="1" t="s">
        <v>50</v>
      </c>
      <c r="P287" s="1">
        <v>1.94</v>
      </c>
      <c r="Q287" s="1">
        <v>24.9</v>
      </c>
      <c r="R287" s="1">
        <v>2520</v>
      </c>
      <c r="T287" s="6">
        <v>1</v>
      </c>
      <c r="U287" s="6">
        <v>1</v>
      </c>
      <c r="V287" s="6"/>
      <c r="W287" s="12">
        <f t="shared" si="12"/>
        <v>45</v>
      </c>
      <c r="X287" s="7">
        <f>'Calibration-S40 to end'!$U$11*(QAQC!L287^2)+'Calibration-S40 to end'!$U$12*QAQC!L287+'Calibration-S40 to end'!$U$13</f>
        <v>39.278539480000006</v>
      </c>
      <c r="Y287" s="7">
        <f t="shared" si="14"/>
        <v>39.278539480000006</v>
      </c>
      <c r="Z287" s="6"/>
      <c r="AA287" s="6"/>
      <c r="AB287" s="14"/>
      <c r="AC287" s="14"/>
      <c r="AD287" s="14"/>
      <c r="AE287" s="14"/>
      <c r="AF287" s="6">
        <v>1</v>
      </c>
      <c r="AG287" s="6"/>
      <c r="AH287" s="6">
        <f t="shared" si="15"/>
        <v>2520</v>
      </c>
      <c r="AI287" s="13">
        <f>'Calibration-S40 to end'!$I$11*(QAQC!Q287^2)+'Calibration-S40 to end'!$I$12*QAQC!Q287+'Calibration-S40 to end'!$I$13</f>
        <v>1351.050968</v>
      </c>
      <c r="AJ287" s="13">
        <f t="shared" si="17"/>
        <v>1351.050968</v>
      </c>
      <c r="AK287" s="12"/>
      <c r="AM287" s="12"/>
      <c r="AO287" s="12"/>
      <c r="AR287" s="6">
        <v>281</v>
      </c>
    </row>
    <row r="288" spans="1:44" ht="15.75" customHeight="1" x14ac:dyDescent="0.2">
      <c r="A288" s="10">
        <v>46085</v>
      </c>
      <c r="B288" s="11">
        <v>0.68586805555555552</v>
      </c>
      <c r="C288" s="1" t="s">
        <v>122</v>
      </c>
      <c r="D288" s="1" t="s">
        <v>273</v>
      </c>
      <c r="E288" s="1">
        <v>211</v>
      </c>
      <c r="F288" s="1" t="s">
        <v>46</v>
      </c>
      <c r="G288" s="1">
        <v>1</v>
      </c>
      <c r="H288" s="1">
        <v>1</v>
      </c>
      <c r="I288" s="1" t="s">
        <v>47</v>
      </c>
      <c r="J288" s="1" t="s">
        <v>48</v>
      </c>
      <c r="K288" s="1">
        <v>2.9899999999999999E-2</v>
      </c>
      <c r="L288" s="1">
        <v>0.80500000000000005</v>
      </c>
      <c r="M288" s="1">
        <v>12.6</v>
      </c>
      <c r="N288" s="1" t="s">
        <v>49</v>
      </c>
      <c r="O288" s="1" t="s">
        <v>50</v>
      </c>
      <c r="P288" s="1">
        <v>1.82</v>
      </c>
      <c r="Q288" s="1">
        <v>19.2</v>
      </c>
      <c r="R288" s="1">
        <v>1950</v>
      </c>
      <c r="T288" s="6">
        <v>4</v>
      </c>
      <c r="U288" s="6">
        <v>3</v>
      </c>
      <c r="V288" s="6" t="s">
        <v>274</v>
      </c>
      <c r="W288" s="12">
        <f t="shared" si="12"/>
        <v>12.6</v>
      </c>
      <c r="X288" s="7">
        <f>'Calibration-S40 to end'!$U$11*(QAQC!L288^2)+'Calibration-S40 to end'!$U$12*QAQC!L288+'Calibration-S40 to end'!$U$13</f>
        <v>10.8270238325</v>
      </c>
      <c r="Y288" s="7">
        <f t="shared" si="14"/>
        <v>43.30809533</v>
      </c>
      <c r="Z288" s="6"/>
      <c r="AA288" s="6"/>
      <c r="AF288" s="6">
        <v>1</v>
      </c>
      <c r="AG288" s="6"/>
      <c r="AH288" s="6">
        <f t="shared" si="15"/>
        <v>1950</v>
      </c>
      <c r="AI288" s="13">
        <f>'Calibration-S40 to end'!$I$11*(QAQC!Q288^2)+'Calibration-S40 to end'!$I$12*QAQC!Q288+'Calibration-S40 to end'!$I$13</f>
        <v>1111.1318120000001</v>
      </c>
      <c r="AJ288" s="13">
        <f t="shared" si="17"/>
        <v>4444.5272480000003</v>
      </c>
      <c r="AK288" s="12"/>
      <c r="AM288" s="12"/>
      <c r="AO288" s="12"/>
      <c r="AR288" s="6">
        <v>282</v>
      </c>
    </row>
    <row r="289" spans="1:44" ht="15.75" customHeight="1" x14ac:dyDescent="0.2">
      <c r="A289" s="10">
        <v>46085</v>
      </c>
      <c r="B289" s="11">
        <v>0.68677083333333333</v>
      </c>
      <c r="C289" s="1" t="s">
        <v>122</v>
      </c>
      <c r="D289" s="1" t="s">
        <v>275</v>
      </c>
      <c r="E289" s="1">
        <v>212</v>
      </c>
      <c r="F289" s="1" t="s">
        <v>46</v>
      </c>
      <c r="G289" s="1">
        <v>1</v>
      </c>
      <c r="H289" s="1">
        <v>1</v>
      </c>
      <c r="I289" s="1" t="s">
        <v>47</v>
      </c>
      <c r="J289" s="1" t="s">
        <v>48</v>
      </c>
      <c r="K289" s="1">
        <v>0.193</v>
      </c>
      <c r="L289" s="1">
        <v>3.87</v>
      </c>
      <c r="M289" s="1">
        <v>121</v>
      </c>
      <c r="N289" s="1" t="s">
        <v>49</v>
      </c>
      <c r="O289" s="1" t="s">
        <v>50</v>
      </c>
      <c r="P289" s="1">
        <v>1.03</v>
      </c>
      <c r="Q289" s="1">
        <v>13.1</v>
      </c>
      <c r="R289" s="1">
        <v>1320</v>
      </c>
      <c r="T289" s="6">
        <v>2</v>
      </c>
      <c r="U289" s="6">
        <v>1</v>
      </c>
      <c r="V289" s="6"/>
      <c r="W289" s="12">
        <f t="shared" si="12"/>
        <v>121</v>
      </c>
      <c r="X289" s="7">
        <f>'Calibration-S40 to end'!$U$11*(QAQC!L289^2)+'Calibration-S40 to end'!$U$12*QAQC!L289+'Calibration-S40 to end'!$U$13</f>
        <v>101.72535337000001</v>
      </c>
      <c r="Y289" s="7">
        <f t="shared" si="14"/>
        <v>203.45070674000002</v>
      </c>
      <c r="Z289" s="6"/>
      <c r="AA289" s="6"/>
      <c r="AB289" s="14"/>
      <c r="AC289" s="14"/>
      <c r="AD289" s="14"/>
      <c r="AE289" s="14"/>
      <c r="AF289" s="6">
        <v>1</v>
      </c>
      <c r="AG289" s="6"/>
      <c r="AH289" s="6">
        <f t="shared" si="15"/>
        <v>1320</v>
      </c>
      <c r="AI289" s="13">
        <f>'Calibration-S40 to end'!$I$11*(QAQC!Q289^2)+'Calibration-S40 to end'!$I$12*QAQC!Q289+'Calibration-S40 to end'!$I$13</f>
        <v>793.75466799999992</v>
      </c>
      <c r="AJ289" s="13">
        <f t="shared" si="17"/>
        <v>1587.5093359999998</v>
      </c>
      <c r="AK289" s="12"/>
      <c r="AM289" s="12"/>
      <c r="AO289" s="12"/>
      <c r="AR289" s="6">
        <v>283</v>
      </c>
    </row>
    <row r="290" spans="1:44" ht="15.75" customHeight="1" x14ac:dyDescent="0.2">
      <c r="A290" s="10">
        <v>46085</v>
      </c>
      <c r="B290" s="11">
        <v>0.68767361111111114</v>
      </c>
      <c r="C290" s="1" t="s">
        <v>122</v>
      </c>
      <c r="D290" s="1" t="s">
        <v>276</v>
      </c>
      <c r="E290" s="1">
        <v>213</v>
      </c>
      <c r="F290" s="1" t="s">
        <v>46</v>
      </c>
      <c r="G290" s="1">
        <v>1</v>
      </c>
      <c r="H290" s="1">
        <v>1</v>
      </c>
      <c r="I290" s="1" t="s">
        <v>47</v>
      </c>
      <c r="J290" s="1" t="s">
        <v>48</v>
      </c>
      <c r="K290" s="1">
        <v>3.2899999999999999E-2</v>
      </c>
      <c r="L290" s="1">
        <v>0.85699999999999998</v>
      </c>
      <c r="M290" s="1">
        <v>14.4</v>
      </c>
      <c r="N290" s="1" t="s">
        <v>49</v>
      </c>
      <c r="O290" s="1" t="s">
        <v>50</v>
      </c>
      <c r="P290" s="1">
        <v>1.01</v>
      </c>
      <c r="Q290" s="1">
        <v>13</v>
      </c>
      <c r="R290" s="1">
        <v>1320</v>
      </c>
      <c r="T290" s="6">
        <v>2</v>
      </c>
      <c r="U290" s="6">
        <v>3</v>
      </c>
      <c r="V290" s="6" t="s">
        <v>274</v>
      </c>
      <c r="W290" s="12">
        <f t="shared" si="12"/>
        <v>14.4</v>
      </c>
      <c r="X290" s="7">
        <f>'Calibration-S40 to end'!$U$11*(QAQC!L290^2)+'Calibration-S40 to end'!$U$12*QAQC!L290+'Calibration-S40 to end'!$U$13</f>
        <v>12.426007847699996</v>
      </c>
      <c r="Y290" s="7">
        <f t="shared" si="14"/>
        <v>24.852015695399992</v>
      </c>
      <c r="Z290" s="6"/>
      <c r="AA290" s="6"/>
      <c r="AF290" s="6">
        <v>1</v>
      </c>
      <c r="AG290" s="6"/>
      <c r="AH290" s="6">
        <f t="shared" si="15"/>
        <v>1320</v>
      </c>
      <c r="AI290" s="13">
        <f>'Calibration-S40 to end'!$I$11*(QAQC!Q290^2)+'Calibration-S40 to end'!$I$12*QAQC!Q290+'Calibration-S40 to end'!$I$13</f>
        <v>788.02960000000007</v>
      </c>
      <c r="AJ290" s="13">
        <f t="shared" si="17"/>
        <v>1576.0592000000001</v>
      </c>
      <c r="AK290" s="12"/>
      <c r="AM290" s="12"/>
      <c r="AO290" s="12"/>
      <c r="AR290" s="6">
        <v>284</v>
      </c>
    </row>
    <row r="291" spans="1:44" ht="15.75" customHeight="1" x14ac:dyDescent="0.2">
      <c r="A291" s="10">
        <v>46085</v>
      </c>
      <c r="B291" s="11">
        <v>0.6885648148148148</v>
      </c>
      <c r="C291" s="1" t="s">
        <v>122</v>
      </c>
      <c r="D291" s="1" t="s">
        <v>277</v>
      </c>
      <c r="E291" s="1">
        <v>214</v>
      </c>
      <c r="F291" s="1" t="s">
        <v>46</v>
      </c>
      <c r="G291" s="1">
        <v>1</v>
      </c>
      <c r="H291" s="1">
        <v>1</v>
      </c>
      <c r="I291" s="1" t="s">
        <v>47</v>
      </c>
      <c r="J291" s="1" t="s">
        <v>48</v>
      </c>
      <c r="K291" s="1">
        <v>0.16700000000000001</v>
      </c>
      <c r="L291" s="1">
        <v>3.31</v>
      </c>
      <c r="M291" s="1">
        <v>101</v>
      </c>
      <c r="N291" s="1" t="s">
        <v>49</v>
      </c>
      <c r="O291" s="1" t="s">
        <v>50</v>
      </c>
      <c r="P291" s="1">
        <v>0.96799999999999997</v>
      </c>
      <c r="Q291" s="1">
        <v>12.6</v>
      </c>
      <c r="R291" s="1">
        <v>1270</v>
      </c>
      <c r="T291" s="6">
        <v>2</v>
      </c>
      <c r="U291" s="6">
        <v>1</v>
      </c>
      <c r="V291" s="6"/>
      <c r="W291" s="12">
        <f t="shared" si="12"/>
        <v>101</v>
      </c>
      <c r="X291" s="7">
        <f>'Calibration-S40 to end'!$U$11*(QAQC!L291^2)+'Calibration-S40 to end'!$U$12*QAQC!L291+'Calibration-S40 to end'!$U$13</f>
        <v>85.626297530000002</v>
      </c>
      <c r="Y291" s="7">
        <f t="shared" si="14"/>
        <v>171.25259506</v>
      </c>
      <c r="Z291" s="6"/>
      <c r="AA291" s="6"/>
      <c r="AB291" s="14"/>
      <c r="AC291" s="14"/>
      <c r="AD291" s="14"/>
      <c r="AE291" s="14"/>
      <c r="AF291" s="6">
        <v>3</v>
      </c>
      <c r="AG291" s="6" t="s">
        <v>278</v>
      </c>
      <c r="AH291" s="6">
        <f t="shared" si="15"/>
        <v>1270</v>
      </c>
      <c r="AI291" s="13">
        <f>'Calibration-S40 to end'!$I$11*(QAQC!Q291^2)+'Calibration-S40 to end'!$I$12*QAQC!Q291+'Calibration-S40 to end'!$I$13</f>
        <v>764.96088800000007</v>
      </c>
      <c r="AJ291" s="13">
        <f t="shared" si="17"/>
        <v>1529.9217760000001</v>
      </c>
      <c r="AK291" s="12"/>
      <c r="AM291" s="12"/>
      <c r="AO291" s="12"/>
      <c r="AR291" s="6">
        <v>285</v>
      </c>
    </row>
    <row r="292" spans="1:44" ht="15.75" customHeight="1" x14ac:dyDescent="0.2">
      <c r="A292" s="10">
        <v>46085</v>
      </c>
      <c r="B292" s="11">
        <v>0.68944444444444442</v>
      </c>
      <c r="C292" s="1" t="s">
        <v>122</v>
      </c>
      <c r="D292" s="1" t="s">
        <v>279</v>
      </c>
      <c r="E292" s="1">
        <v>215</v>
      </c>
      <c r="F292" s="1" t="s">
        <v>46</v>
      </c>
      <c r="G292" s="1">
        <v>1</v>
      </c>
      <c r="H292" s="1">
        <v>1</v>
      </c>
      <c r="I292" s="1" t="s">
        <v>47</v>
      </c>
      <c r="J292" s="1" t="s">
        <v>48</v>
      </c>
      <c r="K292" s="1">
        <v>3.6700000000000003E-2</v>
      </c>
      <c r="L292" s="1">
        <v>0.95699999999999996</v>
      </c>
      <c r="M292" s="1">
        <v>17.8</v>
      </c>
      <c r="N292" s="1" t="s">
        <v>49</v>
      </c>
      <c r="O292" s="1" t="s">
        <v>50</v>
      </c>
      <c r="P292" s="1">
        <v>0.75</v>
      </c>
      <c r="Q292" s="1">
        <v>9.7100000000000009</v>
      </c>
      <c r="R292" s="1">
        <v>967</v>
      </c>
      <c r="T292" s="6">
        <v>2</v>
      </c>
      <c r="U292" s="6">
        <v>3</v>
      </c>
      <c r="V292" s="6" t="s">
        <v>274</v>
      </c>
      <c r="W292" s="12">
        <f t="shared" si="12"/>
        <v>17.8</v>
      </c>
      <c r="X292" s="7">
        <f>'Calibration-S40 to end'!$U$11*(QAQC!L292^2)+'Calibration-S40 to end'!$U$12*QAQC!L292+'Calibration-S40 to end'!$U$13</f>
        <v>15.495464067699995</v>
      </c>
      <c r="Y292" s="7">
        <f t="shared" si="14"/>
        <v>30.99092813539999</v>
      </c>
      <c r="Z292" s="6"/>
      <c r="AA292" s="6"/>
      <c r="AF292" s="6">
        <v>1</v>
      </c>
      <c r="AG292" s="6"/>
      <c r="AH292" s="6">
        <f t="shared" si="15"/>
        <v>967</v>
      </c>
      <c r="AI292" s="13">
        <f>'Calibration-S40 to end'!$I$11*(QAQC!Q292^2)+'Calibration-S40 to end'!$I$12*QAQC!Q292+'Calibration-S40 to end'!$I$13</f>
        <v>590.28172198000016</v>
      </c>
      <c r="AJ292" s="13">
        <f t="shared" si="17"/>
        <v>1180.5634439600003</v>
      </c>
      <c r="AK292" s="12"/>
      <c r="AM292" s="12"/>
      <c r="AO292" s="12"/>
      <c r="AR292" s="6">
        <v>286</v>
      </c>
    </row>
    <row r="293" spans="1:44" ht="15.75" customHeight="1" x14ac:dyDescent="0.2">
      <c r="A293" s="10">
        <v>46085</v>
      </c>
      <c r="B293" s="11">
        <v>0.69035879629629626</v>
      </c>
      <c r="C293" s="1" t="s">
        <v>122</v>
      </c>
      <c r="D293" s="1" t="s">
        <v>280</v>
      </c>
      <c r="E293" s="1">
        <v>216</v>
      </c>
      <c r="F293" s="1" t="s">
        <v>46</v>
      </c>
      <c r="G293" s="1">
        <v>1</v>
      </c>
      <c r="H293" s="1">
        <v>1</v>
      </c>
      <c r="I293" s="1" t="s">
        <v>47</v>
      </c>
      <c r="J293" s="1" t="s">
        <v>48</v>
      </c>
      <c r="K293" s="1">
        <v>0.183</v>
      </c>
      <c r="L293" s="1">
        <v>3.68</v>
      </c>
      <c r="M293" s="1">
        <v>114</v>
      </c>
      <c r="N293" s="1" t="s">
        <v>49</v>
      </c>
      <c r="O293" s="1" t="s">
        <v>50</v>
      </c>
      <c r="P293" s="1">
        <v>0.31</v>
      </c>
      <c r="Q293" s="1">
        <v>4.28</v>
      </c>
      <c r="R293" s="1">
        <v>382</v>
      </c>
      <c r="T293" s="6">
        <v>2</v>
      </c>
      <c r="U293" s="6">
        <v>1</v>
      </c>
      <c r="V293" s="6"/>
      <c r="W293" s="12">
        <f t="shared" si="12"/>
        <v>114</v>
      </c>
      <c r="X293" s="7">
        <f>'Calibration-S40 to end'!$U$11*(QAQC!L293^2)+'Calibration-S40 to end'!$U$12*QAQC!L293+'Calibration-S40 to end'!$U$13</f>
        <v>96.288671520000008</v>
      </c>
      <c r="Y293" s="7">
        <f t="shared" si="14"/>
        <v>192.57734304000002</v>
      </c>
      <c r="Z293" s="6"/>
      <c r="AA293" s="6"/>
      <c r="AB293" s="14"/>
      <c r="AC293" s="14"/>
      <c r="AD293" s="14"/>
      <c r="AE293" s="14"/>
      <c r="AF293" s="6">
        <v>3</v>
      </c>
      <c r="AG293" s="6" t="s">
        <v>278</v>
      </c>
      <c r="AH293" s="6">
        <f t="shared" si="15"/>
        <v>382</v>
      </c>
      <c r="AI293" s="13">
        <f>'Calibration-S40 to end'!$I$11*(QAQC!Q293^2)+'Calibration-S40 to end'!$I$12*QAQC!Q293+'Calibration-S40 to end'!$I$13</f>
        <v>224.02973152000001</v>
      </c>
      <c r="AJ293" s="13">
        <f t="shared" si="17"/>
        <v>448.05946304000003</v>
      </c>
      <c r="AK293" s="12"/>
      <c r="AM293" s="12"/>
      <c r="AO293" s="12"/>
      <c r="AR293" s="6">
        <v>287</v>
      </c>
    </row>
    <row r="294" spans="1:44" ht="15.75" customHeight="1" x14ac:dyDescent="0.2">
      <c r="A294" s="10">
        <v>46085</v>
      </c>
      <c r="B294" s="11">
        <v>0.69126157407407407</v>
      </c>
      <c r="C294" s="1" t="s">
        <v>122</v>
      </c>
      <c r="D294" s="1" t="s">
        <v>281</v>
      </c>
      <c r="E294" s="1">
        <v>217</v>
      </c>
      <c r="F294" s="1" t="s">
        <v>46</v>
      </c>
      <c r="G294" s="1">
        <v>1</v>
      </c>
      <c r="H294" s="1">
        <v>1</v>
      </c>
      <c r="I294" s="1" t="s">
        <v>47</v>
      </c>
      <c r="J294" s="1" t="s">
        <v>48</v>
      </c>
      <c r="K294" s="1">
        <v>0.112</v>
      </c>
      <c r="L294" s="1">
        <v>2.35</v>
      </c>
      <c r="M294" s="1">
        <v>66.7</v>
      </c>
      <c r="N294" s="1" t="s">
        <v>49</v>
      </c>
      <c r="O294" s="1" t="s">
        <v>50</v>
      </c>
      <c r="P294" s="1">
        <v>0.28199999999999997</v>
      </c>
      <c r="Q294" s="1">
        <v>3.66</v>
      </c>
      <c r="R294" s="1">
        <v>314</v>
      </c>
      <c r="T294" s="6">
        <v>4</v>
      </c>
      <c r="U294" s="6">
        <v>1</v>
      </c>
      <c r="V294" s="6"/>
      <c r="W294" s="12">
        <f t="shared" si="12"/>
        <v>66.7</v>
      </c>
      <c r="X294" s="7">
        <f>'Calibration-S40 to end'!$U$11*(QAQC!L294^2)+'Calibration-S40 to end'!$U$12*QAQC!L294+'Calibration-S40 to end'!$U$13</f>
        <v>57.498664250000004</v>
      </c>
      <c r="Y294" s="7">
        <f t="shared" si="14"/>
        <v>229.99465700000002</v>
      </c>
      <c r="Z294" s="6"/>
      <c r="AA294" s="6"/>
      <c r="AF294" s="6">
        <v>3</v>
      </c>
      <c r="AG294" s="6" t="s">
        <v>278</v>
      </c>
      <c r="AH294" s="6">
        <f t="shared" si="15"/>
        <v>314</v>
      </c>
      <c r="AI294" s="13">
        <f>'Calibration-S40 to end'!$I$11*(QAQC!Q294^2)+'Calibration-S40 to end'!$I$12*QAQC!Q294+'Calibration-S40 to end'!$I$13</f>
        <v>179.05181167999999</v>
      </c>
      <c r="AJ294" s="13">
        <f t="shared" si="17"/>
        <v>716.20724671999994</v>
      </c>
      <c r="AK294" s="12"/>
      <c r="AM294" s="12"/>
      <c r="AO294" s="12"/>
      <c r="AR294" s="6">
        <v>288</v>
      </c>
    </row>
    <row r="295" spans="1:44" ht="15.75" customHeight="1" x14ac:dyDescent="0.2">
      <c r="A295" s="10">
        <v>46085</v>
      </c>
      <c r="B295" s="11">
        <v>0.69215277777777773</v>
      </c>
      <c r="C295" s="1" t="s">
        <v>122</v>
      </c>
      <c r="D295" s="1" t="s">
        <v>282</v>
      </c>
      <c r="E295" s="1">
        <v>218</v>
      </c>
      <c r="F295" s="1" t="s">
        <v>46</v>
      </c>
      <c r="G295" s="1">
        <v>1</v>
      </c>
      <c r="H295" s="1">
        <v>1</v>
      </c>
      <c r="I295" s="1" t="s">
        <v>47</v>
      </c>
      <c r="J295" s="1" t="s">
        <v>48</v>
      </c>
      <c r="K295" s="1">
        <v>3.6900000000000002E-2</v>
      </c>
      <c r="L295" s="1">
        <v>0.91600000000000004</v>
      </c>
      <c r="M295" s="1">
        <v>16.399999999999999</v>
      </c>
      <c r="N295" s="1" t="s">
        <v>49</v>
      </c>
      <c r="O295" s="1" t="s">
        <v>50</v>
      </c>
      <c r="P295" s="1">
        <v>1.2</v>
      </c>
      <c r="Q295" s="1">
        <v>15.4</v>
      </c>
      <c r="R295" s="1">
        <v>1560</v>
      </c>
      <c r="T295" s="6">
        <v>4</v>
      </c>
      <c r="U295" s="6">
        <v>3</v>
      </c>
      <c r="V295" s="6" t="s">
        <v>274</v>
      </c>
      <c r="W295" s="12">
        <f t="shared" si="12"/>
        <v>16.399999999999999</v>
      </c>
      <c r="X295" s="7">
        <f>'Calibration-S40 to end'!$U$11*(QAQC!L295^2)+'Calibration-S40 to end'!$U$12*QAQC!L295+'Calibration-S40 to end'!$U$13</f>
        <v>14.237864388800002</v>
      </c>
      <c r="Y295" s="7">
        <f t="shared" si="14"/>
        <v>56.951457555200008</v>
      </c>
      <c r="Z295" s="6"/>
      <c r="AA295" s="6"/>
      <c r="AB295" s="14"/>
      <c r="AC295" s="14"/>
      <c r="AD295" s="14"/>
      <c r="AE295" s="14"/>
      <c r="AF295" s="6">
        <v>1</v>
      </c>
      <c r="AG295" s="6"/>
      <c r="AH295" s="6">
        <f t="shared" si="15"/>
        <v>1560</v>
      </c>
      <c r="AI295" s="13">
        <f>'Calibration-S40 to end'!$I$11*(QAQC!Q295^2)+'Calibration-S40 to end'!$I$12*QAQC!Q295+'Calibration-S40 to end'!$I$13</f>
        <v>920.78228800000011</v>
      </c>
      <c r="AJ295" s="13">
        <f t="shared" si="17"/>
        <v>3683.1291520000004</v>
      </c>
      <c r="AK295" s="12"/>
      <c r="AM295" s="12"/>
      <c r="AO295" s="12"/>
      <c r="AR295" s="6">
        <v>289</v>
      </c>
    </row>
    <row r="296" spans="1:44" ht="15.75" customHeight="1" x14ac:dyDescent="0.2">
      <c r="A296" s="10">
        <v>46085</v>
      </c>
      <c r="B296" s="11">
        <v>0.69305555555555554</v>
      </c>
      <c r="C296" s="1" t="s">
        <v>122</v>
      </c>
      <c r="D296" s="1" t="s">
        <v>283</v>
      </c>
      <c r="E296" s="1">
        <v>109</v>
      </c>
      <c r="F296" s="1" t="s">
        <v>46</v>
      </c>
      <c r="G296" s="1">
        <v>1</v>
      </c>
      <c r="H296" s="1">
        <v>1</v>
      </c>
      <c r="I296" s="1" t="s">
        <v>47</v>
      </c>
      <c r="J296" s="1" t="s">
        <v>48</v>
      </c>
      <c r="K296" s="1">
        <v>8.0799999999999997E-2</v>
      </c>
      <c r="L296" s="1">
        <v>1.73</v>
      </c>
      <c r="M296" s="1">
        <v>44.6</v>
      </c>
      <c r="N296" s="1" t="s">
        <v>49</v>
      </c>
      <c r="O296" s="1" t="s">
        <v>50</v>
      </c>
      <c r="P296" s="1">
        <v>0.79500000000000004</v>
      </c>
      <c r="Q296" s="1">
        <v>10.199999999999999</v>
      </c>
      <c r="R296" s="1">
        <v>1020</v>
      </c>
      <c r="T296" s="6">
        <v>1</v>
      </c>
      <c r="U296" s="6">
        <v>1</v>
      </c>
      <c r="V296" s="6"/>
      <c r="W296" s="12">
        <f t="shared" si="12"/>
        <v>44.6</v>
      </c>
      <c r="X296" s="7">
        <f>'Calibration-S40 to end'!$U$11*(QAQC!L296^2)+'Calibration-S40 to end'!$U$12*QAQC!L296+'Calibration-S40 to end'!$U$13</f>
        <v>38.977600170000002</v>
      </c>
      <c r="Y296" s="7">
        <f t="shared" si="14"/>
        <v>38.977600170000002</v>
      </c>
      <c r="Z296" s="6"/>
      <c r="AA296" s="6"/>
      <c r="AF296" s="6">
        <v>1</v>
      </c>
      <c r="AG296" s="6"/>
      <c r="AH296" s="6">
        <f t="shared" si="15"/>
        <v>1020</v>
      </c>
      <c r="AI296" s="13">
        <f>'Calibration-S40 to end'!$I$11*(QAQC!Q296^2)+'Calibration-S40 to end'!$I$12*QAQC!Q296+'Calibration-S40 to end'!$I$13</f>
        <v>620.88903200000004</v>
      </c>
      <c r="AJ296" s="13">
        <f t="shared" si="17"/>
        <v>620.88903200000004</v>
      </c>
      <c r="AK296" s="12"/>
      <c r="AM296" s="12"/>
      <c r="AO296" s="12"/>
      <c r="AR296" s="6">
        <v>290</v>
      </c>
    </row>
    <row r="297" spans="1:44" ht="15.75" customHeight="1" x14ac:dyDescent="0.2">
      <c r="A297" s="10">
        <v>46085</v>
      </c>
      <c r="B297" s="11">
        <v>0.6939467592592593</v>
      </c>
      <c r="C297" s="1" t="s">
        <v>122</v>
      </c>
      <c r="D297" s="1" t="s">
        <v>284</v>
      </c>
      <c r="E297" s="1">
        <v>115</v>
      </c>
      <c r="F297" s="1" t="s">
        <v>46</v>
      </c>
      <c r="G297" s="1">
        <v>1</v>
      </c>
      <c r="H297" s="1">
        <v>1</v>
      </c>
      <c r="I297" s="1" t="s">
        <v>47</v>
      </c>
      <c r="J297" s="1" t="s">
        <v>48</v>
      </c>
      <c r="K297" s="1">
        <v>3.7999999999999999E-2</v>
      </c>
      <c r="L297" s="1">
        <v>0.97299999999999998</v>
      </c>
      <c r="M297" s="1">
        <v>18.399999999999999</v>
      </c>
      <c r="N297" s="1" t="s">
        <v>49</v>
      </c>
      <c r="O297" s="1" t="s">
        <v>50</v>
      </c>
      <c r="P297" s="1">
        <v>0.35099999999999998</v>
      </c>
      <c r="Q297" s="1">
        <v>4.68</v>
      </c>
      <c r="R297" s="1">
        <v>426</v>
      </c>
      <c r="T297" s="6">
        <v>1</v>
      </c>
      <c r="U297" s="6">
        <v>1</v>
      </c>
      <c r="V297" s="6"/>
      <c r="W297" s="12">
        <f t="shared" si="12"/>
        <v>18.399999999999999</v>
      </c>
      <c r="X297" s="7">
        <f>'Calibration-S40 to end'!$U$11*(QAQC!L297^2)+'Calibration-S40 to end'!$U$12*QAQC!L297+'Calibration-S40 to end'!$U$13</f>
        <v>15.985903891699998</v>
      </c>
      <c r="Y297" s="7">
        <f t="shared" si="14"/>
        <v>15.985903891699998</v>
      </c>
      <c r="Z297" s="6"/>
      <c r="AA297" s="6"/>
      <c r="AB297" s="14"/>
      <c r="AC297" s="14"/>
      <c r="AD297" s="14"/>
      <c r="AE297" s="14"/>
      <c r="AF297" s="6">
        <v>1</v>
      </c>
      <c r="AG297" s="6"/>
      <c r="AH297" s="6">
        <f t="shared" si="15"/>
        <v>426</v>
      </c>
      <c r="AI297" s="13">
        <f>'Calibration-S40 to end'!$I$11*(QAQC!Q297^2)+'Calibration-S40 to end'!$I$12*QAQC!Q297+'Calibration-S40 to end'!$I$13</f>
        <v>252.70412671999995</v>
      </c>
      <c r="AJ297" s="13">
        <f t="shared" si="17"/>
        <v>252.70412671999995</v>
      </c>
      <c r="AK297" s="12"/>
      <c r="AM297" s="12"/>
      <c r="AO297" s="12"/>
      <c r="AR297" s="6">
        <v>291</v>
      </c>
    </row>
    <row r="298" spans="1:44" ht="15.75" customHeight="1" x14ac:dyDescent="0.2">
      <c r="A298" s="10">
        <v>46085</v>
      </c>
      <c r="B298" s="11">
        <v>0.69483796296296296</v>
      </c>
      <c r="C298" s="1" t="s">
        <v>122</v>
      </c>
      <c r="D298" s="1" t="s">
        <v>285</v>
      </c>
      <c r="E298" s="1">
        <v>139</v>
      </c>
      <c r="F298" s="1" t="s">
        <v>46</v>
      </c>
      <c r="G298" s="1">
        <v>1</v>
      </c>
      <c r="H298" s="1">
        <v>1</v>
      </c>
      <c r="I298" s="1" t="s">
        <v>47</v>
      </c>
      <c r="J298" s="1" t="s">
        <v>48</v>
      </c>
      <c r="K298" s="1">
        <v>6.5100000000000005E-2</v>
      </c>
      <c r="L298" s="1">
        <v>1.43</v>
      </c>
      <c r="M298" s="1">
        <v>34.200000000000003</v>
      </c>
      <c r="N298" s="1" t="s">
        <v>49</v>
      </c>
      <c r="O298" s="1" t="s">
        <v>50</v>
      </c>
      <c r="P298" s="1">
        <v>0.57199999999999995</v>
      </c>
      <c r="Q298" s="1">
        <v>7.46</v>
      </c>
      <c r="R298" s="1">
        <v>726</v>
      </c>
      <c r="T298" s="6">
        <v>1</v>
      </c>
      <c r="U298" s="6">
        <v>1</v>
      </c>
      <c r="V298" s="6"/>
      <c r="W298" s="12">
        <f t="shared" si="12"/>
        <v>34.200000000000003</v>
      </c>
      <c r="X298" s="7">
        <f>'Calibration-S40 to end'!$U$11*(QAQC!L298^2)+'Calibration-S40 to end'!$U$12*QAQC!L298+'Calibration-S40 to end'!$U$13</f>
        <v>29.915689769999997</v>
      </c>
      <c r="Y298" s="7">
        <f t="shared" si="14"/>
        <v>29.915689769999997</v>
      </c>
      <c r="Z298" s="6"/>
      <c r="AA298" s="6"/>
      <c r="AF298" s="6">
        <v>1</v>
      </c>
      <c r="AG298" s="6"/>
      <c r="AH298" s="6">
        <f t="shared" si="15"/>
        <v>726</v>
      </c>
      <c r="AI298" s="13">
        <f>'Calibration-S40 to end'!$I$11*(QAQC!Q298^2)+'Calibration-S40 to end'!$I$12*QAQC!Q298+'Calibration-S40 to end'!$I$13</f>
        <v>444.54578848000006</v>
      </c>
      <c r="AJ298" s="13">
        <f t="shared" si="17"/>
        <v>444.54578848000006</v>
      </c>
      <c r="AK298" s="12"/>
      <c r="AM298" s="12"/>
      <c r="AO298" s="12"/>
      <c r="AR298" s="6">
        <v>292</v>
      </c>
    </row>
    <row r="299" spans="1:44" ht="15.75" customHeight="1" x14ac:dyDescent="0.2">
      <c r="A299" s="10">
        <v>46085</v>
      </c>
      <c r="B299" s="11">
        <v>0.69571759259259258</v>
      </c>
      <c r="C299" s="1" t="s">
        <v>122</v>
      </c>
      <c r="D299" s="1" t="s">
        <v>286</v>
      </c>
      <c r="E299" s="1">
        <v>168</v>
      </c>
      <c r="F299" s="1" t="s">
        <v>46</v>
      </c>
      <c r="G299" s="1">
        <v>1</v>
      </c>
      <c r="H299" s="1">
        <v>1</v>
      </c>
      <c r="I299" s="1" t="s">
        <v>47</v>
      </c>
      <c r="J299" s="1" t="s">
        <v>48</v>
      </c>
      <c r="K299" s="1">
        <v>8.0600000000000005E-2</v>
      </c>
      <c r="L299" s="1">
        <v>1.76</v>
      </c>
      <c r="M299" s="1">
        <v>45.9</v>
      </c>
      <c r="N299" s="1" t="s">
        <v>49</v>
      </c>
      <c r="O299" s="1" t="s">
        <v>50</v>
      </c>
      <c r="P299" s="1">
        <v>0.91</v>
      </c>
      <c r="Q299" s="1">
        <v>11.6</v>
      </c>
      <c r="R299" s="1">
        <v>1160</v>
      </c>
      <c r="T299" s="6">
        <v>1</v>
      </c>
      <c r="U299" s="6">
        <v>1</v>
      </c>
      <c r="V299" s="6"/>
      <c r="W299" s="12">
        <f t="shared" si="12"/>
        <v>45.9</v>
      </c>
      <c r="X299" s="7">
        <f>'Calibration-S40 to end'!$U$11*(QAQC!L299^2)+'Calibration-S40 to end'!$U$12*QAQC!L299+'Calibration-S40 to end'!$U$13</f>
        <v>39.880200479999999</v>
      </c>
      <c r="Y299" s="7">
        <f t="shared" si="14"/>
        <v>39.880200479999999</v>
      </c>
      <c r="Z299" s="6"/>
      <c r="AA299" s="6"/>
      <c r="AB299" s="14"/>
      <c r="AC299" s="14"/>
      <c r="AD299" s="14"/>
      <c r="AE299" s="14"/>
      <c r="AF299" s="6">
        <v>1</v>
      </c>
      <c r="AG299" s="6"/>
      <c r="AH299" s="6">
        <f t="shared" si="15"/>
        <v>1160</v>
      </c>
      <c r="AI299" s="13">
        <f>'Calibration-S40 to end'!$I$11*(QAQC!Q299^2)+'Calibration-S40 to end'!$I$12*QAQC!Q299+'Calibration-S40 to end'!$I$13</f>
        <v>706.11002800000006</v>
      </c>
      <c r="AJ299" s="13">
        <f t="shared" si="17"/>
        <v>706.11002800000006</v>
      </c>
      <c r="AK299" s="12"/>
      <c r="AM299" s="12"/>
      <c r="AO299" s="12"/>
      <c r="AR299" s="6">
        <v>293</v>
      </c>
    </row>
    <row r="300" spans="1:44" ht="15.75" customHeight="1" x14ac:dyDescent="0.2">
      <c r="A300" s="10">
        <v>46085</v>
      </c>
      <c r="B300" s="11">
        <v>0.69662037037037039</v>
      </c>
      <c r="C300" s="1" t="s">
        <v>122</v>
      </c>
      <c r="D300" s="1" t="s">
        <v>287</v>
      </c>
      <c r="E300" s="1">
        <v>195</v>
      </c>
      <c r="F300" s="1" t="s">
        <v>46</v>
      </c>
      <c r="G300" s="1">
        <v>1</v>
      </c>
      <c r="H300" s="1">
        <v>1</v>
      </c>
      <c r="I300" s="1" t="s">
        <v>47</v>
      </c>
      <c r="J300" s="1" t="s">
        <v>48</v>
      </c>
      <c r="K300" s="1">
        <v>5.7500000000000002E-2</v>
      </c>
      <c r="L300" s="1">
        <v>0.86799999999999999</v>
      </c>
      <c r="M300" s="1">
        <v>14.8</v>
      </c>
      <c r="N300" s="1" t="s">
        <v>49</v>
      </c>
      <c r="O300" s="1" t="s">
        <v>50</v>
      </c>
      <c r="P300" s="1">
        <v>0.26900000000000002</v>
      </c>
      <c r="Q300" s="1">
        <v>3.59</v>
      </c>
      <c r="R300" s="1">
        <v>307</v>
      </c>
      <c r="T300" s="6">
        <v>1</v>
      </c>
      <c r="U300" s="6">
        <v>1</v>
      </c>
      <c r="V300" s="6"/>
      <c r="W300" s="12">
        <f t="shared" si="12"/>
        <v>14.8</v>
      </c>
      <c r="X300" s="7">
        <f>'Calibration-S40 to end'!$U$11*(QAQC!L300^2)+'Calibration-S40 to end'!$U$12*QAQC!L300+'Calibration-S40 to end'!$U$13</f>
        <v>12.764003115199998</v>
      </c>
      <c r="Y300" s="7">
        <f t="shared" si="14"/>
        <v>12.764003115199998</v>
      </c>
      <c r="Z300" s="6"/>
      <c r="AA300" s="6"/>
      <c r="AF300" s="6">
        <v>1</v>
      </c>
      <c r="AG300" s="6"/>
      <c r="AH300" s="6">
        <f t="shared" si="15"/>
        <v>307</v>
      </c>
      <c r="AI300" s="13">
        <f>'Calibration-S40 to end'!$I$11*(QAQC!Q300^2)+'Calibration-S40 to end'!$I$12*QAQC!Q300+'Calibration-S40 to end'!$I$13</f>
        <v>173.93298117999998</v>
      </c>
      <c r="AJ300" s="13">
        <f t="shared" si="17"/>
        <v>173.93298117999998</v>
      </c>
      <c r="AK300" s="12"/>
      <c r="AM300" s="12"/>
      <c r="AO300" s="12"/>
      <c r="AR300" s="6">
        <v>294</v>
      </c>
    </row>
    <row r="301" spans="1:44" ht="15.75" customHeight="1" x14ac:dyDescent="0.2">
      <c r="A301" s="10">
        <v>46085</v>
      </c>
      <c r="B301" s="11">
        <v>0.6975231481481482</v>
      </c>
      <c r="C301" s="1" t="s">
        <v>122</v>
      </c>
      <c r="D301" s="1" t="s">
        <v>288</v>
      </c>
      <c r="E301" s="1">
        <v>196</v>
      </c>
      <c r="F301" s="1" t="s">
        <v>46</v>
      </c>
      <c r="G301" s="1">
        <v>1</v>
      </c>
      <c r="H301" s="1">
        <v>1</v>
      </c>
      <c r="I301" s="1" t="s">
        <v>47</v>
      </c>
      <c r="J301" s="1" t="s">
        <v>48</v>
      </c>
      <c r="K301" s="1">
        <v>2.9399999999999999E-2</v>
      </c>
      <c r="L301" s="1">
        <v>0.76700000000000002</v>
      </c>
      <c r="M301" s="1">
        <v>11.3</v>
      </c>
      <c r="N301" s="1" t="s">
        <v>49</v>
      </c>
      <c r="O301" s="1" t="s">
        <v>50</v>
      </c>
      <c r="P301" s="1">
        <v>0.318</v>
      </c>
      <c r="Q301" s="1">
        <v>4.24</v>
      </c>
      <c r="R301" s="1">
        <v>377</v>
      </c>
      <c r="T301" s="6">
        <v>1</v>
      </c>
      <c r="U301" s="6">
        <v>1</v>
      </c>
      <c r="V301" s="6"/>
      <c r="W301" s="12">
        <f t="shared" si="12"/>
        <v>11.3</v>
      </c>
      <c r="X301" s="7">
        <f>'Calibration-S40 to end'!$U$11*(QAQC!L301^2)+'Calibration-S40 to end'!$U$12*QAQC!L301+'Calibration-S40 to end'!$U$13</f>
        <v>9.657295079699999</v>
      </c>
      <c r="Y301" s="7">
        <f t="shared" si="14"/>
        <v>9.657295079699999</v>
      </c>
      <c r="Z301" s="6"/>
      <c r="AA301" s="6"/>
      <c r="AB301" s="14"/>
      <c r="AC301" s="14"/>
      <c r="AD301" s="14"/>
      <c r="AE301" s="14"/>
      <c r="AF301" s="6">
        <v>1</v>
      </c>
      <c r="AG301" s="6"/>
      <c r="AH301" s="6">
        <f t="shared" si="15"/>
        <v>377</v>
      </c>
      <c r="AI301" s="13">
        <f>'Calibration-S40 to end'!$I$11*(QAQC!Q301^2)+'Calibration-S40 to end'!$I$12*QAQC!Q301+'Calibration-S40 to end'!$I$13</f>
        <v>221.14746928000002</v>
      </c>
      <c r="AJ301" s="13">
        <f t="shared" si="17"/>
        <v>221.14746928000002</v>
      </c>
      <c r="AK301" s="12"/>
      <c r="AM301" s="12"/>
      <c r="AO301" s="12"/>
      <c r="AR301" s="6">
        <v>295</v>
      </c>
    </row>
    <row r="302" spans="1:44" ht="15.75" customHeight="1" x14ac:dyDescent="0.2">
      <c r="A302" s="10">
        <v>46085</v>
      </c>
      <c r="B302" s="11">
        <v>0.69840277777777782</v>
      </c>
      <c r="C302" s="1" t="s">
        <v>122</v>
      </c>
      <c r="D302" s="1" t="s">
        <v>289</v>
      </c>
      <c r="E302" s="1">
        <v>102</v>
      </c>
      <c r="F302" s="1" t="s">
        <v>46</v>
      </c>
      <c r="G302" s="1">
        <v>1</v>
      </c>
      <c r="H302" s="1">
        <v>1</v>
      </c>
      <c r="I302" s="1" t="s">
        <v>47</v>
      </c>
      <c r="J302" s="1" t="s">
        <v>48</v>
      </c>
      <c r="K302" s="1">
        <v>0.17399999999999999</v>
      </c>
      <c r="L302" s="1">
        <v>3.31</v>
      </c>
      <c r="M302" s="1">
        <v>101</v>
      </c>
      <c r="N302" s="1" t="s">
        <v>49</v>
      </c>
      <c r="O302" s="1" t="s">
        <v>50</v>
      </c>
      <c r="P302" s="1">
        <v>1.96</v>
      </c>
      <c r="Q302" s="1">
        <v>25.1</v>
      </c>
      <c r="R302" s="1">
        <v>2530</v>
      </c>
      <c r="T302" s="6">
        <v>1</v>
      </c>
      <c r="U302" s="6">
        <v>1</v>
      </c>
      <c r="V302" s="6"/>
      <c r="W302" s="12">
        <f t="shared" si="12"/>
        <v>101</v>
      </c>
      <c r="X302" s="7">
        <f>'Calibration-S40 to end'!$U$11*(QAQC!L302^2)+'Calibration-S40 to end'!$U$12*QAQC!L302+'Calibration-S40 to end'!$U$13</f>
        <v>85.626297530000002</v>
      </c>
      <c r="Y302" s="7">
        <f t="shared" si="14"/>
        <v>85.626297530000002</v>
      </c>
      <c r="Z302" s="6"/>
      <c r="AA302" s="6"/>
      <c r="AF302" s="6">
        <v>1</v>
      </c>
      <c r="AG302" s="6"/>
      <c r="AH302" s="6">
        <f t="shared" si="15"/>
        <v>2530</v>
      </c>
      <c r="AI302" s="13">
        <f>'Calibration-S40 to end'!$I$11*(QAQC!Q302^2)+'Calibration-S40 to end'!$I$12*QAQC!Q302+'Calibration-S40 to end'!$I$13</f>
        <v>1358.4753880000001</v>
      </c>
      <c r="AJ302" s="13">
        <f t="shared" si="17"/>
        <v>1358.4753880000001</v>
      </c>
      <c r="AK302" s="12"/>
      <c r="AM302" s="12"/>
      <c r="AO302" s="12"/>
      <c r="AR302" s="6">
        <v>296</v>
      </c>
    </row>
    <row r="303" spans="1:44" ht="15.75" customHeight="1" x14ac:dyDescent="0.2">
      <c r="A303" s="10">
        <v>46085</v>
      </c>
      <c r="B303" s="11">
        <v>0.69929398148148147</v>
      </c>
      <c r="C303" s="1" t="s">
        <v>122</v>
      </c>
      <c r="D303" s="1" t="s">
        <v>290</v>
      </c>
      <c r="E303" s="1">
        <v>113</v>
      </c>
      <c r="F303" s="1" t="s">
        <v>46</v>
      </c>
      <c r="G303" s="1">
        <v>1</v>
      </c>
      <c r="H303" s="1">
        <v>1</v>
      </c>
      <c r="I303" s="1" t="s">
        <v>47</v>
      </c>
      <c r="J303" s="1" t="s">
        <v>48</v>
      </c>
      <c r="K303" s="1">
        <v>5.4199999999999998E-2</v>
      </c>
      <c r="L303" s="1">
        <v>1.25</v>
      </c>
      <c r="M303" s="1">
        <v>28</v>
      </c>
      <c r="N303" s="1" t="s">
        <v>49</v>
      </c>
      <c r="O303" s="1" t="s">
        <v>50</v>
      </c>
      <c r="P303" s="1">
        <v>0.53600000000000003</v>
      </c>
      <c r="Q303" s="1">
        <v>7</v>
      </c>
      <c r="R303" s="1">
        <v>677</v>
      </c>
      <c r="T303" s="6">
        <v>1</v>
      </c>
      <c r="U303" s="6">
        <v>1</v>
      </c>
      <c r="V303" s="6"/>
      <c r="W303" s="12">
        <f t="shared" si="12"/>
        <v>28</v>
      </c>
      <c r="X303" s="7">
        <f>'Calibration-S40 to end'!$U$11*(QAQC!L303^2)+'Calibration-S40 to end'!$U$12*QAQC!L303+'Calibration-S40 to end'!$U$13</f>
        <v>24.447206249999997</v>
      </c>
      <c r="Y303" s="7">
        <f t="shared" si="14"/>
        <v>24.447206249999997</v>
      </c>
      <c r="Z303" s="6"/>
      <c r="AA303" s="6"/>
      <c r="AB303" s="14"/>
      <c r="AC303" s="14"/>
      <c r="AD303" s="14"/>
      <c r="AE303" s="14"/>
      <c r="AF303" s="6">
        <v>1</v>
      </c>
      <c r="AG303" s="6"/>
      <c r="AH303" s="6">
        <f t="shared" si="15"/>
        <v>677</v>
      </c>
      <c r="AI303" s="13">
        <f>'Calibration-S40 to end'!$I$11*(QAQC!Q303^2)+'Calibration-S40 to end'!$I$12*QAQC!Q303+'Calibration-S40 to end'!$I$13</f>
        <v>413.70100000000014</v>
      </c>
      <c r="AJ303" s="13">
        <f t="shared" si="17"/>
        <v>413.70100000000014</v>
      </c>
      <c r="AK303" s="12"/>
      <c r="AM303" s="12"/>
      <c r="AO303" s="12"/>
      <c r="AR303" s="6">
        <v>297</v>
      </c>
    </row>
    <row r="304" spans="1:44" ht="15.75" customHeight="1" x14ac:dyDescent="0.2">
      <c r="A304" s="10">
        <v>46085</v>
      </c>
      <c r="B304" s="11">
        <v>0.70019675925925928</v>
      </c>
      <c r="C304" s="1" t="s">
        <v>122</v>
      </c>
      <c r="D304" s="1" t="s">
        <v>291</v>
      </c>
      <c r="E304" s="1">
        <v>121</v>
      </c>
      <c r="F304" s="1" t="s">
        <v>46</v>
      </c>
      <c r="G304" s="1">
        <v>1</v>
      </c>
      <c r="H304" s="1">
        <v>1</v>
      </c>
      <c r="I304" s="1" t="s">
        <v>47</v>
      </c>
      <c r="J304" s="1" t="s">
        <v>48</v>
      </c>
      <c r="K304" s="1">
        <v>3.5000000000000003E-2</v>
      </c>
      <c r="L304" s="1">
        <v>0.88900000000000001</v>
      </c>
      <c r="M304" s="1">
        <v>15.5</v>
      </c>
      <c r="N304" s="1" t="s">
        <v>49</v>
      </c>
      <c r="O304" s="1" t="s">
        <v>50</v>
      </c>
      <c r="P304" s="1">
        <v>0.33500000000000002</v>
      </c>
      <c r="Q304" s="1">
        <v>4.6900000000000004</v>
      </c>
      <c r="R304" s="1">
        <v>427</v>
      </c>
      <c r="T304" s="6">
        <v>1</v>
      </c>
      <c r="U304" s="6">
        <v>1</v>
      </c>
      <c r="V304" s="6"/>
      <c r="W304" s="12">
        <f t="shared" si="12"/>
        <v>15.5</v>
      </c>
      <c r="X304" s="7">
        <f>'Calibration-S40 to end'!$U$11*(QAQC!L304^2)+'Calibration-S40 to end'!$U$12*QAQC!L304+'Calibration-S40 to end'!$U$13</f>
        <v>13.409023073300002</v>
      </c>
      <c r="Y304" s="7">
        <f t="shared" si="14"/>
        <v>13.409023073300002</v>
      </c>
      <c r="Z304" s="6"/>
      <c r="AA304" s="6"/>
      <c r="AF304" s="6">
        <v>1</v>
      </c>
      <c r="AG304" s="6"/>
      <c r="AH304" s="6">
        <f t="shared" si="15"/>
        <v>427</v>
      </c>
      <c r="AI304" s="13">
        <f>'Calibration-S40 to end'!$I$11*(QAQC!Q304^2)+'Calibration-S40 to end'!$I$12*QAQC!Q304+'Calibration-S40 to end'!$I$13</f>
        <v>253.41753358000003</v>
      </c>
      <c r="AJ304" s="13">
        <f t="shared" si="17"/>
        <v>253.41753358000003</v>
      </c>
      <c r="AK304" s="12"/>
      <c r="AM304" s="12"/>
      <c r="AO304" s="12"/>
      <c r="AR304" s="6">
        <v>298</v>
      </c>
    </row>
    <row r="305" spans="1:44" ht="15.75" customHeight="1" x14ac:dyDescent="0.2">
      <c r="A305" s="10">
        <v>46085</v>
      </c>
      <c r="B305" s="11">
        <v>0.70109953703703709</v>
      </c>
      <c r="C305" s="1" t="s">
        <v>122</v>
      </c>
      <c r="D305" s="1" t="s">
        <v>292</v>
      </c>
      <c r="E305" s="1">
        <v>136</v>
      </c>
      <c r="F305" s="1" t="s">
        <v>46</v>
      </c>
      <c r="G305" s="1">
        <v>1</v>
      </c>
      <c r="H305" s="1">
        <v>1</v>
      </c>
      <c r="I305" s="1" t="s">
        <v>47</v>
      </c>
      <c r="J305" s="1" t="s">
        <v>48</v>
      </c>
      <c r="K305" s="1">
        <v>0.14499999999999999</v>
      </c>
      <c r="L305" s="1">
        <v>2.92</v>
      </c>
      <c r="M305" s="1">
        <v>86.8</v>
      </c>
      <c r="N305" s="1" t="s">
        <v>49</v>
      </c>
      <c r="O305" s="1" t="s">
        <v>50</v>
      </c>
      <c r="P305" s="1">
        <v>0.97299999999999998</v>
      </c>
      <c r="Q305" s="1">
        <v>12</v>
      </c>
      <c r="R305" s="1">
        <v>1210</v>
      </c>
      <c r="T305" s="6">
        <v>1</v>
      </c>
      <c r="U305" s="6">
        <v>1</v>
      </c>
      <c r="V305" s="6"/>
      <c r="W305" s="12">
        <f t="shared" si="12"/>
        <v>86.8</v>
      </c>
      <c r="X305" s="7">
        <f>'Calibration-S40 to end'!$U$11*(QAQC!L305^2)+'Calibration-S40 to end'!$U$12*QAQC!L305+'Calibration-S40 to end'!$U$13</f>
        <v>74.280074720000002</v>
      </c>
      <c r="Y305" s="7">
        <f t="shared" si="14"/>
        <v>74.280074720000002</v>
      </c>
      <c r="Z305" s="6"/>
      <c r="AA305" s="6"/>
      <c r="AB305" s="14"/>
      <c r="AC305" s="14"/>
      <c r="AD305" s="14"/>
      <c r="AE305" s="14"/>
      <c r="AF305" s="6">
        <v>1</v>
      </c>
      <c r="AG305" s="6"/>
      <c r="AH305" s="6">
        <f t="shared" si="15"/>
        <v>1210</v>
      </c>
      <c r="AI305" s="13">
        <f>'Calibration-S40 to end'!$I$11*(QAQC!Q305^2)+'Calibration-S40 to end'!$I$12*QAQC!Q305+'Calibration-S40 to end'!$I$13</f>
        <v>729.85250000000008</v>
      </c>
      <c r="AJ305" s="13">
        <f t="shared" si="17"/>
        <v>729.85250000000008</v>
      </c>
      <c r="AK305" s="12"/>
      <c r="AM305" s="12"/>
      <c r="AO305" s="12"/>
      <c r="AR305" s="6">
        <v>299</v>
      </c>
    </row>
    <row r="306" spans="1:44" ht="15.75" customHeight="1" x14ac:dyDescent="0.2">
      <c r="A306" s="10">
        <v>46085</v>
      </c>
      <c r="B306" s="11">
        <v>0.70199074074074075</v>
      </c>
      <c r="C306" s="1" t="s">
        <v>122</v>
      </c>
      <c r="D306" s="1" t="s">
        <v>293</v>
      </c>
      <c r="E306" s="1">
        <v>146</v>
      </c>
      <c r="F306" s="1" t="s">
        <v>46</v>
      </c>
      <c r="G306" s="1">
        <v>1</v>
      </c>
      <c r="H306" s="1">
        <v>1</v>
      </c>
      <c r="I306" s="1" t="s">
        <v>47</v>
      </c>
      <c r="J306" s="1" t="s">
        <v>48</v>
      </c>
      <c r="K306" s="1">
        <v>2.2599999999999999E-2</v>
      </c>
      <c r="L306" s="1">
        <v>0.63900000000000001</v>
      </c>
      <c r="M306" s="1">
        <v>6.83</v>
      </c>
      <c r="N306" s="1" t="s">
        <v>49</v>
      </c>
      <c r="O306" s="1" t="s">
        <v>50</v>
      </c>
      <c r="P306" s="1">
        <v>0.29599999999999999</v>
      </c>
      <c r="Q306" s="1">
        <v>4.04</v>
      </c>
      <c r="R306" s="1">
        <v>356</v>
      </c>
      <c r="T306" s="6">
        <v>1</v>
      </c>
      <c r="U306" s="6">
        <v>1</v>
      </c>
      <c r="V306" s="6"/>
      <c r="W306" s="12">
        <f t="shared" si="12"/>
        <v>6.83</v>
      </c>
      <c r="X306" s="7">
        <f>'Calibration-S40 to end'!$U$11*(QAQC!L306^2)+'Calibration-S40 to end'!$U$12*QAQC!L306+'Calibration-S40 to end'!$U$13</f>
        <v>5.7094494732999976</v>
      </c>
      <c r="Y306" s="7">
        <f t="shared" si="14"/>
        <v>5.7094494732999976</v>
      </c>
      <c r="Z306" s="6"/>
      <c r="AA306" s="6"/>
      <c r="AF306" s="6">
        <v>1</v>
      </c>
      <c r="AG306" s="6"/>
      <c r="AH306" s="6">
        <f t="shared" si="15"/>
        <v>356</v>
      </c>
      <c r="AI306" s="13">
        <f>'Calibration-S40 to end'!$I$11*(QAQC!Q306^2)+'Calibration-S40 to end'!$I$12*QAQC!Q306+'Calibration-S40 to end'!$I$13</f>
        <v>206.69573248000003</v>
      </c>
      <c r="AJ306" s="13">
        <f t="shared" si="17"/>
        <v>206.69573248000003</v>
      </c>
      <c r="AK306" s="12"/>
      <c r="AM306" s="12"/>
      <c r="AO306" s="12"/>
      <c r="AR306" s="6">
        <v>300</v>
      </c>
    </row>
    <row r="307" spans="1:44" ht="15.75" customHeight="1" x14ac:dyDescent="0.2">
      <c r="A307" s="10">
        <v>46085</v>
      </c>
      <c r="B307" s="11">
        <v>0.70288194444444441</v>
      </c>
      <c r="C307" s="1" t="s">
        <v>122</v>
      </c>
      <c r="D307" s="1" t="s">
        <v>294</v>
      </c>
      <c r="E307" s="1">
        <v>162</v>
      </c>
      <c r="F307" s="1" t="s">
        <v>46</v>
      </c>
      <c r="G307" s="1">
        <v>1</v>
      </c>
      <c r="H307" s="1">
        <v>1</v>
      </c>
      <c r="I307" s="1" t="s">
        <v>47</v>
      </c>
      <c r="J307" s="1" t="s">
        <v>48</v>
      </c>
      <c r="K307" s="1">
        <v>5.4800000000000001E-2</v>
      </c>
      <c r="L307" s="1">
        <v>1.03</v>
      </c>
      <c r="M307" s="1">
        <v>20.3</v>
      </c>
      <c r="N307" s="1" t="s">
        <v>49</v>
      </c>
      <c r="O307" s="1" t="s">
        <v>50</v>
      </c>
      <c r="P307" s="1">
        <v>0.28699999999999998</v>
      </c>
      <c r="Q307" s="1">
        <v>3.91</v>
      </c>
      <c r="R307" s="1">
        <v>342</v>
      </c>
      <c r="T307" s="6">
        <v>1</v>
      </c>
      <c r="U307" s="6">
        <v>1</v>
      </c>
      <c r="V307" s="6"/>
      <c r="W307" s="12">
        <f t="shared" si="12"/>
        <v>20.3</v>
      </c>
      <c r="X307" s="7">
        <f>'Calibration-S40 to end'!$U$11*(QAQC!L307^2)+'Calibration-S40 to end'!$U$12*QAQC!L307+'Calibration-S40 to end'!$U$13</f>
        <v>17.731586570000001</v>
      </c>
      <c r="Y307" s="7">
        <f t="shared" si="14"/>
        <v>17.731586570000001</v>
      </c>
      <c r="Z307" s="6"/>
      <c r="AA307" s="6"/>
      <c r="AB307" s="14"/>
      <c r="AC307" s="14"/>
      <c r="AD307" s="14"/>
      <c r="AE307" s="14"/>
      <c r="AF307" s="6">
        <v>1</v>
      </c>
      <c r="AG307" s="6"/>
      <c r="AH307" s="6">
        <f t="shared" si="15"/>
        <v>342</v>
      </c>
      <c r="AI307" s="13">
        <f>'Calibration-S40 to end'!$I$11*(QAQC!Q307^2)+'Calibration-S40 to end'!$I$12*QAQC!Q307+'Calibration-S40 to end'!$I$13</f>
        <v>197.26597318000003</v>
      </c>
      <c r="AJ307" s="13">
        <f t="shared" si="17"/>
        <v>197.26597318000003</v>
      </c>
      <c r="AK307" s="12"/>
      <c r="AM307" s="12"/>
      <c r="AO307" s="12"/>
      <c r="AR307" s="6">
        <v>301</v>
      </c>
    </row>
    <row r="308" spans="1:44" ht="15.75" customHeight="1" x14ac:dyDescent="0.2">
      <c r="A308" s="10">
        <v>46085</v>
      </c>
      <c r="B308" s="11">
        <v>0.70377314814814818</v>
      </c>
      <c r="C308" s="1" t="s">
        <v>122</v>
      </c>
      <c r="D308" s="1" t="s">
        <v>295</v>
      </c>
      <c r="E308" s="1">
        <v>184</v>
      </c>
      <c r="F308" s="1" t="s">
        <v>46</v>
      </c>
      <c r="G308" s="1">
        <v>1</v>
      </c>
      <c r="H308" s="1">
        <v>1</v>
      </c>
      <c r="I308" s="1" t="s">
        <v>47</v>
      </c>
      <c r="J308" s="1" t="s">
        <v>48</v>
      </c>
      <c r="K308" s="1">
        <v>7.2400000000000006E-2</v>
      </c>
      <c r="L308" s="1">
        <v>1.53</v>
      </c>
      <c r="M308" s="1">
        <v>37.9</v>
      </c>
      <c r="N308" s="1" t="s">
        <v>49</v>
      </c>
      <c r="O308" s="1" t="s">
        <v>50</v>
      </c>
      <c r="P308" s="1">
        <v>0.56399999999999995</v>
      </c>
      <c r="Q308" s="1">
        <v>7.19</v>
      </c>
      <c r="R308" s="1">
        <v>697</v>
      </c>
      <c r="T308" s="6">
        <v>1</v>
      </c>
      <c r="U308" s="6">
        <v>1</v>
      </c>
      <c r="V308" s="6"/>
      <c r="W308" s="12">
        <f t="shared" si="12"/>
        <v>37.9</v>
      </c>
      <c r="X308" s="7">
        <f>'Calibration-S40 to end'!$U$11*(QAQC!L308^2)+'Calibration-S40 to end'!$U$12*QAQC!L308+'Calibration-S40 to end'!$U$13</f>
        <v>32.943580569999995</v>
      </c>
      <c r="Y308" s="7">
        <f t="shared" si="14"/>
        <v>32.943580569999995</v>
      </c>
      <c r="Z308" s="6"/>
      <c r="AA308" s="6"/>
      <c r="AF308" s="6">
        <v>1</v>
      </c>
      <c r="AG308" s="6"/>
      <c r="AH308" s="6">
        <f t="shared" si="15"/>
        <v>697</v>
      </c>
      <c r="AI308" s="13">
        <f>'Calibration-S40 to end'!$I$11*(QAQC!Q308^2)+'Calibration-S40 to end'!$I$12*QAQC!Q308+'Calibration-S40 to end'!$I$13</f>
        <v>426.48444358000006</v>
      </c>
      <c r="AJ308" s="13">
        <f t="shared" si="17"/>
        <v>426.48444358000006</v>
      </c>
      <c r="AK308" s="12"/>
      <c r="AM308" s="12"/>
      <c r="AO308" s="12"/>
      <c r="AR308" s="6">
        <v>302</v>
      </c>
    </row>
    <row r="309" spans="1:44" ht="15.75" customHeight="1" x14ac:dyDescent="0.2">
      <c r="A309" s="10">
        <v>46085</v>
      </c>
      <c r="B309" s="11">
        <v>0.70467592592592587</v>
      </c>
      <c r="C309" s="1" t="s">
        <v>122</v>
      </c>
      <c r="D309" s="1" t="s">
        <v>296</v>
      </c>
      <c r="E309" s="1">
        <v>200</v>
      </c>
      <c r="F309" s="1" t="s">
        <v>46</v>
      </c>
      <c r="G309" s="1">
        <v>1</v>
      </c>
      <c r="H309" s="1">
        <v>1</v>
      </c>
      <c r="I309" s="1" t="s">
        <v>47</v>
      </c>
      <c r="J309" s="1" t="s">
        <v>48</v>
      </c>
      <c r="K309" s="1">
        <v>8.7499999999999994E-2</v>
      </c>
      <c r="L309" s="1">
        <v>1.87</v>
      </c>
      <c r="M309" s="1">
        <v>49.7</v>
      </c>
      <c r="N309" s="1" t="s">
        <v>49</v>
      </c>
      <c r="O309" s="1" t="s">
        <v>50</v>
      </c>
      <c r="P309" s="1">
        <v>0.95</v>
      </c>
      <c r="Q309" s="1">
        <v>12.2</v>
      </c>
      <c r="R309" s="1">
        <v>1230</v>
      </c>
      <c r="T309" s="6">
        <v>1</v>
      </c>
      <c r="U309" s="6">
        <v>1</v>
      </c>
      <c r="V309" s="6"/>
      <c r="W309" s="12">
        <f t="shared" si="12"/>
        <v>49.7</v>
      </c>
      <c r="X309" s="7">
        <f>'Calibration-S40 to end'!$U$11*(QAQC!L309^2)+'Calibration-S40 to end'!$U$12*QAQC!L309+'Calibration-S40 to end'!$U$13</f>
        <v>43.18414937</v>
      </c>
      <c r="Y309" s="7">
        <f t="shared" si="14"/>
        <v>43.18414937</v>
      </c>
      <c r="Z309" s="6"/>
      <c r="AA309" s="6"/>
      <c r="AB309" s="14"/>
      <c r="AC309" s="14"/>
      <c r="AD309" s="14"/>
      <c r="AE309" s="14"/>
      <c r="AF309" s="6">
        <v>1</v>
      </c>
      <c r="AG309" s="6"/>
      <c r="AH309" s="6">
        <f t="shared" si="15"/>
        <v>1230</v>
      </c>
      <c r="AI309" s="13">
        <f>'Calibration-S40 to end'!$I$11*(QAQC!Q309^2)+'Calibration-S40 to end'!$I$12*QAQC!Q309+'Calibration-S40 to end'!$I$13</f>
        <v>741.62267200000008</v>
      </c>
      <c r="AJ309" s="13">
        <f t="shared" si="17"/>
        <v>741.62267200000008</v>
      </c>
      <c r="AK309" s="12"/>
      <c r="AM309" s="12"/>
      <c r="AO309" s="12"/>
      <c r="AR309" s="6">
        <v>303</v>
      </c>
    </row>
    <row r="310" spans="1:44" ht="15.75" customHeight="1" x14ac:dyDescent="0.2">
      <c r="A310" s="10">
        <v>46085</v>
      </c>
      <c r="B310" s="11">
        <v>0.70557870370370368</v>
      </c>
      <c r="C310" s="1" t="s">
        <v>122</v>
      </c>
      <c r="D310" s="1" t="s">
        <v>297</v>
      </c>
      <c r="E310" s="1">
        <v>202</v>
      </c>
      <c r="F310" s="1" t="s">
        <v>46</v>
      </c>
      <c r="G310" s="1">
        <v>1</v>
      </c>
      <c r="H310" s="1">
        <v>1</v>
      </c>
      <c r="I310" s="1" t="s">
        <v>47</v>
      </c>
      <c r="J310" s="1" t="s">
        <v>48</v>
      </c>
      <c r="K310" s="1">
        <v>3.5700000000000003E-2</v>
      </c>
      <c r="L310" s="1">
        <v>0.89700000000000002</v>
      </c>
      <c r="M310" s="1">
        <v>15.8</v>
      </c>
      <c r="N310" s="1" t="s">
        <v>49</v>
      </c>
      <c r="O310" s="1" t="s">
        <v>50</v>
      </c>
      <c r="P310" s="1">
        <v>0.30399999999999999</v>
      </c>
      <c r="Q310" s="1">
        <v>4.05</v>
      </c>
      <c r="R310" s="1">
        <v>356</v>
      </c>
      <c r="T310" s="6">
        <v>1</v>
      </c>
      <c r="U310" s="6">
        <v>1</v>
      </c>
      <c r="V310" s="6"/>
      <c r="W310" s="12">
        <f t="shared" si="12"/>
        <v>15.8</v>
      </c>
      <c r="X310" s="7">
        <f>'Calibration-S40 to end'!$U$11*(QAQC!L310^2)+'Calibration-S40 to end'!$U$12*QAQC!L310+'Calibration-S40 to end'!$U$13</f>
        <v>13.654660815699998</v>
      </c>
      <c r="Y310" s="7">
        <f t="shared" si="14"/>
        <v>13.654660815699998</v>
      </c>
      <c r="Z310" s="6"/>
      <c r="AA310" s="6"/>
      <c r="AF310" s="6">
        <v>1</v>
      </c>
      <c r="AG310" s="6"/>
      <c r="AH310" s="6">
        <f t="shared" si="15"/>
        <v>356</v>
      </c>
      <c r="AI310" s="13">
        <f>'Calibration-S40 to end'!$I$11*(QAQC!Q310^2)+'Calibration-S40 to end'!$I$12*QAQC!Q310+'Calibration-S40 to end'!$I$13</f>
        <v>207.41991949999996</v>
      </c>
      <c r="AJ310" s="13">
        <f t="shared" si="17"/>
        <v>207.41991949999996</v>
      </c>
      <c r="AK310" s="12"/>
      <c r="AM310" s="12"/>
      <c r="AO310" s="12"/>
      <c r="AR310" s="6">
        <v>304</v>
      </c>
    </row>
    <row r="311" spans="1:44" ht="15.75" customHeight="1" x14ac:dyDescent="0.2">
      <c r="X311" s="2"/>
      <c r="Y311" s="2"/>
      <c r="AI311" s="2"/>
      <c r="AJ311" s="2"/>
      <c r="AK311" s="12"/>
      <c r="AM311" s="12"/>
      <c r="AO311" s="12"/>
    </row>
    <row r="312" spans="1:44" ht="15.75" customHeight="1" x14ac:dyDescent="0.2">
      <c r="X312" s="2"/>
      <c r="Y312" s="2"/>
      <c r="AI312" s="2"/>
      <c r="AJ312" s="2"/>
      <c r="AK312" s="12"/>
      <c r="AM312" s="12"/>
      <c r="AO312" s="12"/>
    </row>
    <row r="313" spans="1:44" ht="15.75" customHeight="1" x14ac:dyDescent="0.2">
      <c r="X313" s="2"/>
      <c r="Y313" s="2"/>
      <c r="AI313" s="2"/>
      <c r="AJ313" s="2"/>
      <c r="AK313" s="12"/>
      <c r="AM313" s="12"/>
      <c r="AO313" s="12"/>
    </row>
    <row r="314" spans="1:44" ht="15.75" customHeight="1" x14ac:dyDescent="0.2">
      <c r="X314" s="2"/>
      <c r="Y314" s="2"/>
      <c r="AI314" s="2"/>
      <c r="AJ314" s="2"/>
      <c r="AK314" s="12"/>
      <c r="AM314" s="12"/>
      <c r="AO314" s="12"/>
    </row>
    <row r="315" spans="1:44" ht="15.75" customHeight="1" x14ac:dyDescent="0.2">
      <c r="X315" s="2"/>
      <c r="Y315" s="2"/>
      <c r="AI315" s="2"/>
      <c r="AJ315" s="2"/>
      <c r="AK315" s="12"/>
      <c r="AM315" s="12"/>
      <c r="AO315" s="12"/>
    </row>
    <row r="316" spans="1:44" ht="15.75" customHeight="1" x14ac:dyDescent="0.2">
      <c r="X316" s="2"/>
      <c r="Y316" s="2"/>
      <c r="AI316" s="2"/>
      <c r="AJ316" s="2"/>
      <c r="AK316" s="12"/>
      <c r="AM316" s="12"/>
      <c r="AO316" s="12"/>
    </row>
    <row r="317" spans="1:44" ht="15.75" customHeight="1" x14ac:dyDescent="0.2">
      <c r="X317" s="2"/>
      <c r="Y317" s="2"/>
      <c r="AI317" s="2"/>
      <c r="AJ317" s="2"/>
      <c r="AK317" s="12"/>
      <c r="AM317" s="12"/>
    </row>
    <row r="318" spans="1:44" ht="15.75" customHeight="1" x14ac:dyDescent="0.2">
      <c r="X318" s="2"/>
      <c r="Y318" s="2"/>
      <c r="AI318" s="2"/>
      <c r="AJ318" s="2"/>
      <c r="AK318" s="12"/>
      <c r="AM318" s="12"/>
    </row>
    <row r="319" spans="1:44" ht="15.75" customHeight="1" x14ac:dyDescent="0.2">
      <c r="X319" s="2"/>
      <c r="Y319" s="2"/>
      <c r="AI319" s="2"/>
      <c r="AJ319" s="2"/>
      <c r="AK319" s="12"/>
      <c r="AM319" s="12"/>
    </row>
    <row r="320" spans="1:44" ht="15.75" customHeight="1" x14ac:dyDescent="0.2">
      <c r="X320" s="2"/>
      <c r="Y320" s="2"/>
      <c r="AI320" s="2"/>
      <c r="AJ320" s="2"/>
      <c r="AK320" s="12"/>
      <c r="AM320" s="12"/>
    </row>
    <row r="321" spans="24:39" ht="15.75" customHeight="1" x14ac:dyDescent="0.2">
      <c r="X321" s="2"/>
      <c r="Y321" s="2"/>
      <c r="AI321" s="2"/>
      <c r="AJ321" s="2"/>
      <c r="AK321" s="12"/>
      <c r="AM321" s="12"/>
    </row>
    <row r="322" spans="24:39" ht="15.75" customHeight="1" x14ac:dyDescent="0.2">
      <c r="X322" s="2"/>
      <c r="Y322" s="2"/>
      <c r="AI322" s="2"/>
      <c r="AJ322" s="2"/>
      <c r="AK322" s="12"/>
      <c r="AM322" s="12"/>
    </row>
    <row r="323" spans="24:39" ht="15.75" customHeight="1" x14ac:dyDescent="0.2">
      <c r="X323" s="2"/>
      <c r="Y323" s="2"/>
      <c r="AI323" s="2"/>
      <c r="AJ323" s="2"/>
      <c r="AK323" s="12"/>
      <c r="AM323" s="12"/>
    </row>
    <row r="324" spans="24:39" ht="15.75" customHeight="1" x14ac:dyDescent="0.2">
      <c r="X324" s="2"/>
      <c r="Y324" s="2"/>
      <c r="AI324" s="2"/>
      <c r="AJ324" s="2"/>
      <c r="AK324" s="12"/>
      <c r="AM324" s="12"/>
    </row>
    <row r="325" spans="24:39" ht="15.75" customHeight="1" x14ac:dyDescent="0.2">
      <c r="X325" s="2"/>
      <c r="Y325" s="2"/>
      <c r="AI325" s="2"/>
      <c r="AJ325" s="2"/>
      <c r="AK325" s="12"/>
      <c r="AM325" s="12"/>
    </row>
    <row r="326" spans="24:39" ht="15.75" customHeight="1" x14ac:dyDescent="0.2">
      <c r="X326" s="2"/>
      <c r="Y326" s="2"/>
      <c r="AI326" s="2"/>
      <c r="AJ326" s="2"/>
      <c r="AK326" s="12"/>
      <c r="AM326" s="12"/>
    </row>
    <row r="327" spans="24:39" ht="15.75" customHeight="1" x14ac:dyDescent="0.2">
      <c r="X327" s="2"/>
      <c r="Y327" s="2"/>
      <c r="AI327" s="2"/>
      <c r="AJ327" s="2"/>
      <c r="AK327" s="12"/>
      <c r="AM327" s="12"/>
    </row>
    <row r="328" spans="24:39" ht="15.75" customHeight="1" x14ac:dyDescent="0.2">
      <c r="X328" s="2"/>
      <c r="Y328" s="2"/>
      <c r="AI328" s="2"/>
      <c r="AJ328" s="2"/>
      <c r="AK328" s="12"/>
      <c r="AM328" s="12"/>
    </row>
    <row r="329" spans="24:39" ht="15.75" customHeight="1" x14ac:dyDescent="0.2">
      <c r="X329" s="2"/>
      <c r="Y329" s="2"/>
      <c r="AI329" s="2"/>
      <c r="AJ329" s="2"/>
      <c r="AK329" s="12"/>
    </row>
    <row r="330" spans="24:39" ht="15.75" customHeight="1" x14ac:dyDescent="0.2">
      <c r="X330" s="2"/>
      <c r="Y330" s="2"/>
      <c r="AI330" s="2"/>
      <c r="AJ330" s="2"/>
      <c r="AK330" s="12"/>
    </row>
    <row r="331" spans="24:39" ht="15.75" customHeight="1" x14ac:dyDescent="0.2">
      <c r="X331" s="2"/>
      <c r="Y331" s="2"/>
      <c r="AI331" s="2"/>
      <c r="AJ331" s="2"/>
      <c r="AK331" s="12"/>
    </row>
    <row r="332" spans="24:39" ht="15.75" customHeight="1" x14ac:dyDescent="0.2">
      <c r="X332" s="2"/>
      <c r="Y332" s="2"/>
      <c r="AI332" s="2"/>
      <c r="AJ332" s="2"/>
      <c r="AK332" s="12"/>
    </row>
    <row r="333" spans="24:39" ht="15.75" customHeight="1" x14ac:dyDescent="0.2">
      <c r="X333" s="2"/>
      <c r="Y333" s="2"/>
      <c r="AI333" s="2"/>
      <c r="AJ333" s="2"/>
      <c r="AK333" s="12"/>
    </row>
    <row r="334" spans="24:39" ht="15.75" customHeight="1" x14ac:dyDescent="0.2">
      <c r="X334" s="2"/>
      <c r="Y334" s="2"/>
      <c r="AI334" s="2"/>
      <c r="AJ334" s="2"/>
      <c r="AK334" s="12"/>
    </row>
    <row r="335" spans="24:39" ht="15.75" customHeight="1" x14ac:dyDescent="0.2">
      <c r="X335" s="2"/>
      <c r="Y335" s="2"/>
      <c r="AI335" s="2"/>
      <c r="AJ335" s="2"/>
      <c r="AK335" s="12"/>
    </row>
    <row r="336" spans="24:39" ht="15.75" customHeight="1" x14ac:dyDescent="0.2">
      <c r="X336" s="2"/>
      <c r="Y336" s="2"/>
      <c r="AI336" s="2"/>
      <c r="AJ336" s="2"/>
      <c r="AK336" s="12"/>
    </row>
    <row r="337" spans="24:37" ht="15.75" customHeight="1" x14ac:dyDescent="0.2">
      <c r="X337" s="2"/>
      <c r="Y337" s="2"/>
      <c r="AI337" s="2"/>
      <c r="AJ337" s="2"/>
      <c r="AK337" s="12"/>
    </row>
    <row r="338" spans="24:37" ht="15.75" customHeight="1" x14ac:dyDescent="0.2">
      <c r="X338" s="2"/>
      <c r="Y338" s="2"/>
      <c r="AI338" s="2"/>
      <c r="AJ338" s="2"/>
      <c r="AK338" s="12"/>
    </row>
    <row r="339" spans="24:37" ht="15.75" customHeight="1" x14ac:dyDescent="0.2">
      <c r="X339" s="2"/>
      <c r="Y339" s="2"/>
      <c r="AI339" s="2"/>
      <c r="AJ339" s="2"/>
      <c r="AK339" s="12"/>
    </row>
    <row r="340" spans="24:37" ht="15.75" customHeight="1" x14ac:dyDescent="0.2">
      <c r="X340" s="2"/>
      <c r="Y340" s="2"/>
      <c r="AI340" s="2"/>
      <c r="AJ340" s="2"/>
      <c r="AK340" s="12"/>
    </row>
    <row r="341" spans="24:37" ht="15.75" customHeight="1" x14ac:dyDescent="0.2">
      <c r="X341" s="2"/>
      <c r="Y341" s="2"/>
      <c r="AI341" s="2"/>
      <c r="AJ341" s="2"/>
      <c r="AK341" s="12"/>
    </row>
    <row r="342" spans="24:37" ht="15.75" customHeight="1" x14ac:dyDescent="0.2">
      <c r="X342" s="2"/>
      <c r="Y342" s="2"/>
      <c r="AI342" s="2"/>
      <c r="AJ342" s="2"/>
      <c r="AK342" s="12"/>
    </row>
    <row r="343" spans="24:37" ht="15.75" customHeight="1" x14ac:dyDescent="0.2">
      <c r="X343" s="2"/>
      <c r="Y343" s="2"/>
      <c r="AI343" s="2"/>
      <c r="AJ343" s="2"/>
      <c r="AK343" s="12"/>
    </row>
    <row r="344" spans="24:37" ht="15.75" customHeight="1" x14ac:dyDescent="0.2">
      <c r="X344" s="2"/>
      <c r="Y344" s="2"/>
      <c r="AI344" s="2"/>
      <c r="AJ344" s="2"/>
      <c r="AK344" s="12"/>
    </row>
    <row r="345" spans="24:37" ht="15.75" customHeight="1" x14ac:dyDescent="0.2">
      <c r="X345" s="2"/>
      <c r="Y345" s="2"/>
      <c r="AI345" s="2"/>
      <c r="AJ345" s="2"/>
      <c r="AK345" s="12"/>
    </row>
    <row r="346" spans="24:37" ht="15.75" customHeight="1" x14ac:dyDescent="0.2">
      <c r="X346" s="2"/>
      <c r="Y346" s="2"/>
      <c r="AI346" s="2"/>
      <c r="AJ346" s="2"/>
      <c r="AK346" s="12"/>
    </row>
    <row r="347" spans="24:37" ht="15.75" customHeight="1" x14ac:dyDescent="0.2">
      <c r="X347" s="2"/>
      <c r="Y347" s="2"/>
      <c r="AI347" s="2"/>
      <c r="AJ347" s="2"/>
      <c r="AK347" s="12"/>
    </row>
    <row r="348" spans="24:37" ht="15.75" customHeight="1" x14ac:dyDescent="0.2">
      <c r="X348" s="2"/>
      <c r="Y348" s="2"/>
      <c r="AI348" s="2"/>
      <c r="AJ348" s="2"/>
      <c r="AK348" s="12"/>
    </row>
    <row r="349" spans="24:37" ht="15.75" customHeight="1" x14ac:dyDescent="0.2">
      <c r="X349" s="2"/>
      <c r="Y349" s="2"/>
      <c r="AI349" s="2"/>
      <c r="AJ349" s="2"/>
      <c r="AK349" s="12"/>
    </row>
    <row r="350" spans="24:37" ht="15.75" customHeight="1" x14ac:dyDescent="0.2">
      <c r="X350" s="2"/>
      <c r="Y350" s="2"/>
      <c r="AI350" s="2"/>
      <c r="AJ350" s="2"/>
      <c r="AK350" s="12"/>
    </row>
    <row r="351" spans="24:37" ht="15.75" customHeight="1" x14ac:dyDescent="0.2">
      <c r="X351" s="2"/>
      <c r="Y351" s="2"/>
      <c r="AI351" s="2"/>
      <c r="AJ351" s="2"/>
      <c r="AK351" s="12"/>
    </row>
    <row r="352" spans="24:37" ht="15.75" customHeight="1" x14ac:dyDescent="0.2">
      <c r="X352" s="2"/>
      <c r="Y352" s="2"/>
      <c r="AI352" s="2"/>
      <c r="AJ352" s="2"/>
      <c r="AK352" s="12"/>
    </row>
    <row r="353" spans="24:37" ht="15.75" customHeight="1" x14ac:dyDescent="0.2">
      <c r="X353" s="2"/>
      <c r="Y353" s="2"/>
      <c r="AI353" s="2"/>
      <c r="AJ353" s="2"/>
      <c r="AK353" s="12"/>
    </row>
    <row r="354" spans="24:37" ht="15.75" customHeight="1" x14ac:dyDescent="0.2">
      <c r="X354" s="2"/>
      <c r="Y354" s="2"/>
      <c r="AI354" s="2"/>
      <c r="AJ354" s="2"/>
      <c r="AK354" s="12"/>
    </row>
    <row r="355" spans="24:37" ht="15.75" customHeight="1" x14ac:dyDescent="0.2">
      <c r="X355" s="2"/>
      <c r="Y355" s="2"/>
      <c r="AI355" s="2"/>
      <c r="AJ355" s="2"/>
      <c r="AK355" s="12"/>
    </row>
    <row r="356" spans="24:37" ht="15.75" customHeight="1" x14ac:dyDescent="0.2">
      <c r="X356" s="2"/>
      <c r="Y356" s="2"/>
      <c r="AI356" s="2"/>
      <c r="AJ356" s="2"/>
      <c r="AK356" s="12"/>
    </row>
    <row r="357" spans="24:37" ht="15.75" customHeight="1" x14ac:dyDescent="0.2">
      <c r="X357" s="2"/>
      <c r="Y357" s="2"/>
      <c r="AI357" s="2"/>
      <c r="AJ357" s="2"/>
      <c r="AK357" s="12"/>
    </row>
    <row r="358" spans="24:37" ht="15.75" customHeight="1" x14ac:dyDescent="0.2">
      <c r="X358" s="2"/>
      <c r="Y358" s="2"/>
      <c r="AI358" s="2"/>
      <c r="AJ358" s="2"/>
      <c r="AK358" s="12"/>
    </row>
    <row r="359" spans="24:37" ht="15.75" customHeight="1" x14ac:dyDescent="0.2">
      <c r="X359" s="2"/>
      <c r="Y359" s="2"/>
      <c r="AI359" s="2"/>
      <c r="AJ359" s="2"/>
      <c r="AK359" s="12"/>
    </row>
    <row r="360" spans="24:37" ht="15.75" customHeight="1" x14ac:dyDescent="0.2">
      <c r="X360" s="2"/>
      <c r="Y360" s="2"/>
      <c r="AI360" s="2"/>
      <c r="AJ360" s="2"/>
      <c r="AK360" s="12"/>
    </row>
    <row r="361" spans="24:37" ht="15.75" customHeight="1" x14ac:dyDescent="0.2">
      <c r="X361" s="2"/>
      <c r="Y361" s="2"/>
      <c r="AI361" s="2"/>
      <c r="AJ361" s="2"/>
      <c r="AK361" s="12"/>
    </row>
    <row r="362" spans="24:37" ht="15.75" customHeight="1" x14ac:dyDescent="0.2">
      <c r="X362" s="2"/>
      <c r="Y362" s="2"/>
      <c r="AI362" s="2"/>
      <c r="AJ362" s="2"/>
      <c r="AK362" s="12"/>
    </row>
    <row r="363" spans="24:37" ht="15.75" customHeight="1" x14ac:dyDescent="0.2">
      <c r="X363" s="2"/>
      <c r="Y363" s="2"/>
      <c r="AI363" s="2"/>
      <c r="AJ363" s="2"/>
      <c r="AK363" s="12"/>
    </row>
    <row r="364" spans="24:37" ht="15.75" customHeight="1" x14ac:dyDescent="0.2">
      <c r="X364" s="2"/>
      <c r="Y364" s="2"/>
      <c r="AI364" s="2"/>
      <c r="AJ364" s="2"/>
      <c r="AK364" s="12"/>
    </row>
    <row r="365" spans="24:37" ht="15.75" customHeight="1" x14ac:dyDescent="0.2">
      <c r="X365" s="2"/>
      <c r="Y365" s="2"/>
      <c r="AI365" s="2"/>
      <c r="AJ365" s="2"/>
      <c r="AK365" s="12"/>
    </row>
    <row r="366" spans="24:37" ht="15.75" customHeight="1" x14ac:dyDescent="0.2">
      <c r="X366" s="2"/>
      <c r="Y366" s="2"/>
      <c r="AI366" s="2"/>
      <c r="AJ366" s="2"/>
      <c r="AK366" s="12"/>
    </row>
    <row r="367" spans="24:37" ht="15.75" customHeight="1" x14ac:dyDescent="0.2">
      <c r="X367" s="2"/>
      <c r="Y367" s="2"/>
      <c r="AI367" s="2"/>
      <c r="AJ367" s="2"/>
      <c r="AK367" s="12"/>
    </row>
    <row r="368" spans="24:37" ht="15.75" customHeight="1" x14ac:dyDescent="0.2">
      <c r="X368" s="2"/>
      <c r="Y368" s="2"/>
      <c r="AI368" s="2"/>
      <c r="AJ368" s="2"/>
      <c r="AK368" s="12"/>
    </row>
    <row r="369" spans="24:37" ht="15.75" customHeight="1" x14ac:dyDescent="0.2">
      <c r="X369" s="2"/>
      <c r="Y369" s="2"/>
      <c r="AI369" s="2"/>
      <c r="AJ369" s="2"/>
      <c r="AK369" s="12"/>
    </row>
    <row r="370" spans="24:37" ht="15.75" customHeight="1" x14ac:dyDescent="0.2">
      <c r="X370" s="2"/>
      <c r="Y370" s="2"/>
      <c r="AI370" s="2"/>
      <c r="AJ370" s="2"/>
      <c r="AK370" s="12"/>
    </row>
    <row r="371" spans="24:37" ht="15.75" customHeight="1" x14ac:dyDescent="0.2">
      <c r="X371" s="2"/>
      <c r="Y371" s="2"/>
      <c r="AI371" s="2"/>
      <c r="AJ371" s="2"/>
      <c r="AK371" s="12"/>
    </row>
    <row r="372" spans="24:37" ht="15.75" customHeight="1" x14ac:dyDescent="0.2">
      <c r="X372" s="2"/>
      <c r="Y372" s="2"/>
      <c r="AI372" s="2"/>
      <c r="AJ372" s="2"/>
      <c r="AK372" s="12"/>
    </row>
    <row r="373" spans="24:37" ht="15.75" customHeight="1" x14ac:dyDescent="0.2">
      <c r="X373" s="2"/>
      <c r="Y373" s="2"/>
      <c r="AI373" s="2"/>
      <c r="AJ373" s="2"/>
      <c r="AK373" s="12"/>
    </row>
    <row r="374" spans="24:37" ht="15.75" customHeight="1" x14ac:dyDescent="0.2">
      <c r="X374" s="2"/>
      <c r="Y374" s="2"/>
      <c r="AI374" s="2"/>
      <c r="AJ374" s="2"/>
      <c r="AK374" s="12"/>
    </row>
    <row r="375" spans="24:37" ht="15.75" customHeight="1" x14ac:dyDescent="0.2">
      <c r="X375" s="2"/>
      <c r="Y375" s="2"/>
      <c r="AI375" s="2"/>
      <c r="AJ375" s="2"/>
      <c r="AK375" s="12"/>
    </row>
    <row r="376" spans="24:37" ht="15.75" customHeight="1" x14ac:dyDescent="0.2">
      <c r="X376" s="2"/>
      <c r="Y376" s="2"/>
      <c r="AI376" s="2"/>
      <c r="AJ376" s="2"/>
      <c r="AK376" s="12"/>
    </row>
    <row r="377" spans="24:37" ht="15.75" customHeight="1" x14ac:dyDescent="0.2">
      <c r="X377" s="2"/>
      <c r="Y377" s="2"/>
      <c r="AI377" s="2"/>
      <c r="AJ377" s="2"/>
      <c r="AK377" s="12"/>
    </row>
    <row r="378" spans="24:37" ht="15.75" customHeight="1" x14ac:dyDescent="0.2">
      <c r="X378" s="2"/>
      <c r="Y378" s="2"/>
      <c r="AI378" s="2"/>
      <c r="AJ378" s="2"/>
      <c r="AK378" s="12"/>
    </row>
    <row r="379" spans="24:37" ht="15.75" customHeight="1" x14ac:dyDescent="0.2">
      <c r="X379" s="2"/>
      <c r="Y379" s="2"/>
      <c r="AI379" s="2"/>
      <c r="AJ379" s="2"/>
      <c r="AK379" s="12"/>
    </row>
    <row r="380" spans="24:37" ht="15.75" customHeight="1" x14ac:dyDescent="0.2">
      <c r="X380" s="2"/>
      <c r="Y380" s="2"/>
      <c r="AI380" s="2"/>
      <c r="AJ380" s="2"/>
      <c r="AK380" s="12"/>
    </row>
    <row r="381" spans="24:37" ht="15.75" customHeight="1" x14ac:dyDescent="0.2">
      <c r="X381" s="2"/>
      <c r="Y381" s="2"/>
      <c r="AI381" s="2"/>
      <c r="AJ381" s="2"/>
      <c r="AK381" s="12"/>
    </row>
    <row r="382" spans="24:37" ht="15.75" customHeight="1" x14ac:dyDescent="0.2">
      <c r="X382" s="2"/>
      <c r="Y382" s="2"/>
      <c r="AI382" s="2"/>
      <c r="AJ382" s="2"/>
      <c r="AK382" s="12"/>
    </row>
    <row r="383" spans="24:37" ht="15.75" customHeight="1" x14ac:dyDescent="0.2">
      <c r="X383" s="2"/>
      <c r="Y383" s="2"/>
      <c r="AI383" s="2"/>
      <c r="AJ383" s="2"/>
      <c r="AK383" s="12"/>
    </row>
    <row r="384" spans="24:37" ht="15.75" customHeight="1" x14ac:dyDescent="0.2">
      <c r="X384" s="2"/>
      <c r="Y384" s="2"/>
      <c r="AI384" s="2"/>
      <c r="AJ384" s="2"/>
      <c r="AK384" s="12"/>
    </row>
    <row r="385" spans="24:37" ht="15.75" customHeight="1" x14ac:dyDescent="0.2">
      <c r="X385" s="2"/>
      <c r="Y385" s="2"/>
      <c r="AI385" s="2"/>
      <c r="AJ385" s="2"/>
      <c r="AK385" s="12"/>
    </row>
    <row r="386" spans="24:37" ht="15.75" customHeight="1" x14ac:dyDescent="0.2">
      <c r="X386" s="2"/>
      <c r="Y386" s="2"/>
      <c r="AI386" s="2"/>
      <c r="AJ386" s="2"/>
      <c r="AK386" s="12"/>
    </row>
    <row r="387" spans="24:37" ht="15.75" customHeight="1" x14ac:dyDescent="0.2">
      <c r="X387" s="2"/>
      <c r="Y387" s="2"/>
      <c r="AI387" s="2"/>
      <c r="AJ387" s="2"/>
      <c r="AK387" s="12"/>
    </row>
    <row r="388" spans="24:37" ht="15.75" customHeight="1" x14ac:dyDescent="0.2">
      <c r="X388" s="2"/>
      <c r="Y388" s="2"/>
      <c r="AI388" s="2"/>
      <c r="AJ388" s="2"/>
      <c r="AK388" s="12"/>
    </row>
    <row r="389" spans="24:37" ht="15.75" customHeight="1" x14ac:dyDescent="0.2">
      <c r="X389" s="2"/>
      <c r="Y389" s="2"/>
      <c r="AI389" s="2"/>
      <c r="AJ389" s="2"/>
      <c r="AK389" s="12"/>
    </row>
    <row r="390" spans="24:37" ht="15.75" customHeight="1" x14ac:dyDescent="0.2">
      <c r="X390" s="2"/>
      <c r="Y390" s="2"/>
      <c r="AI390" s="2"/>
      <c r="AJ390" s="2"/>
      <c r="AK390" s="12"/>
    </row>
    <row r="391" spans="24:37" ht="15.75" customHeight="1" x14ac:dyDescent="0.2">
      <c r="X391" s="2"/>
      <c r="Y391" s="2"/>
      <c r="AI391" s="2"/>
      <c r="AJ391" s="2"/>
      <c r="AK391" s="12"/>
    </row>
    <row r="392" spans="24:37" ht="15.75" customHeight="1" x14ac:dyDescent="0.2">
      <c r="X392" s="2"/>
      <c r="Y392" s="2"/>
      <c r="AI392" s="2"/>
      <c r="AJ392" s="2"/>
      <c r="AK392" s="12"/>
    </row>
    <row r="393" spans="24:37" ht="15.75" customHeight="1" x14ac:dyDescent="0.2">
      <c r="X393" s="2"/>
      <c r="Y393" s="2"/>
      <c r="AI393" s="2"/>
      <c r="AJ393" s="2"/>
      <c r="AK393" s="12"/>
    </row>
    <row r="394" spans="24:37" ht="15.75" customHeight="1" x14ac:dyDescent="0.2">
      <c r="X394" s="2"/>
      <c r="Y394" s="2"/>
      <c r="AI394" s="2"/>
      <c r="AJ394" s="2"/>
      <c r="AK394" s="12"/>
    </row>
    <row r="395" spans="24:37" ht="15.75" customHeight="1" x14ac:dyDescent="0.2">
      <c r="X395" s="2"/>
      <c r="Y395" s="2"/>
      <c r="AI395" s="2"/>
      <c r="AJ395" s="2"/>
      <c r="AK395" s="12"/>
    </row>
    <row r="396" spans="24:37" ht="15.75" customHeight="1" x14ac:dyDescent="0.2">
      <c r="X396" s="2"/>
      <c r="Y396" s="2"/>
      <c r="AI396" s="2"/>
      <c r="AJ396" s="2"/>
      <c r="AK396" s="12"/>
    </row>
    <row r="397" spans="24:37" ht="15.75" customHeight="1" x14ac:dyDescent="0.2">
      <c r="X397" s="2"/>
      <c r="Y397" s="2"/>
      <c r="AI397" s="2"/>
      <c r="AJ397" s="2"/>
      <c r="AK397" s="12"/>
    </row>
    <row r="398" spans="24:37" ht="15.75" customHeight="1" x14ac:dyDescent="0.2">
      <c r="X398" s="2"/>
      <c r="Y398" s="2"/>
      <c r="AI398" s="2"/>
      <c r="AJ398" s="2"/>
      <c r="AK398" s="12"/>
    </row>
    <row r="399" spans="24:37" ht="15.75" customHeight="1" x14ac:dyDescent="0.2">
      <c r="X399" s="2"/>
      <c r="Y399" s="2"/>
      <c r="AI399" s="2"/>
      <c r="AJ399" s="2"/>
      <c r="AK399" s="12"/>
    </row>
    <row r="400" spans="24:37" ht="15.75" customHeight="1" x14ac:dyDescent="0.2">
      <c r="X400" s="2"/>
      <c r="Y400" s="2"/>
      <c r="AI400" s="2"/>
      <c r="AJ400" s="2"/>
      <c r="AK400" s="12"/>
    </row>
    <row r="401" spans="24:37" ht="15.75" customHeight="1" x14ac:dyDescent="0.2">
      <c r="X401" s="2"/>
      <c r="Y401" s="2"/>
      <c r="AI401" s="2"/>
      <c r="AJ401" s="2"/>
      <c r="AK401" s="12"/>
    </row>
    <row r="402" spans="24:37" ht="15.75" customHeight="1" x14ac:dyDescent="0.2">
      <c r="X402" s="2"/>
      <c r="Y402" s="2"/>
      <c r="AI402" s="2"/>
      <c r="AJ402" s="2"/>
      <c r="AK402" s="12"/>
    </row>
    <row r="403" spans="24:37" ht="15.75" customHeight="1" x14ac:dyDescent="0.2">
      <c r="X403" s="2"/>
      <c r="Y403" s="2"/>
      <c r="AI403" s="2"/>
      <c r="AJ403" s="2"/>
      <c r="AK403" s="12"/>
    </row>
    <row r="404" spans="24:37" ht="15.75" customHeight="1" x14ac:dyDescent="0.2">
      <c r="X404" s="2"/>
      <c r="Y404" s="2"/>
      <c r="AI404" s="2"/>
      <c r="AJ404" s="2"/>
      <c r="AK404" s="12"/>
    </row>
    <row r="405" spans="24:37" ht="15.75" customHeight="1" x14ac:dyDescent="0.2">
      <c r="X405" s="2"/>
      <c r="Y405" s="2"/>
      <c r="AI405" s="2"/>
      <c r="AJ405" s="2"/>
      <c r="AK405" s="12"/>
    </row>
    <row r="406" spans="24:37" ht="15.75" customHeight="1" x14ac:dyDescent="0.2">
      <c r="X406" s="2"/>
      <c r="Y406" s="2"/>
      <c r="AI406" s="2"/>
      <c r="AJ406" s="2"/>
      <c r="AK406" s="12"/>
    </row>
    <row r="407" spans="24:37" ht="15.75" customHeight="1" x14ac:dyDescent="0.2">
      <c r="X407" s="2"/>
      <c r="Y407" s="2"/>
      <c r="AI407" s="2"/>
      <c r="AJ407" s="2"/>
      <c r="AK407" s="12"/>
    </row>
    <row r="408" spans="24:37" ht="15.75" customHeight="1" x14ac:dyDescent="0.2">
      <c r="X408" s="2"/>
      <c r="Y408" s="2"/>
      <c r="AI408" s="2"/>
      <c r="AJ408" s="2"/>
      <c r="AK408" s="12"/>
    </row>
    <row r="409" spans="24:37" ht="15.75" customHeight="1" x14ac:dyDescent="0.2">
      <c r="X409" s="2"/>
      <c r="Y409" s="2"/>
      <c r="AI409" s="2"/>
      <c r="AJ409" s="2"/>
      <c r="AK409" s="12"/>
    </row>
    <row r="410" spans="24:37" ht="15.75" customHeight="1" x14ac:dyDescent="0.2">
      <c r="X410" s="2"/>
      <c r="Y410" s="2"/>
      <c r="AI410" s="2"/>
      <c r="AJ410" s="2"/>
      <c r="AK410" s="12"/>
    </row>
    <row r="411" spans="24:37" ht="15.75" customHeight="1" x14ac:dyDescent="0.2">
      <c r="X411" s="2"/>
      <c r="Y411" s="2"/>
      <c r="AI411" s="2"/>
      <c r="AJ411" s="2"/>
      <c r="AK411" s="12"/>
    </row>
    <row r="412" spans="24:37" ht="15.75" customHeight="1" x14ac:dyDescent="0.2">
      <c r="X412" s="2"/>
      <c r="Y412" s="2"/>
      <c r="AI412" s="2"/>
      <c r="AJ412" s="2"/>
      <c r="AK412" s="12"/>
    </row>
    <row r="413" spans="24:37" ht="15.75" customHeight="1" x14ac:dyDescent="0.2">
      <c r="X413" s="2"/>
      <c r="Y413" s="2"/>
      <c r="AI413" s="2"/>
      <c r="AJ413" s="2"/>
      <c r="AK413" s="12"/>
    </row>
    <row r="414" spans="24:37" ht="15.75" customHeight="1" x14ac:dyDescent="0.2">
      <c r="X414" s="2"/>
      <c r="Y414" s="2"/>
      <c r="AI414" s="2"/>
      <c r="AJ414" s="2"/>
      <c r="AK414" s="12"/>
    </row>
    <row r="415" spans="24:37" ht="15.75" customHeight="1" x14ac:dyDescent="0.2">
      <c r="X415" s="2"/>
      <c r="Y415" s="2"/>
      <c r="AI415" s="2"/>
      <c r="AJ415" s="2"/>
      <c r="AK415" s="12"/>
    </row>
    <row r="416" spans="24:37" ht="15.75" customHeight="1" x14ac:dyDescent="0.2">
      <c r="X416" s="2"/>
      <c r="Y416" s="2"/>
      <c r="AI416" s="2"/>
      <c r="AJ416" s="2"/>
      <c r="AK416" s="12"/>
    </row>
    <row r="417" spans="24:37" ht="15.75" customHeight="1" x14ac:dyDescent="0.2">
      <c r="X417" s="2"/>
      <c r="Y417" s="2"/>
      <c r="AI417" s="2"/>
      <c r="AJ417" s="2"/>
      <c r="AK417" s="12"/>
    </row>
    <row r="418" spans="24:37" ht="15.75" customHeight="1" x14ac:dyDescent="0.2">
      <c r="X418" s="2"/>
      <c r="Y418" s="2"/>
      <c r="AI418" s="2"/>
      <c r="AJ418" s="2"/>
      <c r="AK418" s="12"/>
    </row>
    <row r="419" spans="24:37" ht="15.75" customHeight="1" x14ac:dyDescent="0.2">
      <c r="X419" s="2"/>
      <c r="Y419" s="2"/>
      <c r="AI419" s="2"/>
      <c r="AJ419" s="2"/>
      <c r="AK419" s="12"/>
    </row>
    <row r="420" spans="24:37" ht="15.75" customHeight="1" x14ac:dyDescent="0.2">
      <c r="X420" s="2"/>
      <c r="Y420" s="2"/>
      <c r="AI420" s="2"/>
      <c r="AJ420" s="2"/>
      <c r="AK420" s="12"/>
    </row>
    <row r="421" spans="24:37" ht="15.75" customHeight="1" x14ac:dyDescent="0.2">
      <c r="X421" s="2"/>
      <c r="Y421" s="2"/>
      <c r="AI421" s="2"/>
      <c r="AJ421" s="2"/>
      <c r="AK421" s="12"/>
    </row>
    <row r="422" spans="24:37" ht="15.75" customHeight="1" x14ac:dyDescent="0.2">
      <c r="X422" s="2"/>
      <c r="Y422" s="2"/>
      <c r="AI422" s="2"/>
      <c r="AJ422" s="2"/>
      <c r="AK422" s="12"/>
    </row>
    <row r="423" spans="24:37" ht="15.75" customHeight="1" x14ac:dyDescent="0.2">
      <c r="X423" s="2"/>
      <c r="Y423" s="2"/>
      <c r="AI423" s="2"/>
      <c r="AJ423" s="2"/>
      <c r="AK423" s="12"/>
    </row>
    <row r="424" spans="24:37" ht="15.75" customHeight="1" x14ac:dyDescent="0.2">
      <c r="X424" s="2"/>
      <c r="Y424" s="2"/>
      <c r="AI424" s="2"/>
      <c r="AJ424" s="2"/>
      <c r="AK424" s="12"/>
    </row>
    <row r="425" spans="24:37" ht="15.75" customHeight="1" x14ac:dyDescent="0.2">
      <c r="X425" s="2"/>
      <c r="Y425" s="2"/>
      <c r="AI425" s="2"/>
      <c r="AJ425" s="2"/>
      <c r="AK425" s="12"/>
    </row>
    <row r="426" spans="24:37" ht="15.75" customHeight="1" x14ac:dyDescent="0.2">
      <c r="X426" s="2"/>
      <c r="Y426" s="2"/>
      <c r="AI426" s="2"/>
      <c r="AJ426" s="2"/>
      <c r="AK426" s="12"/>
    </row>
    <row r="427" spans="24:37" ht="15.75" customHeight="1" x14ac:dyDescent="0.2">
      <c r="X427" s="2"/>
      <c r="Y427" s="2"/>
      <c r="AI427" s="2"/>
      <c r="AJ427" s="2"/>
      <c r="AK427" s="12"/>
    </row>
    <row r="428" spans="24:37" ht="15.75" customHeight="1" x14ac:dyDescent="0.2">
      <c r="X428" s="2"/>
      <c r="Y428" s="2"/>
      <c r="AI428" s="2"/>
      <c r="AJ428" s="2"/>
      <c r="AK428" s="12"/>
    </row>
    <row r="429" spans="24:37" ht="15.75" customHeight="1" x14ac:dyDescent="0.2">
      <c r="X429" s="2"/>
      <c r="Y429" s="2"/>
      <c r="AI429" s="2"/>
      <c r="AJ429" s="2"/>
      <c r="AK429" s="12"/>
    </row>
    <row r="430" spans="24:37" ht="15.75" customHeight="1" x14ac:dyDescent="0.2">
      <c r="X430" s="2"/>
      <c r="Y430" s="2"/>
      <c r="AI430" s="2"/>
      <c r="AJ430" s="2"/>
      <c r="AK430" s="12"/>
    </row>
    <row r="431" spans="24:37" ht="15.75" customHeight="1" x14ac:dyDescent="0.2">
      <c r="X431" s="2"/>
      <c r="Y431" s="2"/>
      <c r="AI431" s="2"/>
      <c r="AJ431" s="2"/>
      <c r="AK431" s="12"/>
    </row>
    <row r="432" spans="24:37" ht="15.75" customHeight="1" x14ac:dyDescent="0.2">
      <c r="X432" s="2"/>
      <c r="Y432" s="2"/>
      <c r="AI432" s="2"/>
      <c r="AJ432" s="2"/>
      <c r="AK432" s="12"/>
    </row>
    <row r="433" spans="24:37" ht="15.75" customHeight="1" x14ac:dyDescent="0.2">
      <c r="X433" s="2"/>
      <c r="Y433" s="2"/>
      <c r="AI433" s="2"/>
      <c r="AJ433" s="2"/>
      <c r="AK433" s="12"/>
    </row>
    <row r="434" spans="24:37" ht="15.75" customHeight="1" x14ac:dyDescent="0.2">
      <c r="X434" s="2"/>
      <c r="Y434" s="2"/>
      <c r="AI434" s="2"/>
      <c r="AJ434" s="2"/>
      <c r="AK434" s="12"/>
    </row>
    <row r="435" spans="24:37" ht="15.75" customHeight="1" x14ac:dyDescent="0.2">
      <c r="X435" s="2"/>
      <c r="Y435" s="2"/>
      <c r="AI435" s="2"/>
      <c r="AJ435" s="2"/>
      <c r="AK435" s="12"/>
    </row>
    <row r="436" spans="24:37" ht="15.75" customHeight="1" x14ac:dyDescent="0.2">
      <c r="X436" s="2"/>
      <c r="Y436" s="2"/>
      <c r="AI436" s="2"/>
      <c r="AJ436" s="2"/>
      <c r="AK436" s="12"/>
    </row>
    <row r="437" spans="24:37" ht="15.75" customHeight="1" x14ac:dyDescent="0.2">
      <c r="X437" s="2"/>
      <c r="Y437" s="2"/>
      <c r="AI437" s="2"/>
      <c r="AJ437" s="2"/>
      <c r="AK437" s="12"/>
    </row>
    <row r="438" spans="24:37" ht="15.75" customHeight="1" x14ac:dyDescent="0.2">
      <c r="X438" s="2"/>
      <c r="Y438" s="2"/>
      <c r="AI438" s="2"/>
      <c r="AJ438" s="2"/>
      <c r="AK438" s="12"/>
    </row>
    <row r="439" spans="24:37" ht="15.75" customHeight="1" x14ac:dyDescent="0.2">
      <c r="X439" s="2"/>
      <c r="Y439" s="2"/>
      <c r="AI439" s="2"/>
      <c r="AJ439" s="2"/>
      <c r="AK439" s="12"/>
    </row>
    <row r="440" spans="24:37" ht="15.75" customHeight="1" x14ac:dyDescent="0.2">
      <c r="X440" s="2"/>
      <c r="Y440" s="2"/>
      <c r="AI440" s="2"/>
      <c r="AJ440" s="2"/>
      <c r="AK440" s="12"/>
    </row>
    <row r="441" spans="24:37" ht="15.75" customHeight="1" x14ac:dyDescent="0.2">
      <c r="X441" s="2"/>
      <c r="Y441" s="2"/>
      <c r="AI441" s="2"/>
      <c r="AJ441" s="2"/>
      <c r="AK441" s="12"/>
    </row>
    <row r="442" spans="24:37" ht="15.75" customHeight="1" x14ac:dyDescent="0.2">
      <c r="X442" s="2"/>
      <c r="Y442" s="2"/>
      <c r="AI442" s="2"/>
      <c r="AJ442" s="2"/>
      <c r="AK442" s="12"/>
    </row>
    <row r="443" spans="24:37" ht="15.75" customHeight="1" x14ac:dyDescent="0.2">
      <c r="X443" s="2"/>
      <c r="Y443" s="2"/>
      <c r="AI443" s="2"/>
      <c r="AJ443" s="2"/>
      <c r="AK443" s="12"/>
    </row>
    <row r="444" spans="24:37" ht="15.75" customHeight="1" x14ac:dyDescent="0.2">
      <c r="X444" s="2"/>
      <c r="Y444" s="2"/>
      <c r="AI444" s="2"/>
      <c r="AJ444" s="2"/>
      <c r="AK444" s="12"/>
    </row>
    <row r="445" spans="24:37" ht="15.75" customHeight="1" x14ac:dyDescent="0.2">
      <c r="X445" s="2"/>
      <c r="Y445" s="2"/>
      <c r="AI445" s="2"/>
      <c r="AJ445" s="2"/>
      <c r="AK445" s="12"/>
    </row>
    <row r="446" spans="24:37" ht="15.75" customHeight="1" x14ac:dyDescent="0.2">
      <c r="X446" s="2"/>
      <c r="Y446" s="2"/>
      <c r="AI446" s="2"/>
      <c r="AJ446" s="2"/>
      <c r="AK446" s="12"/>
    </row>
    <row r="447" spans="24:37" ht="15.75" customHeight="1" x14ac:dyDescent="0.2">
      <c r="X447" s="2"/>
      <c r="Y447" s="2"/>
      <c r="AI447" s="2"/>
      <c r="AJ447" s="2"/>
      <c r="AK447" s="12"/>
    </row>
    <row r="448" spans="24:37" ht="15.75" customHeight="1" x14ac:dyDescent="0.2">
      <c r="X448" s="2"/>
      <c r="Y448" s="2"/>
      <c r="AI448" s="2"/>
      <c r="AJ448" s="2"/>
      <c r="AK448" s="12"/>
    </row>
    <row r="449" spans="24:37" ht="15.75" customHeight="1" x14ac:dyDescent="0.2">
      <c r="X449" s="2"/>
      <c r="Y449" s="2"/>
      <c r="AI449" s="2"/>
      <c r="AJ449" s="2"/>
      <c r="AK449" s="12"/>
    </row>
    <row r="450" spans="24:37" ht="15.75" customHeight="1" x14ac:dyDescent="0.2">
      <c r="X450" s="2"/>
      <c r="Y450" s="2"/>
      <c r="AI450" s="2"/>
      <c r="AJ450" s="2"/>
      <c r="AK450" s="12"/>
    </row>
    <row r="451" spans="24:37" ht="15.75" customHeight="1" x14ac:dyDescent="0.2">
      <c r="X451" s="2"/>
      <c r="Y451" s="2"/>
      <c r="AI451" s="2"/>
      <c r="AJ451" s="2"/>
      <c r="AK451" s="12"/>
    </row>
    <row r="452" spans="24:37" ht="15.75" customHeight="1" x14ac:dyDescent="0.2">
      <c r="X452" s="2"/>
      <c r="Y452" s="2"/>
      <c r="AI452" s="2"/>
      <c r="AJ452" s="2"/>
      <c r="AK452" s="12"/>
    </row>
    <row r="453" spans="24:37" ht="15.75" customHeight="1" x14ac:dyDescent="0.2">
      <c r="X453" s="2"/>
      <c r="Y453" s="2"/>
      <c r="AI453" s="2"/>
      <c r="AJ453" s="2"/>
      <c r="AK453" s="12"/>
    </row>
    <row r="454" spans="24:37" ht="15.75" customHeight="1" x14ac:dyDescent="0.2">
      <c r="X454" s="2"/>
      <c r="Y454" s="2"/>
      <c r="AI454" s="2"/>
      <c r="AJ454" s="2"/>
      <c r="AK454" s="12"/>
    </row>
    <row r="455" spans="24:37" ht="15.75" customHeight="1" x14ac:dyDescent="0.2">
      <c r="X455" s="2"/>
      <c r="Y455" s="2"/>
      <c r="AI455" s="2"/>
      <c r="AJ455" s="2"/>
      <c r="AK455" s="12"/>
    </row>
    <row r="456" spans="24:37" ht="15.75" customHeight="1" x14ac:dyDescent="0.2">
      <c r="X456" s="2"/>
      <c r="Y456" s="2"/>
      <c r="AI456" s="2"/>
      <c r="AJ456" s="2"/>
      <c r="AK456" s="12"/>
    </row>
    <row r="457" spans="24:37" ht="15.75" customHeight="1" x14ac:dyDescent="0.2">
      <c r="X457" s="2"/>
      <c r="Y457" s="2"/>
      <c r="AI457" s="2"/>
      <c r="AJ457" s="2"/>
      <c r="AK457" s="12"/>
    </row>
    <row r="458" spans="24:37" ht="15.75" customHeight="1" x14ac:dyDescent="0.2">
      <c r="X458" s="2"/>
      <c r="Y458" s="2"/>
      <c r="AI458" s="2"/>
      <c r="AJ458" s="2"/>
      <c r="AK458" s="12"/>
    </row>
    <row r="459" spans="24:37" ht="15.75" customHeight="1" x14ac:dyDescent="0.2">
      <c r="X459" s="2"/>
      <c r="Y459" s="2"/>
      <c r="AI459" s="2"/>
      <c r="AJ459" s="2"/>
      <c r="AK459" s="12"/>
    </row>
    <row r="460" spans="24:37" ht="15.75" customHeight="1" x14ac:dyDescent="0.2">
      <c r="X460" s="2"/>
      <c r="Y460" s="2"/>
      <c r="AI460" s="2"/>
      <c r="AJ460" s="2"/>
      <c r="AK460" s="12"/>
    </row>
    <row r="461" spans="24:37" ht="15.75" customHeight="1" x14ac:dyDescent="0.2">
      <c r="X461" s="2"/>
      <c r="Y461" s="2"/>
      <c r="AI461" s="2"/>
      <c r="AJ461" s="2"/>
      <c r="AK461" s="12"/>
    </row>
    <row r="462" spans="24:37" ht="15.75" customHeight="1" x14ac:dyDescent="0.2">
      <c r="X462" s="2"/>
      <c r="Y462" s="2"/>
      <c r="AI462" s="2"/>
      <c r="AJ462" s="2"/>
      <c r="AK462" s="12"/>
    </row>
    <row r="463" spans="24:37" ht="15.75" customHeight="1" x14ac:dyDescent="0.2">
      <c r="X463" s="2"/>
      <c r="Y463" s="2"/>
      <c r="AI463" s="2"/>
      <c r="AJ463" s="2"/>
      <c r="AK463" s="12"/>
    </row>
    <row r="464" spans="24:37" ht="15.75" customHeight="1" x14ac:dyDescent="0.2">
      <c r="X464" s="2"/>
      <c r="Y464" s="2"/>
      <c r="AI464" s="2"/>
      <c r="AJ464" s="2"/>
      <c r="AK464" s="12"/>
    </row>
    <row r="465" spans="24:37" ht="15.75" customHeight="1" x14ac:dyDescent="0.2">
      <c r="X465" s="2"/>
      <c r="Y465" s="2"/>
      <c r="AI465" s="2"/>
      <c r="AJ465" s="2"/>
      <c r="AK465" s="12"/>
    </row>
    <row r="466" spans="24:37" ht="15.75" customHeight="1" x14ac:dyDescent="0.2">
      <c r="X466" s="2"/>
      <c r="Y466" s="2"/>
      <c r="AI466" s="2"/>
      <c r="AJ466" s="2"/>
      <c r="AK466" s="12"/>
    </row>
    <row r="467" spans="24:37" ht="15.75" customHeight="1" x14ac:dyDescent="0.2">
      <c r="X467" s="2"/>
      <c r="Y467" s="2"/>
      <c r="AI467" s="2"/>
      <c r="AJ467" s="2"/>
      <c r="AK467" s="12"/>
    </row>
    <row r="468" spans="24:37" ht="15.75" customHeight="1" x14ac:dyDescent="0.2">
      <c r="X468" s="2"/>
      <c r="Y468" s="2"/>
      <c r="AI468" s="2"/>
      <c r="AJ468" s="2"/>
      <c r="AK468" s="12"/>
    </row>
    <row r="469" spans="24:37" ht="15.75" customHeight="1" x14ac:dyDescent="0.2">
      <c r="X469" s="2"/>
      <c r="Y469" s="2"/>
      <c r="AI469" s="2"/>
      <c r="AJ469" s="2"/>
      <c r="AK469" s="12"/>
    </row>
    <row r="470" spans="24:37" ht="15.75" customHeight="1" x14ac:dyDescent="0.2">
      <c r="X470" s="2"/>
      <c r="Y470" s="2"/>
      <c r="AI470" s="2"/>
      <c r="AJ470" s="2"/>
      <c r="AK470" s="12"/>
    </row>
    <row r="471" spans="24:37" ht="15.75" customHeight="1" x14ac:dyDescent="0.2">
      <c r="X471" s="2"/>
      <c r="Y471" s="2"/>
      <c r="AI471" s="2"/>
      <c r="AJ471" s="2"/>
      <c r="AK471" s="12"/>
    </row>
    <row r="472" spans="24:37" ht="15.75" customHeight="1" x14ac:dyDescent="0.2">
      <c r="X472" s="2"/>
      <c r="Y472" s="2"/>
      <c r="AI472" s="2"/>
      <c r="AJ472" s="2"/>
      <c r="AK472" s="12"/>
    </row>
    <row r="473" spans="24:37" ht="15.75" customHeight="1" x14ac:dyDescent="0.2">
      <c r="X473" s="2"/>
      <c r="Y473" s="2"/>
      <c r="AI473" s="2"/>
      <c r="AJ473" s="2"/>
      <c r="AK473" s="12"/>
    </row>
    <row r="474" spans="24:37" ht="15.75" customHeight="1" x14ac:dyDescent="0.2">
      <c r="X474" s="2"/>
      <c r="Y474" s="2"/>
      <c r="AI474" s="2"/>
      <c r="AJ474" s="2"/>
      <c r="AK474" s="12"/>
    </row>
    <row r="475" spans="24:37" ht="15.75" customHeight="1" x14ac:dyDescent="0.2">
      <c r="X475" s="2"/>
      <c r="Y475" s="2"/>
      <c r="AI475" s="2"/>
      <c r="AJ475" s="2"/>
      <c r="AK475" s="12"/>
    </row>
    <row r="476" spans="24:37" ht="15.75" customHeight="1" x14ac:dyDescent="0.2">
      <c r="X476" s="2"/>
      <c r="Y476" s="2"/>
      <c r="AI476" s="2"/>
      <c r="AJ476" s="2"/>
      <c r="AK476" s="12"/>
    </row>
    <row r="477" spans="24:37" ht="15.75" customHeight="1" x14ac:dyDescent="0.2">
      <c r="X477" s="2"/>
      <c r="Y477" s="2"/>
      <c r="AI477" s="2"/>
      <c r="AJ477" s="2"/>
      <c r="AK477" s="12"/>
    </row>
    <row r="478" spans="24:37" ht="15.75" customHeight="1" x14ac:dyDescent="0.2">
      <c r="X478" s="2"/>
      <c r="Y478" s="2"/>
      <c r="AI478" s="2"/>
      <c r="AJ478" s="2"/>
      <c r="AK478" s="12"/>
    </row>
    <row r="479" spans="24:37" ht="15.75" customHeight="1" x14ac:dyDescent="0.2">
      <c r="X479" s="2"/>
      <c r="Y479" s="2"/>
      <c r="AI479" s="2"/>
      <c r="AJ479" s="2"/>
      <c r="AK479" s="12"/>
    </row>
    <row r="480" spans="24:37" ht="15.75" customHeight="1" x14ac:dyDescent="0.2">
      <c r="X480" s="2"/>
      <c r="Y480" s="2"/>
      <c r="AI480" s="2"/>
      <c r="AJ480" s="2"/>
      <c r="AK480" s="12"/>
    </row>
    <row r="481" spans="24:37" ht="15.75" customHeight="1" x14ac:dyDescent="0.2">
      <c r="X481" s="2"/>
      <c r="Y481" s="2"/>
      <c r="AI481" s="2"/>
      <c r="AJ481" s="2"/>
      <c r="AK481" s="12"/>
    </row>
    <row r="482" spans="24:37" ht="15.75" customHeight="1" x14ac:dyDescent="0.2">
      <c r="X482" s="2"/>
      <c r="Y482" s="2"/>
      <c r="AI482" s="2"/>
      <c r="AJ482" s="2"/>
      <c r="AK482" s="12"/>
    </row>
    <row r="483" spans="24:37" ht="15.75" customHeight="1" x14ac:dyDescent="0.2">
      <c r="X483" s="2"/>
      <c r="Y483" s="2"/>
      <c r="AI483" s="2"/>
      <c r="AJ483" s="2"/>
      <c r="AK483" s="12"/>
    </row>
    <row r="484" spans="24:37" ht="15.75" customHeight="1" x14ac:dyDescent="0.2">
      <c r="X484" s="2"/>
      <c r="Y484" s="2"/>
      <c r="AI484" s="2"/>
      <c r="AJ484" s="2"/>
      <c r="AK484" s="12"/>
    </row>
    <row r="485" spans="24:37" ht="15.75" customHeight="1" x14ac:dyDescent="0.2">
      <c r="X485" s="2"/>
      <c r="Y485" s="2"/>
      <c r="AI485" s="2"/>
      <c r="AJ485" s="2"/>
      <c r="AK485" s="12"/>
    </row>
    <row r="486" spans="24:37" ht="15.75" customHeight="1" x14ac:dyDescent="0.2">
      <c r="X486" s="2"/>
      <c r="Y486" s="2"/>
      <c r="AI486" s="2"/>
      <c r="AJ486" s="2"/>
      <c r="AK486" s="12"/>
    </row>
    <row r="487" spans="24:37" ht="15.75" customHeight="1" x14ac:dyDescent="0.2">
      <c r="X487" s="2"/>
      <c r="Y487" s="2"/>
      <c r="AI487" s="2"/>
      <c r="AJ487" s="2"/>
      <c r="AK487" s="12"/>
    </row>
    <row r="488" spans="24:37" ht="15.75" customHeight="1" x14ac:dyDescent="0.2">
      <c r="X488" s="2"/>
      <c r="Y488" s="2"/>
      <c r="AI488" s="2"/>
      <c r="AJ488" s="2"/>
      <c r="AK488" s="12"/>
    </row>
    <row r="489" spans="24:37" ht="15.75" customHeight="1" x14ac:dyDescent="0.2">
      <c r="X489" s="2"/>
      <c r="Y489" s="2"/>
      <c r="AI489" s="2"/>
      <c r="AJ489" s="2"/>
      <c r="AK489" s="12"/>
    </row>
    <row r="490" spans="24:37" ht="15.75" customHeight="1" x14ac:dyDescent="0.2">
      <c r="X490" s="2"/>
      <c r="Y490" s="2"/>
      <c r="AI490" s="2"/>
      <c r="AJ490" s="2"/>
      <c r="AK490" s="12"/>
    </row>
    <row r="491" spans="24:37" ht="15.75" customHeight="1" x14ac:dyDescent="0.2">
      <c r="X491" s="2"/>
      <c r="Y491" s="2"/>
      <c r="AI491" s="2"/>
      <c r="AJ491" s="2"/>
      <c r="AK491" s="12"/>
    </row>
    <row r="492" spans="24:37" ht="15.75" customHeight="1" x14ac:dyDescent="0.2">
      <c r="X492" s="2"/>
      <c r="Y492" s="2"/>
      <c r="AI492" s="2"/>
      <c r="AJ492" s="2"/>
      <c r="AK492" s="12"/>
    </row>
    <row r="493" spans="24:37" ht="15.75" customHeight="1" x14ac:dyDescent="0.2">
      <c r="X493" s="2"/>
      <c r="Y493" s="2"/>
      <c r="AI493" s="2"/>
      <c r="AJ493" s="2"/>
      <c r="AK493" s="12"/>
    </row>
    <row r="494" spans="24:37" ht="15.75" customHeight="1" x14ac:dyDescent="0.2">
      <c r="X494" s="2"/>
      <c r="Y494" s="2"/>
      <c r="AI494" s="2"/>
      <c r="AJ494" s="2"/>
      <c r="AK494" s="12"/>
    </row>
    <row r="495" spans="24:37" ht="15.75" customHeight="1" x14ac:dyDescent="0.2">
      <c r="X495" s="2"/>
      <c r="Y495" s="2"/>
      <c r="AI495" s="2"/>
      <c r="AJ495" s="2"/>
      <c r="AK495" s="12"/>
    </row>
    <row r="496" spans="24:37" ht="15.75" customHeight="1" x14ac:dyDescent="0.2">
      <c r="X496" s="2"/>
      <c r="Y496" s="2"/>
      <c r="AI496" s="2"/>
      <c r="AJ496" s="2"/>
      <c r="AK496" s="12"/>
    </row>
    <row r="497" spans="24:37" ht="15.75" customHeight="1" x14ac:dyDescent="0.2">
      <c r="X497" s="2"/>
      <c r="Y497" s="2"/>
      <c r="AI497" s="2"/>
      <c r="AJ497" s="2"/>
      <c r="AK497" s="12"/>
    </row>
    <row r="498" spans="24:37" ht="15.75" customHeight="1" x14ac:dyDescent="0.2">
      <c r="X498" s="2"/>
      <c r="Y498" s="2"/>
      <c r="AI498" s="2"/>
      <c r="AJ498" s="2"/>
      <c r="AK498" s="12"/>
    </row>
    <row r="499" spans="24:37" ht="15.75" customHeight="1" x14ac:dyDescent="0.2">
      <c r="X499" s="2"/>
      <c r="Y499" s="2"/>
      <c r="AI499" s="2"/>
      <c r="AJ499" s="2"/>
      <c r="AK499" s="12"/>
    </row>
    <row r="500" spans="24:37" ht="15.75" customHeight="1" x14ac:dyDescent="0.2">
      <c r="X500" s="2"/>
      <c r="Y500" s="2"/>
      <c r="AI500" s="2"/>
      <c r="AJ500" s="2"/>
      <c r="AK500" s="12"/>
    </row>
    <row r="501" spans="24:37" ht="15.75" customHeight="1" x14ac:dyDescent="0.2">
      <c r="X501" s="2"/>
      <c r="Y501" s="2"/>
      <c r="AI501" s="2"/>
      <c r="AJ501" s="2"/>
      <c r="AK501" s="12"/>
    </row>
    <row r="502" spans="24:37" ht="15.75" customHeight="1" x14ac:dyDescent="0.2">
      <c r="X502" s="2"/>
      <c r="Y502" s="2"/>
      <c r="AI502" s="2"/>
      <c r="AJ502" s="2"/>
      <c r="AK502" s="12"/>
    </row>
    <row r="503" spans="24:37" ht="15.75" customHeight="1" x14ac:dyDescent="0.2">
      <c r="X503" s="2"/>
      <c r="Y503" s="2"/>
      <c r="AI503" s="2"/>
      <c r="AJ503" s="2"/>
      <c r="AK503" s="12"/>
    </row>
    <row r="504" spans="24:37" ht="15.75" customHeight="1" x14ac:dyDescent="0.2">
      <c r="X504" s="2"/>
      <c r="Y504" s="2"/>
      <c r="AI504" s="2"/>
      <c r="AJ504" s="2"/>
      <c r="AK504" s="12"/>
    </row>
    <row r="505" spans="24:37" ht="15.75" customHeight="1" x14ac:dyDescent="0.2">
      <c r="X505" s="2"/>
      <c r="Y505" s="2"/>
      <c r="AI505" s="2"/>
      <c r="AJ505" s="2"/>
      <c r="AK505" s="12"/>
    </row>
    <row r="506" spans="24:37" ht="15.75" customHeight="1" x14ac:dyDescent="0.2">
      <c r="X506" s="2"/>
      <c r="Y506" s="2"/>
      <c r="AI506" s="2"/>
      <c r="AJ506" s="2"/>
      <c r="AK506" s="12"/>
    </row>
    <row r="507" spans="24:37" ht="15.75" customHeight="1" x14ac:dyDescent="0.2">
      <c r="X507" s="2"/>
      <c r="Y507" s="2"/>
      <c r="AI507" s="2"/>
      <c r="AJ507" s="2"/>
      <c r="AK507" s="12"/>
    </row>
    <row r="508" spans="24:37" ht="15.75" customHeight="1" x14ac:dyDescent="0.2">
      <c r="X508" s="2"/>
      <c r="Y508" s="2"/>
      <c r="AI508" s="2"/>
      <c r="AJ508" s="2"/>
      <c r="AK508" s="12"/>
    </row>
    <row r="509" spans="24:37" ht="15.75" customHeight="1" x14ac:dyDescent="0.2">
      <c r="X509" s="2"/>
      <c r="Y509" s="2"/>
      <c r="AI509" s="2"/>
      <c r="AJ509" s="2"/>
      <c r="AK509" s="12"/>
    </row>
    <row r="510" spans="24:37" ht="15.75" customHeight="1" x14ac:dyDescent="0.2">
      <c r="X510" s="2"/>
      <c r="Y510" s="2"/>
      <c r="AI510" s="2"/>
      <c r="AJ510" s="2"/>
      <c r="AK510" s="12"/>
    </row>
    <row r="511" spans="24:37" ht="15.75" customHeight="1" x14ac:dyDescent="0.2">
      <c r="X511" s="2"/>
      <c r="Y511" s="2"/>
      <c r="AI511" s="2"/>
      <c r="AJ511" s="2"/>
      <c r="AK511" s="12"/>
    </row>
    <row r="512" spans="24:37" ht="15.75" customHeight="1" x14ac:dyDescent="0.2">
      <c r="X512" s="2"/>
      <c r="Y512" s="2"/>
      <c r="AI512" s="2"/>
      <c r="AJ512" s="2"/>
      <c r="AK512" s="12"/>
    </row>
    <row r="513" spans="24:37" ht="15.75" customHeight="1" x14ac:dyDescent="0.2">
      <c r="X513" s="2"/>
      <c r="Y513" s="2"/>
      <c r="AI513" s="2"/>
      <c r="AJ513" s="2"/>
      <c r="AK513" s="12"/>
    </row>
    <row r="514" spans="24:37" ht="15.75" customHeight="1" x14ac:dyDescent="0.2">
      <c r="X514" s="2"/>
      <c r="Y514" s="2"/>
      <c r="AI514" s="2"/>
      <c r="AJ514" s="2"/>
      <c r="AK514" s="12"/>
    </row>
    <row r="515" spans="24:37" ht="15.75" customHeight="1" x14ac:dyDescent="0.2">
      <c r="X515" s="2"/>
      <c r="Y515" s="2"/>
      <c r="AI515" s="2"/>
      <c r="AJ515" s="2"/>
      <c r="AK515" s="12"/>
    </row>
    <row r="516" spans="24:37" ht="15.75" customHeight="1" x14ac:dyDescent="0.2">
      <c r="X516" s="2"/>
      <c r="Y516" s="2"/>
      <c r="AI516" s="2"/>
      <c r="AJ516" s="2"/>
      <c r="AK516" s="12"/>
    </row>
    <row r="517" spans="24:37" ht="15.75" customHeight="1" x14ac:dyDescent="0.2">
      <c r="X517" s="2"/>
      <c r="Y517" s="2"/>
      <c r="AI517" s="2"/>
      <c r="AJ517" s="2"/>
      <c r="AK517" s="12"/>
    </row>
    <row r="518" spans="24:37" ht="15.75" customHeight="1" x14ac:dyDescent="0.2">
      <c r="X518" s="2"/>
      <c r="Y518" s="2"/>
      <c r="AI518" s="2"/>
      <c r="AJ518" s="2"/>
      <c r="AK518" s="12"/>
    </row>
    <row r="519" spans="24:37" ht="15.75" customHeight="1" x14ac:dyDescent="0.2">
      <c r="X519" s="2"/>
      <c r="Y519" s="2"/>
      <c r="AI519" s="2"/>
      <c r="AJ519" s="2"/>
      <c r="AK519" s="12"/>
    </row>
    <row r="520" spans="24:37" ht="15.75" customHeight="1" x14ac:dyDescent="0.2">
      <c r="X520" s="2"/>
      <c r="Y520" s="2"/>
      <c r="AI520" s="2"/>
      <c r="AJ520" s="2"/>
      <c r="AK520" s="12"/>
    </row>
    <row r="521" spans="24:37" ht="15.75" customHeight="1" x14ac:dyDescent="0.2">
      <c r="X521" s="2"/>
      <c r="Y521" s="2"/>
      <c r="AI521" s="2"/>
      <c r="AJ521" s="2"/>
      <c r="AK521" s="12"/>
    </row>
    <row r="522" spans="24:37" ht="15.75" customHeight="1" x14ac:dyDescent="0.2">
      <c r="X522" s="2"/>
      <c r="Y522" s="2"/>
      <c r="AI522" s="2"/>
      <c r="AJ522" s="2"/>
      <c r="AK522" s="12"/>
    </row>
    <row r="523" spans="24:37" ht="15.75" customHeight="1" x14ac:dyDescent="0.2">
      <c r="X523" s="2"/>
      <c r="Y523" s="2"/>
      <c r="AI523" s="2"/>
      <c r="AJ523" s="2"/>
      <c r="AK523" s="12"/>
    </row>
    <row r="524" spans="24:37" ht="15.75" customHeight="1" x14ac:dyDescent="0.2">
      <c r="X524" s="2"/>
      <c r="Y524" s="2"/>
      <c r="AI524" s="2"/>
      <c r="AJ524" s="2"/>
      <c r="AK524" s="12"/>
    </row>
    <row r="525" spans="24:37" ht="15.75" customHeight="1" x14ac:dyDescent="0.2">
      <c r="X525" s="2"/>
      <c r="Y525" s="2"/>
      <c r="AI525" s="2"/>
      <c r="AJ525" s="2"/>
      <c r="AK525" s="12"/>
    </row>
    <row r="526" spans="24:37" ht="15.75" customHeight="1" x14ac:dyDescent="0.2">
      <c r="X526" s="2"/>
      <c r="Y526" s="2"/>
      <c r="AI526" s="2"/>
      <c r="AJ526" s="2"/>
      <c r="AK526" s="12"/>
    </row>
    <row r="527" spans="24:37" ht="15.75" customHeight="1" x14ac:dyDescent="0.2">
      <c r="X527" s="2"/>
      <c r="Y527" s="2"/>
      <c r="AI527" s="2"/>
      <c r="AJ527" s="2"/>
      <c r="AK527" s="12"/>
    </row>
    <row r="528" spans="24:37" ht="15.75" customHeight="1" x14ac:dyDescent="0.2">
      <c r="X528" s="2"/>
      <c r="Y528" s="2"/>
      <c r="AI528" s="2"/>
      <c r="AJ528" s="2"/>
      <c r="AK528" s="12"/>
    </row>
    <row r="529" spans="24:37" ht="15.75" customHeight="1" x14ac:dyDescent="0.2">
      <c r="X529" s="2"/>
      <c r="Y529" s="2"/>
      <c r="AI529" s="2"/>
      <c r="AJ529" s="2"/>
      <c r="AK529" s="12"/>
    </row>
    <row r="530" spans="24:37" ht="15.75" customHeight="1" x14ac:dyDescent="0.2">
      <c r="X530" s="2"/>
      <c r="Y530" s="2"/>
      <c r="AI530" s="2"/>
      <c r="AJ530" s="2"/>
      <c r="AK530" s="12"/>
    </row>
    <row r="531" spans="24:37" ht="15.75" customHeight="1" x14ac:dyDescent="0.2">
      <c r="X531" s="2"/>
      <c r="Y531" s="2"/>
      <c r="AI531" s="2"/>
      <c r="AJ531" s="2"/>
      <c r="AK531" s="12"/>
    </row>
    <row r="532" spans="24:37" ht="15.75" customHeight="1" x14ac:dyDescent="0.2">
      <c r="X532" s="2"/>
      <c r="Y532" s="2"/>
      <c r="AI532" s="2"/>
      <c r="AJ532" s="2"/>
      <c r="AK532" s="12"/>
    </row>
    <row r="533" spans="24:37" ht="15.75" customHeight="1" x14ac:dyDescent="0.2">
      <c r="X533" s="2"/>
      <c r="Y533" s="2"/>
      <c r="AI533" s="2"/>
      <c r="AJ533" s="2"/>
      <c r="AK533" s="12"/>
    </row>
    <row r="534" spans="24:37" ht="15.75" customHeight="1" x14ac:dyDescent="0.2">
      <c r="X534" s="2"/>
      <c r="Y534" s="2"/>
      <c r="AI534" s="2"/>
      <c r="AJ534" s="2"/>
      <c r="AK534" s="12"/>
    </row>
    <row r="535" spans="24:37" ht="15.75" customHeight="1" x14ac:dyDescent="0.2">
      <c r="X535" s="2"/>
      <c r="Y535" s="2"/>
      <c r="AI535" s="2"/>
      <c r="AJ535" s="2"/>
      <c r="AK535" s="12"/>
    </row>
    <row r="536" spans="24:37" ht="15.75" customHeight="1" x14ac:dyDescent="0.2">
      <c r="X536" s="2"/>
      <c r="Y536" s="2"/>
      <c r="AI536" s="2"/>
      <c r="AJ536" s="2"/>
      <c r="AK536" s="12"/>
    </row>
    <row r="537" spans="24:37" ht="15.75" customHeight="1" x14ac:dyDescent="0.2">
      <c r="X537" s="2"/>
      <c r="Y537" s="2"/>
      <c r="AI537" s="2"/>
      <c r="AJ537" s="2"/>
      <c r="AK537" s="12"/>
    </row>
    <row r="538" spans="24:37" ht="15.75" customHeight="1" x14ac:dyDescent="0.2">
      <c r="X538" s="2"/>
      <c r="Y538" s="2"/>
      <c r="AI538" s="2"/>
      <c r="AJ538" s="2"/>
      <c r="AK538" s="12"/>
    </row>
    <row r="539" spans="24:37" ht="15.75" customHeight="1" x14ac:dyDescent="0.2">
      <c r="X539" s="2"/>
      <c r="Y539" s="2"/>
      <c r="AI539" s="2"/>
      <c r="AJ539" s="2"/>
      <c r="AK539" s="12"/>
    </row>
    <row r="540" spans="24:37" ht="15.75" customHeight="1" x14ac:dyDescent="0.2">
      <c r="X540" s="2"/>
      <c r="Y540" s="2"/>
      <c r="AI540" s="2"/>
      <c r="AJ540" s="2"/>
      <c r="AK540" s="12"/>
    </row>
    <row r="541" spans="24:37" ht="15.75" customHeight="1" x14ac:dyDescent="0.2">
      <c r="X541" s="2"/>
      <c r="Y541" s="2"/>
      <c r="AI541" s="2"/>
      <c r="AJ541" s="2"/>
      <c r="AK541" s="12"/>
    </row>
    <row r="542" spans="24:37" ht="15.75" customHeight="1" x14ac:dyDescent="0.2">
      <c r="X542" s="2"/>
      <c r="Y542" s="2"/>
      <c r="AI542" s="2"/>
      <c r="AJ542" s="2"/>
      <c r="AK542" s="12"/>
    </row>
    <row r="543" spans="24:37" ht="15.75" customHeight="1" x14ac:dyDescent="0.2">
      <c r="X543" s="2"/>
      <c r="Y543" s="2"/>
      <c r="AI543" s="2"/>
      <c r="AJ543" s="2"/>
      <c r="AK543" s="12"/>
    </row>
    <row r="544" spans="24:37" ht="15.75" customHeight="1" x14ac:dyDescent="0.2">
      <c r="X544" s="2"/>
      <c r="Y544" s="2"/>
      <c r="AI544" s="2"/>
      <c r="AJ544" s="2"/>
      <c r="AK544" s="12"/>
    </row>
    <row r="545" spans="24:37" ht="15.75" customHeight="1" x14ac:dyDescent="0.2">
      <c r="X545" s="2"/>
      <c r="Y545" s="2"/>
      <c r="AI545" s="2"/>
      <c r="AJ545" s="2"/>
      <c r="AK545" s="12"/>
    </row>
    <row r="546" spans="24:37" ht="15.75" customHeight="1" x14ac:dyDescent="0.2">
      <c r="X546" s="2"/>
      <c r="Y546" s="2"/>
      <c r="AI546" s="2"/>
      <c r="AJ546" s="2"/>
      <c r="AK546" s="12"/>
    </row>
    <row r="547" spans="24:37" ht="15.75" customHeight="1" x14ac:dyDescent="0.2">
      <c r="X547" s="2"/>
      <c r="Y547" s="2"/>
      <c r="AI547" s="2"/>
      <c r="AJ547" s="2"/>
      <c r="AK547" s="12"/>
    </row>
    <row r="548" spans="24:37" ht="15.75" customHeight="1" x14ac:dyDescent="0.2">
      <c r="X548" s="2"/>
      <c r="Y548" s="2"/>
      <c r="AI548" s="2"/>
      <c r="AJ548" s="2"/>
      <c r="AK548" s="12"/>
    </row>
    <row r="549" spans="24:37" ht="15.75" customHeight="1" x14ac:dyDescent="0.2">
      <c r="X549" s="2"/>
      <c r="Y549" s="2"/>
      <c r="AI549" s="2"/>
      <c r="AJ549" s="2"/>
      <c r="AK549" s="12"/>
    </row>
    <row r="550" spans="24:37" ht="15.75" customHeight="1" x14ac:dyDescent="0.2">
      <c r="X550" s="2"/>
      <c r="Y550" s="2"/>
      <c r="AI550" s="2"/>
      <c r="AJ550" s="2"/>
      <c r="AK550" s="12"/>
    </row>
    <row r="551" spans="24:37" ht="15.75" customHeight="1" x14ac:dyDescent="0.2">
      <c r="X551" s="2"/>
      <c r="Y551" s="2"/>
      <c r="AI551" s="2"/>
      <c r="AJ551" s="2"/>
      <c r="AK551" s="12"/>
    </row>
    <row r="552" spans="24:37" ht="15.75" customHeight="1" x14ac:dyDescent="0.2">
      <c r="X552" s="2"/>
      <c r="Y552" s="2"/>
      <c r="AI552" s="2"/>
      <c r="AJ552" s="2"/>
      <c r="AK552" s="12"/>
    </row>
    <row r="553" spans="24:37" ht="15.75" customHeight="1" x14ac:dyDescent="0.2">
      <c r="X553" s="2"/>
      <c r="Y553" s="2"/>
      <c r="AI553" s="2"/>
      <c r="AJ553" s="2"/>
      <c r="AK553" s="12"/>
    </row>
    <row r="554" spans="24:37" ht="15.75" customHeight="1" x14ac:dyDescent="0.2">
      <c r="X554" s="2"/>
      <c r="Y554" s="2"/>
      <c r="AI554" s="2"/>
      <c r="AJ554" s="2"/>
      <c r="AK554" s="12"/>
    </row>
    <row r="555" spans="24:37" ht="15.75" customHeight="1" x14ac:dyDescent="0.2">
      <c r="X555" s="2"/>
      <c r="Y555" s="2"/>
      <c r="AI555" s="2"/>
      <c r="AJ555" s="2"/>
      <c r="AK555" s="12"/>
    </row>
    <row r="556" spans="24:37" ht="15.75" customHeight="1" x14ac:dyDescent="0.2">
      <c r="X556" s="2"/>
      <c r="Y556" s="2"/>
      <c r="AI556" s="2"/>
      <c r="AJ556" s="2"/>
      <c r="AK556" s="12"/>
    </row>
    <row r="557" spans="24:37" ht="15.75" customHeight="1" x14ac:dyDescent="0.2">
      <c r="X557" s="2"/>
      <c r="Y557" s="2"/>
      <c r="AI557" s="2"/>
      <c r="AJ557" s="2"/>
      <c r="AK557" s="12"/>
    </row>
    <row r="558" spans="24:37" ht="15.75" customHeight="1" x14ac:dyDescent="0.2">
      <c r="X558" s="2"/>
      <c r="Y558" s="2"/>
      <c r="AI558" s="2"/>
      <c r="AJ558" s="2"/>
      <c r="AK558" s="12"/>
    </row>
    <row r="559" spans="24:37" ht="15.75" customHeight="1" x14ac:dyDescent="0.2">
      <c r="X559" s="2"/>
      <c r="Y559" s="2"/>
      <c r="AI559" s="2"/>
      <c r="AJ559" s="2"/>
      <c r="AK559" s="12"/>
    </row>
    <row r="560" spans="24:37" ht="15.75" customHeight="1" x14ac:dyDescent="0.2">
      <c r="X560" s="2"/>
      <c r="Y560" s="2"/>
      <c r="AI560" s="2"/>
      <c r="AJ560" s="2"/>
      <c r="AK560" s="12"/>
    </row>
    <row r="561" spans="24:37" ht="15.75" customHeight="1" x14ac:dyDescent="0.2">
      <c r="X561" s="2"/>
      <c r="Y561" s="2"/>
      <c r="AI561" s="2"/>
      <c r="AJ561" s="2"/>
      <c r="AK561" s="12"/>
    </row>
    <row r="562" spans="24:37" ht="15.75" customHeight="1" x14ac:dyDescent="0.2">
      <c r="X562" s="2"/>
      <c r="Y562" s="2"/>
      <c r="AI562" s="2"/>
      <c r="AJ562" s="2"/>
      <c r="AK562" s="12"/>
    </row>
    <row r="563" spans="24:37" ht="15.75" customHeight="1" x14ac:dyDescent="0.2">
      <c r="X563" s="2"/>
      <c r="Y563" s="2"/>
      <c r="AI563" s="2"/>
      <c r="AJ563" s="2"/>
      <c r="AK563" s="12"/>
    </row>
    <row r="564" spans="24:37" ht="15.75" customHeight="1" x14ac:dyDescent="0.2">
      <c r="X564" s="2"/>
      <c r="Y564" s="2"/>
      <c r="AI564" s="2"/>
      <c r="AJ564" s="2"/>
      <c r="AK564" s="12"/>
    </row>
    <row r="565" spans="24:37" ht="15.75" customHeight="1" x14ac:dyDescent="0.2">
      <c r="X565" s="2"/>
      <c r="Y565" s="2"/>
      <c r="AI565" s="2"/>
      <c r="AJ565" s="2"/>
      <c r="AK565" s="12"/>
    </row>
    <row r="566" spans="24:37" ht="15.75" customHeight="1" x14ac:dyDescent="0.2">
      <c r="X566" s="2"/>
      <c r="Y566" s="2"/>
      <c r="AI566" s="2"/>
      <c r="AJ566" s="2"/>
      <c r="AK566" s="12"/>
    </row>
    <row r="567" spans="24:37" ht="15.75" customHeight="1" x14ac:dyDescent="0.2">
      <c r="X567" s="2"/>
      <c r="Y567" s="2"/>
      <c r="AI567" s="2"/>
      <c r="AJ567" s="2"/>
      <c r="AK567" s="12"/>
    </row>
    <row r="568" spans="24:37" ht="15.75" customHeight="1" x14ac:dyDescent="0.2">
      <c r="X568" s="2"/>
      <c r="Y568" s="2"/>
      <c r="AI568" s="2"/>
      <c r="AJ568" s="2"/>
      <c r="AK568" s="12"/>
    </row>
    <row r="569" spans="24:37" ht="15.75" customHeight="1" x14ac:dyDescent="0.2">
      <c r="X569" s="2"/>
      <c r="Y569" s="2"/>
      <c r="AI569" s="2"/>
      <c r="AJ569" s="2"/>
      <c r="AK569" s="12"/>
    </row>
    <row r="570" spans="24:37" ht="15.75" customHeight="1" x14ac:dyDescent="0.2">
      <c r="X570" s="2"/>
      <c r="Y570" s="2"/>
      <c r="AI570" s="2"/>
      <c r="AJ570" s="2"/>
      <c r="AK570" s="12"/>
    </row>
    <row r="571" spans="24:37" ht="15.75" customHeight="1" x14ac:dyDescent="0.2">
      <c r="X571" s="2"/>
      <c r="Y571" s="2"/>
      <c r="AI571" s="2"/>
      <c r="AJ571" s="2"/>
      <c r="AK571" s="12"/>
    </row>
    <row r="572" spans="24:37" ht="15.75" customHeight="1" x14ac:dyDescent="0.2">
      <c r="X572" s="2"/>
      <c r="Y572" s="2"/>
      <c r="AI572" s="2"/>
      <c r="AJ572" s="2"/>
      <c r="AK572" s="12"/>
    </row>
    <row r="573" spans="24:37" ht="15.75" customHeight="1" x14ac:dyDescent="0.2">
      <c r="X573" s="2"/>
      <c r="Y573" s="2"/>
      <c r="AI573" s="2"/>
      <c r="AJ573" s="2"/>
      <c r="AK573" s="12"/>
    </row>
    <row r="574" spans="24:37" ht="15.75" customHeight="1" x14ac:dyDescent="0.2">
      <c r="X574" s="2"/>
      <c r="Y574" s="2"/>
      <c r="AI574" s="2"/>
      <c r="AJ574" s="2"/>
      <c r="AK574" s="12"/>
    </row>
    <row r="575" spans="24:37" ht="15.75" customHeight="1" x14ac:dyDescent="0.2">
      <c r="X575" s="2"/>
      <c r="Y575" s="2"/>
      <c r="AI575" s="2"/>
      <c r="AJ575" s="2"/>
      <c r="AK575" s="12"/>
    </row>
    <row r="576" spans="24:37" ht="15.75" customHeight="1" x14ac:dyDescent="0.2">
      <c r="X576" s="2"/>
      <c r="Y576" s="2"/>
      <c r="AI576" s="2"/>
      <c r="AJ576" s="2"/>
      <c r="AK576" s="12"/>
    </row>
    <row r="577" spans="24:37" ht="15.75" customHeight="1" x14ac:dyDescent="0.2">
      <c r="X577" s="2"/>
      <c r="Y577" s="2"/>
      <c r="AI577" s="2"/>
      <c r="AJ577" s="2"/>
      <c r="AK577" s="12"/>
    </row>
    <row r="578" spans="24:37" ht="15.75" customHeight="1" x14ac:dyDescent="0.2">
      <c r="X578" s="2"/>
      <c r="Y578" s="2"/>
      <c r="AI578" s="2"/>
      <c r="AJ578" s="2"/>
      <c r="AK578" s="12"/>
    </row>
    <row r="579" spans="24:37" ht="15.75" customHeight="1" x14ac:dyDescent="0.2">
      <c r="X579" s="2"/>
      <c r="Y579" s="2"/>
      <c r="AI579" s="2"/>
      <c r="AJ579" s="2"/>
      <c r="AK579" s="12"/>
    </row>
    <row r="580" spans="24:37" ht="15.75" customHeight="1" x14ac:dyDescent="0.2">
      <c r="X580" s="2"/>
      <c r="Y580" s="2"/>
      <c r="AI580" s="2"/>
      <c r="AJ580" s="2"/>
      <c r="AK580" s="12"/>
    </row>
    <row r="581" spans="24:37" ht="15.75" customHeight="1" x14ac:dyDescent="0.2">
      <c r="X581" s="2"/>
      <c r="Y581" s="2"/>
      <c r="AI581" s="2"/>
      <c r="AJ581" s="2"/>
      <c r="AK581" s="12"/>
    </row>
    <row r="582" spans="24:37" ht="15.75" customHeight="1" x14ac:dyDescent="0.2">
      <c r="X582" s="2"/>
      <c r="Y582" s="2"/>
      <c r="AI582" s="2"/>
      <c r="AJ582" s="2"/>
      <c r="AK582" s="12"/>
    </row>
    <row r="583" spans="24:37" ht="15.75" customHeight="1" x14ac:dyDescent="0.2">
      <c r="X583" s="2"/>
      <c r="Y583" s="2"/>
      <c r="AI583" s="2"/>
      <c r="AJ583" s="2"/>
      <c r="AK583" s="12"/>
    </row>
    <row r="584" spans="24:37" ht="15.75" customHeight="1" x14ac:dyDescent="0.2">
      <c r="X584" s="2"/>
      <c r="Y584" s="2"/>
      <c r="AI584" s="2"/>
      <c r="AJ584" s="2"/>
      <c r="AK584" s="12"/>
    </row>
    <row r="585" spans="24:37" ht="15.75" customHeight="1" x14ac:dyDescent="0.2">
      <c r="X585" s="2"/>
      <c r="Y585" s="2"/>
      <c r="AI585" s="2"/>
      <c r="AJ585" s="2"/>
      <c r="AK585" s="12"/>
    </row>
    <row r="586" spans="24:37" ht="15.75" customHeight="1" x14ac:dyDescent="0.2">
      <c r="X586" s="2"/>
      <c r="Y586" s="2"/>
      <c r="AI586" s="2"/>
      <c r="AJ586" s="2"/>
      <c r="AK586" s="12"/>
    </row>
    <row r="587" spans="24:37" ht="15.75" customHeight="1" x14ac:dyDescent="0.2">
      <c r="X587" s="2"/>
      <c r="Y587" s="2"/>
      <c r="AI587" s="2"/>
      <c r="AJ587" s="2"/>
      <c r="AK587" s="12"/>
    </row>
    <row r="588" spans="24:37" ht="15.75" customHeight="1" x14ac:dyDescent="0.2">
      <c r="X588" s="2"/>
      <c r="Y588" s="2"/>
      <c r="AI588" s="2"/>
      <c r="AJ588" s="2"/>
      <c r="AK588" s="12"/>
    </row>
    <row r="589" spans="24:37" ht="15.75" customHeight="1" x14ac:dyDescent="0.2">
      <c r="X589" s="2"/>
      <c r="Y589" s="2"/>
      <c r="AI589" s="2"/>
      <c r="AJ589" s="2"/>
      <c r="AK589" s="12"/>
    </row>
    <row r="590" spans="24:37" ht="15.75" customHeight="1" x14ac:dyDescent="0.2">
      <c r="X590" s="2"/>
      <c r="Y590" s="2"/>
      <c r="AI590" s="2"/>
      <c r="AJ590" s="2"/>
      <c r="AK590" s="12"/>
    </row>
    <row r="591" spans="24:37" ht="15.75" customHeight="1" x14ac:dyDescent="0.2">
      <c r="X591" s="2"/>
      <c r="Y591" s="2"/>
      <c r="AI591" s="2"/>
      <c r="AJ591" s="2"/>
      <c r="AK591" s="12"/>
    </row>
    <row r="592" spans="24:37" ht="15.75" customHeight="1" x14ac:dyDescent="0.2">
      <c r="X592" s="2"/>
      <c r="Y592" s="2"/>
      <c r="AI592" s="2"/>
      <c r="AJ592" s="2"/>
      <c r="AK592" s="12"/>
    </row>
    <row r="593" spans="24:37" ht="15.75" customHeight="1" x14ac:dyDescent="0.2">
      <c r="X593" s="2"/>
      <c r="Y593" s="2"/>
      <c r="AI593" s="2"/>
      <c r="AJ593" s="2"/>
      <c r="AK593" s="12"/>
    </row>
    <row r="594" spans="24:37" ht="15.75" customHeight="1" x14ac:dyDescent="0.2">
      <c r="X594" s="2"/>
      <c r="Y594" s="2"/>
      <c r="AI594" s="2"/>
      <c r="AJ594" s="2"/>
      <c r="AK594" s="12"/>
    </row>
    <row r="595" spans="24:37" ht="15.75" customHeight="1" x14ac:dyDescent="0.2">
      <c r="X595" s="2"/>
      <c r="Y595" s="2"/>
      <c r="AI595" s="2"/>
      <c r="AJ595" s="2"/>
      <c r="AK595" s="12"/>
    </row>
    <row r="596" spans="24:37" ht="15.75" customHeight="1" x14ac:dyDescent="0.2">
      <c r="X596" s="2"/>
      <c r="Y596" s="2"/>
      <c r="AI596" s="2"/>
      <c r="AJ596" s="2"/>
      <c r="AK596" s="12"/>
    </row>
    <row r="597" spans="24:37" ht="15.75" customHeight="1" x14ac:dyDescent="0.2">
      <c r="X597" s="2"/>
      <c r="Y597" s="2"/>
      <c r="AI597" s="2"/>
      <c r="AJ597" s="2"/>
      <c r="AK597" s="12"/>
    </row>
    <row r="598" spans="24:37" ht="15.75" customHeight="1" x14ac:dyDescent="0.2">
      <c r="X598" s="2"/>
      <c r="Y598" s="2"/>
      <c r="AI598" s="2"/>
      <c r="AJ598" s="2"/>
      <c r="AK598" s="12"/>
    </row>
    <row r="599" spans="24:37" ht="15.75" customHeight="1" x14ac:dyDescent="0.2">
      <c r="X599" s="2"/>
      <c r="Y599" s="2"/>
      <c r="AI599" s="2"/>
      <c r="AJ599" s="2"/>
      <c r="AK599" s="12"/>
    </row>
    <row r="600" spans="24:37" ht="15.75" customHeight="1" x14ac:dyDescent="0.2">
      <c r="X600" s="2"/>
      <c r="Y600" s="2"/>
      <c r="AI600" s="2"/>
      <c r="AJ600" s="2"/>
      <c r="AK600" s="12"/>
    </row>
    <row r="601" spans="24:37" ht="15.75" customHeight="1" x14ac:dyDescent="0.2">
      <c r="X601" s="2"/>
      <c r="Y601" s="2"/>
      <c r="AI601" s="2"/>
      <c r="AJ601" s="2"/>
      <c r="AK601" s="12"/>
    </row>
    <row r="602" spans="24:37" ht="15.75" customHeight="1" x14ac:dyDescent="0.2">
      <c r="X602" s="2"/>
      <c r="Y602" s="2"/>
      <c r="AI602" s="2"/>
      <c r="AJ602" s="2"/>
      <c r="AK602" s="12"/>
    </row>
    <row r="603" spans="24:37" ht="15.75" customHeight="1" x14ac:dyDescent="0.2">
      <c r="X603" s="2"/>
      <c r="Y603" s="2"/>
      <c r="AI603" s="2"/>
      <c r="AJ603" s="2"/>
      <c r="AK603" s="12"/>
    </row>
    <row r="604" spans="24:37" ht="15.75" customHeight="1" x14ac:dyDescent="0.2">
      <c r="X604" s="2"/>
      <c r="Y604" s="2"/>
      <c r="AI604" s="2"/>
      <c r="AJ604" s="2"/>
      <c r="AK604" s="12"/>
    </row>
    <row r="605" spans="24:37" ht="15.75" customHeight="1" x14ac:dyDescent="0.2">
      <c r="X605" s="2"/>
      <c r="Y605" s="2"/>
      <c r="AI605" s="2"/>
      <c r="AJ605" s="2"/>
      <c r="AK605" s="12"/>
    </row>
    <row r="606" spans="24:37" ht="15.75" customHeight="1" x14ac:dyDescent="0.2">
      <c r="X606" s="2"/>
      <c r="Y606" s="2"/>
      <c r="AI606" s="2"/>
      <c r="AJ606" s="2"/>
      <c r="AK606" s="12"/>
    </row>
    <row r="607" spans="24:37" ht="15.75" customHeight="1" x14ac:dyDescent="0.2">
      <c r="X607" s="2"/>
      <c r="Y607" s="2"/>
      <c r="AI607" s="2"/>
      <c r="AJ607" s="2"/>
      <c r="AK607" s="12"/>
    </row>
    <row r="608" spans="24:37" ht="15.75" customHeight="1" x14ac:dyDescent="0.2">
      <c r="X608" s="2"/>
      <c r="Y608" s="2"/>
      <c r="AI608" s="2"/>
      <c r="AJ608" s="2"/>
      <c r="AK608" s="12"/>
    </row>
    <row r="609" spans="24:37" ht="15.75" customHeight="1" x14ac:dyDescent="0.2">
      <c r="X609" s="2"/>
      <c r="Y609" s="2"/>
      <c r="AI609" s="2"/>
      <c r="AJ609" s="2"/>
      <c r="AK609" s="12"/>
    </row>
    <row r="610" spans="24:37" ht="15.75" customHeight="1" x14ac:dyDescent="0.2">
      <c r="X610" s="2"/>
      <c r="Y610" s="2"/>
      <c r="AI610" s="2"/>
      <c r="AJ610" s="2"/>
      <c r="AK610" s="12"/>
    </row>
    <row r="611" spans="24:37" ht="15.75" customHeight="1" x14ac:dyDescent="0.2">
      <c r="X611" s="2"/>
      <c r="Y611" s="2"/>
      <c r="AI611" s="2"/>
      <c r="AJ611" s="2"/>
      <c r="AK611" s="12"/>
    </row>
    <row r="612" spans="24:37" ht="15.75" customHeight="1" x14ac:dyDescent="0.2">
      <c r="X612" s="2"/>
      <c r="Y612" s="2"/>
      <c r="AI612" s="2"/>
      <c r="AJ612" s="2"/>
      <c r="AK612" s="12"/>
    </row>
    <row r="613" spans="24:37" ht="15.75" customHeight="1" x14ac:dyDescent="0.2">
      <c r="X613" s="2"/>
      <c r="Y613" s="2"/>
      <c r="AI613" s="2"/>
      <c r="AJ613" s="2"/>
      <c r="AK613" s="12"/>
    </row>
    <row r="614" spans="24:37" ht="15.75" customHeight="1" x14ac:dyDescent="0.2">
      <c r="X614" s="2"/>
      <c r="Y614" s="2"/>
      <c r="AI614" s="2"/>
      <c r="AJ614" s="2"/>
      <c r="AK614" s="12"/>
    </row>
    <row r="615" spans="24:37" ht="15.75" customHeight="1" x14ac:dyDescent="0.2">
      <c r="X615" s="2"/>
      <c r="Y615" s="2"/>
      <c r="AI615" s="2"/>
      <c r="AJ615" s="2"/>
      <c r="AK615" s="12"/>
    </row>
    <row r="616" spans="24:37" ht="15.75" customHeight="1" x14ac:dyDescent="0.2">
      <c r="X616" s="2"/>
      <c r="Y616" s="2"/>
      <c r="AI616" s="2"/>
      <c r="AJ616" s="2"/>
      <c r="AK616" s="12"/>
    </row>
    <row r="617" spans="24:37" ht="15.75" customHeight="1" x14ac:dyDescent="0.2">
      <c r="X617" s="2"/>
      <c r="Y617" s="2"/>
      <c r="AI617" s="2"/>
      <c r="AJ617" s="2"/>
      <c r="AK617" s="12"/>
    </row>
    <row r="618" spans="24:37" ht="15.75" customHeight="1" x14ac:dyDescent="0.2">
      <c r="X618" s="2"/>
      <c r="Y618" s="2"/>
      <c r="AI618" s="2"/>
      <c r="AJ618" s="2"/>
      <c r="AK618" s="12"/>
    </row>
    <row r="619" spans="24:37" ht="15.75" customHeight="1" x14ac:dyDescent="0.2">
      <c r="X619" s="2"/>
      <c r="Y619" s="2"/>
      <c r="AI619" s="2"/>
      <c r="AJ619" s="2"/>
      <c r="AK619" s="12"/>
    </row>
    <row r="620" spans="24:37" ht="15.75" customHeight="1" x14ac:dyDescent="0.2">
      <c r="X620" s="2"/>
      <c r="Y620" s="2"/>
      <c r="AI620" s="2"/>
      <c r="AJ620" s="2"/>
      <c r="AK620" s="12"/>
    </row>
    <row r="621" spans="24:37" ht="15.75" customHeight="1" x14ac:dyDescent="0.2">
      <c r="X621" s="2"/>
      <c r="Y621" s="2"/>
      <c r="AI621" s="2"/>
      <c r="AJ621" s="2"/>
      <c r="AK621" s="12"/>
    </row>
    <row r="622" spans="24:37" ht="15.75" customHeight="1" x14ac:dyDescent="0.2">
      <c r="X622" s="2"/>
      <c r="Y622" s="2"/>
      <c r="AI622" s="2"/>
      <c r="AJ622" s="2"/>
      <c r="AK622" s="12"/>
    </row>
    <row r="623" spans="24:37" ht="15.75" customHeight="1" x14ac:dyDescent="0.2">
      <c r="X623" s="2"/>
      <c r="Y623" s="2"/>
      <c r="AI623" s="2"/>
      <c r="AJ623" s="2"/>
      <c r="AK623" s="12"/>
    </row>
    <row r="624" spans="24:37" ht="15.75" customHeight="1" x14ac:dyDescent="0.2">
      <c r="X624" s="2"/>
      <c r="Y624" s="2"/>
      <c r="AI624" s="2"/>
      <c r="AJ624" s="2"/>
      <c r="AK624" s="12"/>
    </row>
    <row r="625" spans="24:37" ht="15.75" customHeight="1" x14ac:dyDescent="0.2">
      <c r="X625" s="2"/>
      <c r="Y625" s="2"/>
      <c r="AI625" s="2"/>
      <c r="AJ625" s="2"/>
      <c r="AK625" s="12"/>
    </row>
    <row r="626" spans="24:37" ht="15.75" customHeight="1" x14ac:dyDescent="0.2">
      <c r="X626" s="2"/>
      <c r="Y626" s="2"/>
      <c r="AI626" s="2"/>
      <c r="AJ626" s="2"/>
      <c r="AK626" s="12"/>
    </row>
    <row r="627" spans="24:37" ht="15.75" customHeight="1" x14ac:dyDescent="0.2">
      <c r="X627" s="2"/>
      <c r="Y627" s="2"/>
      <c r="AI627" s="2"/>
      <c r="AJ627" s="2"/>
      <c r="AK627" s="12"/>
    </row>
    <row r="628" spans="24:37" ht="15.75" customHeight="1" x14ac:dyDescent="0.2">
      <c r="X628" s="2"/>
      <c r="Y628" s="2"/>
      <c r="AI628" s="2"/>
      <c r="AJ628" s="2"/>
      <c r="AK628" s="12"/>
    </row>
    <row r="629" spans="24:37" ht="15.75" customHeight="1" x14ac:dyDescent="0.2">
      <c r="X629" s="2"/>
      <c r="Y629" s="2"/>
      <c r="AI629" s="2"/>
      <c r="AJ629" s="2"/>
      <c r="AK629" s="12"/>
    </row>
    <row r="630" spans="24:37" ht="15.75" customHeight="1" x14ac:dyDescent="0.2">
      <c r="X630" s="2"/>
      <c r="Y630" s="2"/>
      <c r="AI630" s="2"/>
      <c r="AJ630" s="2"/>
      <c r="AK630" s="12"/>
    </row>
    <row r="631" spans="24:37" ht="15.75" customHeight="1" x14ac:dyDescent="0.2">
      <c r="X631" s="2"/>
      <c r="Y631" s="2"/>
      <c r="AI631" s="2"/>
      <c r="AJ631" s="2"/>
      <c r="AK631" s="12"/>
    </row>
    <row r="632" spans="24:37" ht="15.75" customHeight="1" x14ac:dyDescent="0.2">
      <c r="X632" s="2"/>
      <c r="Y632" s="2"/>
      <c r="AI632" s="2"/>
      <c r="AJ632" s="2"/>
      <c r="AK632" s="12"/>
    </row>
    <row r="633" spans="24:37" ht="15.75" customHeight="1" x14ac:dyDescent="0.2">
      <c r="X633" s="2"/>
      <c r="Y633" s="2"/>
      <c r="AI633" s="2"/>
      <c r="AJ633" s="2"/>
      <c r="AK633" s="12"/>
    </row>
    <row r="634" spans="24:37" ht="15.75" customHeight="1" x14ac:dyDescent="0.2">
      <c r="X634" s="2"/>
      <c r="Y634" s="2"/>
      <c r="AI634" s="2"/>
      <c r="AJ634" s="2"/>
      <c r="AK634" s="12"/>
    </row>
    <row r="635" spans="24:37" ht="15.75" customHeight="1" x14ac:dyDescent="0.2">
      <c r="X635" s="2"/>
      <c r="Y635" s="2"/>
      <c r="AI635" s="2"/>
      <c r="AJ635" s="2"/>
      <c r="AK635" s="12"/>
    </row>
    <row r="636" spans="24:37" ht="15.75" customHeight="1" x14ac:dyDescent="0.2">
      <c r="X636" s="2"/>
      <c r="Y636" s="2"/>
      <c r="AI636" s="2"/>
      <c r="AJ636" s="2"/>
      <c r="AK636" s="12"/>
    </row>
    <row r="637" spans="24:37" ht="15.75" customHeight="1" x14ac:dyDescent="0.2">
      <c r="X637" s="2"/>
      <c r="Y637" s="2"/>
      <c r="AI637" s="2"/>
      <c r="AJ637" s="2"/>
      <c r="AK637" s="12"/>
    </row>
    <row r="638" spans="24:37" ht="15.75" customHeight="1" x14ac:dyDescent="0.2">
      <c r="X638" s="2"/>
      <c r="Y638" s="2"/>
      <c r="AI638" s="2"/>
      <c r="AJ638" s="2"/>
      <c r="AK638" s="12"/>
    </row>
    <row r="639" spans="24:37" ht="15.75" customHeight="1" x14ac:dyDescent="0.2">
      <c r="X639" s="2"/>
      <c r="Y639" s="2"/>
      <c r="AI639" s="2"/>
      <c r="AJ639" s="2"/>
      <c r="AK639" s="12"/>
    </row>
    <row r="640" spans="24:37" ht="15.75" customHeight="1" x14ac:dyDescent="0.2">
      <c r="X640" s="2"/>
      <c r="Y640" s="2"/>
      <c r="AI640" s="2"/>
      <c r="AJ640" s="2"/>
      <c r="AK640" s="12"/>
    </row>
    <row r="641" spans="24:37" ht="15.75" customHeight="1" x14ac:dyDescent="0.2">
      <c r="X641" s="2"/>
      <c r="Y641" s="2"/>
      <c r="AI641" s="2"/>
      <c r="AJ641" s="2"/>
      <c r="AK641" s="12"/>
    </row>
    <row r="642" spans="24:37" ht="15.75" customHeight="1" x14ac:dyDescent="0.2">
      <c r="X642" s="2"/>
      <c r="Y642" s="2"/>
      <c r="AI642" s="2"/>
      <c r="AJ642" s="2"/>
      <c r="AK642" s="12"/>
    </row>
    <row r="643" spans="24:37" ht="15.75" customHeight="1" x14ac:dyDescent="0.2">
      <c r="X643" s="2"/>
      <c r="Y643" s="2"/>
      <c r="AI643" s="2"/>
      <c r="AJ643" s="2"/>
      <c r="AK643" s="12"/>
    </row>
    <row r="644" spans="24:37" ht="15.75" customHeight="1" x14ac:dyDescent="0.2">
      <c r="X644" s="2"/>
      <c r="Y644" s="2"/>
      <c r="AI644" s="2"/>
      <c r="AJ644" s="2"/>
      <c r="AK644" s="12"/>
    </row>
    <row r="645" spans="24:37" ht="15.75" customHeight="1" x14ac:dyDescent="0.2">
      <c r="X645" s="2"/>
      <c r="Y645" s="2"/>
      <c r="AI645" s="2"/>
      <c r="AJ645" s="2"/>
      <c r="AK645" s="12"/>
    </row>
    <row r="646" spans="24:37" ht="15.75" customHeight="1" x14ac:dyDescent="0.2">
      <c r="X646" s="2"/>
      <c r="Y646" s="2"/>
      <c r="AI646" s="2"/>
      <c r="AJ646" s="2"/>
      <c r="AK646" s="12"/>
    </row>
    <row r="647" spans="24:37" ht="15.75" customHeight="1" x14ac:dyDescent="0.2">
      <c r="X647" s="2"/>
      <c r="Y647" s="2"/>
      <c r="AI647" s="2"/>
      <c r="AJ647" s="2"/>
      <c r="AK647" s="12"/>
    </row>
    <row r="648" spans="24:37" ht="15.75" customHeight="1" x14ac:dyDescent="0.2">
      <c r="X648" s="2"/>
      <c r="Y648" s="2"/>
      <c r="AI648" s="2"/>
      <c r="AJ648" s="2"/>
      <c r="AK648" s="12"/>
    </row>
    <row r="649" spans="24:37" ht="15.75" customHeight="1" x14ac:dyDescent="0.2">
      <c r="X649" s="2"/>
      <c r="Y649" s="2"/>
      <c r="AI649" s="2"/>
      <c r="AJ649" s="2"/>
      <c r="AK649" s="12"/>
    </row>
    <row r="650" spans="24:37" ht="15.75" customHeight="1" x14ac:dyDescent="0.2">
      <c r="X650" s="2"/>
      <c r="Y650" s="2"/>
      <c r="AI650" s="2"/>
      <c r="AJ650" s="2"/>
      <c r="AK650" s="12"/>
    </row>
    <row r="651" spans="24:37" ht="15.75" customHeight="1" x14ac:dyDescent="0.2">
      <c r="X651" s="2"/>
      <c r="Y651" s="2"/>
      <c r="AI651" s="2"/>
      <c r="AJ651" s="2"/>
      <c r="AK651" s="12"/>
    </row>
    <row r="652" spans="24:37" ht="15.75" customHeight="1" x14ac:dyDescent="0.2">
      <c r="X652" s="2"/>
      <c r="Y652" s="2"/>
      <c r="AI652" s="2"/>
      <c r="AJ652" s="2"/>
      <c r="AK652" s="12"/>
    </row>
    <row r="653" spans="24:37" ht="15.75" customHeight="1" x14ac:dyDescent="0.2">
      <c r="X653" s="2"/>
      <c r="Y653" s="2"/>
      <c r="AI653" s="2"/>
      <c r="AJ653" s="2"/>
      <c r="AK653" s="12"/>
    </row>
    <row r="654" spans="24:37" ht="15.75" customHeight="1" x14ac:dyDescent="0.2">
      <c r="X654" s="2"/>
      <c r="Y654" s="2"/>
      <c r="AI654" s="2"/>
      <c r="AJ654" s="2"/>
      <c r="AK654" s="12"/>
    </row>
    <row r="655" spans="24:37" ht="15.75" customHeight="1" x14ac:dyDescent="0.2">
      <c r="X655" s="2"/>
      <c r="Y655" s="2"/>
      <c r="AI655" s="2"/>
      <c r="AJ655" s="2"/>
      <c r="AK655" s="12"/>
    </row>
    <row r="656" spans="24:37" ht="15.75" customHeight="1" x14ac:dyDescent="0.2">
      <c r="X656" s="2"/>
      <c r="Y656" s="2"/>
      <c r="AI656" s="2"/>
      <c r="AJ656" s="2"/>
      <c r="AK656" s="12"/>
    </row>
    <row r="657" spans="24:37" ht="15.75" customHeight="1" x14ac:dyDescent="0.2">
      <c r="X657" s="2"/>
      <c r="Y657" s="2"/>
      <c r="AI657" s="2"/>
      <c r="AJ657" s="2"/>
      <c r="AK657" s="12"/>
    </row>
    <row r="658" spans="24:37" ht="15.75" customHeight="1" x14ac:dyDescent="0.2">
      <c r="X658" s="2"/>
      <c r="Y658" s="2"/>
      <c r="AI658" s="2"/>
      <c r="AJ658" s="2"/>
      <c r="AK658" s="12"/>
    </row>
    <row r="659" spans="24:37" ht="15.75" customHeight="1" x14ac:dyDescent="0.2">
      <c r="X659" s="2"/>
      <c r="Y659" s="2"/>
      <c r="AI659" s="2"/>
      <c r="AJ659" s="2"/>
      <c r="AK659" s="12"/>
    </row>
    <row r="660" spans="24:37" ht="15.75" customHeight="1" x14ac:dyDescent="0.2">
      <c r="X660" s="2"/>
      <c r="Y660" s="2"/>
      <c r="AI660" s="2"/>
      <c r="AJ660" s="2"/>
      <c r="AK660" s="12"/>
    </row>
    <row r="661" spans="24:37" ht="15.75" customHeight="1" x14ac:dyDescent="0.2">
      <c r="X661" s="2"/>
      <c r="Y661" s="2"/>
      <c r="AI661" s="2"/>
      <c r="AJ661" s="2"/>
      <c r="AK661" s="12"/>
    </row>
    <row r="662" spans="24:37" ht="15.75" customHeight="1" x14ac:dyDescent="0.2">
      <c r="X662" s="2"/>
      <c r="Y662" s="2"/>
      <c r="AI662" s="2"/>
      <c r="AJ662" s="2"/>
      <c r="AK662" s="12"/>
    </row>
    <row r="663" spans="24:37" ht="15.75" customHeight="1" x14ac:dyDescent="0.2">
      <c r="X663" s="2"/>
      <c r="Y663" s="2"/>
      <c r="AI663" s="2"/>
      <c r="AJ663" s="2"/>
      <c r="AK663" s="12"/>
    </row>
    <row r="664" spans="24:37" ht="15.75" customHeight="1" x14ac:dyDescent="0.2">
      <c r="X664" s="2"/>
      <c r="Y664" s="2"/>
      <c r="AI664" s="2"/>
      <c r="AJ664" s="2"/>
      <c r="AK664" s="12"/>
    </row>
    <row r="665" spans="24:37" ht="15.75" customHeight="1" x14ac:dyDescent="0.2">
      <c r="X665" s="2"/>
      <c r="Y665" s="2"/>
      <c r="AI665" s="2"/>
      <c r="AJ665" s="2"/>
      <c r="AK665" s="12"/>
    </row>
    <row r="666" spans="24:37" ht="15.75" customHeight="1" x14ac:dyDescent="0.2">
      <c r="X666" s="2"/>
      <c r="Y666" s="2"/>
      <c r="AI666" s="2"/>
      <c r="AJ666" s="2"/>
      <c r="AK666" s="12"/>
    </row>
    <row r="667" spans="24:37" ht="15.75" customHeight="1" x14ac:dyDescent="0.2">
      <c r="X667" s="2"/>
      <c r="Y667" s="2"/>
      <c r="AI667" s="2"/>
      <c r="AJ667" s="2"/>
      <c r="AK667" s="12"/>
    </row>
    <row r="668" spans="24:37" ht="15.75" customHeight="1" x14ac:dyDescent="0.2">
      <c r="X668" s="2"/>
      <c r="Y668" s="2"/>
      <c r="AI668" s="2"/>
      <c r="AJ668" s="2"/>
      <c r="AK668" s="12"/>
    </row>
    <row r="669" spans="24:37" ht="15.75" customHeight="1" x14ac:dyDescent="0.2">
      <c r="X669" s="2"/>
      <c r="Y669" s="2"/>
      <c r="AI669" s="2"/>
      <c r="AJ669" s="2"/>
      <c r="AK669" s="12"/>
    </row>
    <row r="670" spans="24:37" ht="15.75" customHeight="1" x14ac:dyDescent="0.2">
      <c r="X670" s="2"/>
      <c r="Y670" s="2"/>
      <c r="AI670" s="2"/>
      <c r="AJ670" s="2"/>
      <c r="AK670" s="12"/>
    </row>
    <row r="671" spans="24:37" ht="15.75" customHeight="1" x14ac:dyDescent="0.2">
      <c r="X671" s="2"/>
      <c r="Y671" s="2"/>
      <c r="AI671" s="2"/>
      <c r="AJ671" s="2"/>
      <c r="AK671" s="12"/>
    </row>
    <row r="672" spans="24:37" ht="15.75" customHeight="1" x14ac:dyDescent="0.2">
      <c r="X672" s="2"/>
      <c r="Y672" s="2"/>
      <c r="AI672" s="2"/>
      <c r="AJ672" s="2"/>
      <c r="AK672" s="12"/>
    </row>
    <row r="673" spans="24:37" ht="15.75" customHeight="1" x14ac:dyDescent="0.2">
      <c r="X673" s="2"/>
      <c r="Y673" s="2"/>
      <c r="AI673" s="2"/>
      <c r="AJ673" s="2"/>
      <c r="AK673" s="12"/>
    </row>
    <row r="674" spans="24:37" ht="15.75" customHeight="1" x14ac:dyDescent="0.2">
      <c r="X674" s="2"/>
      <c r="Y674" s="2"/>
      <c r="AI674" s="2"/>
      <c r="AJ674" s="2"/>
      <c r="AK674" s="12"/>
    </row>
    <row r="675" spans="24:37" ht="15.75" customHeight="1" x14ac:dyDescent="0.2">
      <c r="X675" s="2"/>
      <c r="Y675" s="2"/>
      <c r="AI675" s="2"/>
      <c r="AJ675" s="2"/>
      <c r="AK675" s="12"/>
    </row>
    <row r="676" spans="24:37" ht="15.75" customHeight="1" x14ac:dyDescent="0.2">
      <c r="X676" s="2"/>
      <c r="Y676" s="2"/>
      <c r="AI676" s="2"/>
      <c r="AJ676" s="2"/>
      <c r="AK676" s="12"/>
    </row>
    <row r="677" spans="24:37" ht="15.75" customHeight="1" x14ac:dyDescent="0.2">
      <c r="X677" s="2"/>
      <c r="Y677" s="2"/>
      <c r="AI677" s="2"/>
      <c r="AJ677" s="2"/>
      <c r="AK677" s="12"/>
    </row>
    <row r="678" spans="24:37" ht="15.75" customHeight="1" x14ac:dyDescent="0.2">
      <c r="X678" s="2"/>
      <c r="Y678" s="2"/>
      <c r="AI678" s="2"/>
      <c r="AJ678" s="2"/>
      <c r="AK678" s="12"/>
    </row>
    <row r="679" spans="24:37" ht="15.75" customHeight="1" x14ac:dyDescent="0.2">
      <c r="X679" s="2"/>
      <c r="Y679" s="2"/>
      <c r="AI679" s="2"/>
      <c r="AJ679" s="2"/>
      <c r="AK679" s="12"/>
    </row>
    <row r="680" spans="24:37" ht="15.75" customHeight="1" x14ac:dyDescent="0.2">
      <c r="X680" s="2"/>
      <c r="Y680" s="2"/>
      <c r="AI680" s="2"/>
      <c r="AJ680" s="2"/>
      <c r="AK680" s="12"/>
    </row>
    <row r="681" spans="24:37" ht="15.75" customHeight="1" x14ac:dyDescent="0.2">
      <c r="X681" s="2"/>
      <c r="Y681" s="2"/>
      <c r="AI681" s="2"/>
      <c r="AJ681" s="2"/>
      <c r="AK681" s="12"/>
    </row>
    <row r="682" spans="24:37" ht="15.75" customHeight="1" x14ac:dyDescent="0.2">
      <c r="X682" s="2"/>
      <c r="Y682" s="2"/>
      <c r="AI682" s="2"/>
      <c r="AJ682" s="2"/>
      <c r="AK682" s="12"/>
    </row>
    <row r="683" spans="24:37" ht="15.75" customHeight="1" x14ac:dyDescent="0.2">
      <c r="X683" s="2"/>
      <c r="Y683" s="2"/>
      <c r="AI683" s="2"/>
      <c r="AJ683" s="2"/>
      <c r="AK683" s="12"/>
    </row>
    <row r="684" spans="24:37" ht="15.75" customHeight="1" x14ac:dyDescent="0.2">
      <c r="X684" s="2"/>
      <c r="Y684" s="2"/>
      <c r="AI684" s="2"/>
      <c r="AJ684" s="2"/>
      <c r="AK684" s="12"/>
    </row>
    <row r="685" spans="24:37" ht="15.75" customHeight="1" x14ac:dyDescent="0.2">
      <c r="X685" s="2"/>
      <c r="Y685" s="2"/>
      <c r="AI685" s="2"/>
      <c r="AJ685" s="2"/>
      <c r="AK685" s="12"/>
    </row>
    <row r="686" spans="24:37" ht="15.75" customHeight="1" x14ac:dyDescent="0.2">
      <c r="X686" s="2"/>
      <c r="Y686" s="2"/>
      <c r="AI686" s="2"/>
      <c r="AJ686" s="2"/>
      <c r="AK686" s="12"/>
    </row>
    <row r="687" spans="24:37" ht="15.75" customHeight="1" x14ac:dyDescent="0.2">
      <c r="X687" s="2"/>
      <c r="Y687" s="2"/>
      <c r="AI687" s="2"/>
      <c r="AJ687" s="2"/>
      <c r="AK687" s="12"/>
    </row>
    <row r="688" spans="24:37" ht="15.75" customHeight="1" x14ac:dyDescent="0.2">
      <c r="X688" s="2"/>
      <c r="Y688" s="2"/>
      <c r="AI688" s="2"/>
      <c r="AJ688" s="2"/>
      <c r="AK688" s="12"/>
    </row>
    <row r="689" spans="24:37" ht="15.75" customHeight="1" x14ac:dyDescent="0.2">
      <c r="X689" s="2"/>
      <c r="Y689" s="2"/>
      <c r="AI689" s="2"/>
      <c r="AJ689" s="2"/>
      <c r="AK689" s="12"/>
    </row>
    <row r="690" spans="24:37" ht="15.75" customHeight="1" x14ac:dyDescent="0.2">
      <c r="X690" s="2"/>
      <c r="Y690" s="2"/>
      <c r="AI690" s="2"/>
      <c r="AJ690" s="2"/>
      <c r="AK690" s="12"/>
    </row>
    <row r="691" spans="24:37" ht="15.75" customHeight="1" x14ac:dyDescent="0.2">
      <c r="X691" s="2"/>
      <c r="Y691" s="2"/>
      <c r="AI691" s="2"/>
      <c r="AJ691" s="2"/>
      <c r="AK691" s="12"/>
    </row>
    <row r="692" spans="24:37" ht="15.75" customHeight="1" x14ac:dyDescent="0.2">
      <c r="X692" s="2"/>
      <c r="Y692" s="2"/>
      <c r="AI692" s="2"/>
      <c r="AJ692" s="2"/>
      <c r="AK692" s="12"/>
    </row>
    <row r="693" spans="24:37" ht="15.75" customHeight="1" x14ac:dyDescent="0.2">
      <c r="X693" s="2"/>
      <c r="Y693" s="2"/>
      <c r="AI693" s="2"/>
      <c r="AJ693" s="2"/>
      <c r="AK693" s="12"/>
    </row>
    <row r="694" spans="24:37" ht="15.75" customHeight="1" x14ac:dyDescent="0.2">
      <c r="X694" s="2"/>
      <c r="Y694" s="2"/>
      <c r="AI694" s="2"/>
      <c r="AJ694" s="2"/>
      <c r="AK694" s="12"/>
    </row>
    <row r="695" spans="24:37" ht="15.75" customHeight="1" x14ac:dyDescent="0.2">
      <c r="X695" s="2"/>
      <c r="Y695" s="2"/>
      <c r="AI695" s="2"/>
      <c r="AJ695" s="2"/>
      <c r="AK695" s="12"/>
    </row>
    <row r="696" spans="24:37" ht="15.75" customHeight="1" x14ac:dyDescent="0.2">
      <c r="X696" s="2"/>
      <c r="Y696" s="2"/>
      <c r="AI696" s="2"/>
      <c r="AJ696" s="2"/>
      <c r="AK696" s="12"/>
    </row>
    <row r="697" spans="24:37" ht="15.75" customHeight="1" x14ac:dyDescent="0.2">
      <c r="X697" s="2"/>
      <c r="Y697" s="2"/>
      <c r="AI697" s="2"/>
      <c r="AJ697" s="2"/>
      <c r="AK697" s="12"/>
    </row>
    <row r="698" spans="24:37" ht="15.75" customHeight="1" x14ac:dyDescent="0.2">
      <c r="X698" s="2"/>
      <c r="Y698" s="2"/>
      <c r="AI698" s="2"/>
      <c r="AJ698" s="2"/>
      <c r="AK698" s="12"/>
    </row>
    <row r="699" spans="24:37" ht="15.75" customHeight="1" x14ac:dyDescent="0.2">
      <c r="X699" s="2"/>
      <c r="Y699" s="2"/>
      <c r="AI699" s="2"/>
      <c r="AJ699" s="2"/>
      <c r="AK699" s="12"/>
    </row>
    <row r="700" spans="24:37" ht="15.75" customHeight="1" x14ac:dyDescent="0.2">
      <c r="X700" s="2"/>
      <c r="Y700" s="2"/>
      <c r="AI700" s="2"/>
      <c r="AJ700" s="2"/>
      <c r="AK700" s="12"/>
    </row>
    <row r="701" spans="24:37" ht="15.75" customHeight="1" x14ac:dyDescent="0.2">
      <c r="X701" s="2"/>
      <c r="Y701" s="2"/>
      <c r="AI701" s="2"/>
      <c r="AJ701" s="2"/>
      <c r="AK701" s="12"/>
    </row>
    <row r="702" spans="24:37" ht="15.75" customHeight="1" x14ac:dyDescent="0.2">
      <c r="X702" s="2"/>
      <c r="Y702" s="2"/>
      <c r="AI702" s="2"/>
      <c r="AJ702" s="2"/>
      <c r="AK702" s="12"/>
    </row>
    <row r="703" spans="24:37" ht="15.75" customHeight="1" x14ac:dyDescent="0.2">
      <c r="X703" s="2"/>
      <c r="Y703" s="2"/>
      <c r="AI703" s="2"/>
      <c r="AJ703" s="2"/>
      <c r="AK703" s="12"/>
    </row>
    <row r="704" spans="24:37" ht="15.75" customHeight="1" x14ac:dyDescent="0.2">
      <c r="X704" s="2"/>
      <c r="Y704" s="2"/>
      <c r="AI704" s="2"/>
      <c r="AJ704" s="2"/>
      <c r="AK704" s="12"/>
    </row>
    <row r="705" spans="24:37" ht="15.75" customHeight="1" x14ac:dyDescent="0.2">
      <c r="X705" s="2"/>
      <c r="Y705" s="2"/>
      <c r="AI705" s="2"/>
      <c r="AJ705" s="2"/>
      <c r="AK705" s="12"/>
    </row>
    <row r="706" spans="24:37" ht="15.75" customHeight="1" x14ac:dyDescent="0.2">
      <c r="X706" s="2"/>
      <c r="Y706" s="2"/>
      <c r="AI706" s="2"/>
      <c r="AJ706" s="2"/>
      <c r="AK706" s="12"/>
    </row>
    <row r="707" spans="24:37" ht="15.75" customHeight="1" x14ac:dyDescent="0.2">
      <c r="X707" s="2"/>
      <c r="Y707" s="2"/>
      <c r="AI707" s="2"/>
      <c r="AJ707" s="2"/>
      <c r="AK707" s="12"/>
    </row>
    <row r="708" spans="24:37" ht="15.75" customHeight="1" x14ac:dyDescent="0.2">
      <c r="X708" s="2"/>
      <c r="Y708" s="2"/>
      <c r="AI708" s="2"/>
      <c r="AJ708" s="2"/>
      <c r="AK708" s="12"/>
    </row>
    <row r="709" spans="24:37" ht="15.75" customHeight="1" x14ac:dyDescent="0.2">
      <c r="X709" s="2"/>
      <c r="Y709" s="2"/>
      <c r="AI709" s="2"/>
      <c r="AJ709" s="2"/>
      <c r="AK709" s="12"/>
    </row>
    <row r="710" spans="24:37" ht="15.75" customHeight="1" x14ac:dyDescent="0.2">
      <c r="X710" s="2"/>
      <c r="Y710" s="2"/>
      <c r="AI710" s="2"/>
      <c r="AJ710" s="2"/>
      <c r="AK710" s="12"/>
    </row>
    <row r="711" spans="24:37" ht="15.75" customHeight="1" x14ac:dyDescent="0.2">
      <c r="X711" s="2"/>
      <c r="Y711" s="2"/>
      <c r="AI711" s="2"/>
      <c r="AJ711" s="2"/>
      <c r="AK711" s="12"/>
    </row>
    <row r="712" spans="24:37" ht="15.75" customHeight="1" x14ac:dyDescent="0.2">
      <c r="X712" s="2"/>
      <c r="Y712" s="2"/>
      <c r="AI712" s="2"/>
      <c r="AJ712" s="2"/>
      <c r="AK712" s="12"/>
    </row>
    <row r="713" spans="24:37" ht="15.75" customHeight="1" x14ac:dyDescent="0.2">
      <c r="X713" s="2"/>
      <c r="Y713" s="2"/>
      <c r="AI713" s="2"/>
      <c r="AJ713" s="2"/>
      <c r="AK713" s="12"/>
    </row>
    <row r="714" spans="24:37" ht="15.75" customHeight="1" x14ac:dyDescent="0.2">
      <c r="X714" s="2"/>
      <c r="Y714" s="2"/>
      <c r="AI714" s="2"/>
      <c r="AJ714" s="2"/>
      <c r="AK714" s="12"/>
    </row>
    <row r="715" spans="24:37" ht="15.75" customHeight="1" x14ac:dyDescent="0.2">
      <c r="X715" s="2"/>
      <c r="Y715" s="2"/>
      <c r="AI715" s="2"/>
      <c r="AJ715" s="2"/>
      <c r="AK715" s="12"/>
    </row>
    <row r="716" spans="24:37" ht="15.75" customHeight="1" x14ac:dyDescent="0.2">
      <c r="X716" s="2"/>
      <c r="Y716" s="2"/>
      <c r="AI716" s="2"/>
      <c r="AJ716" s="2"/>
      <c r="AK716" s="12"/>
    </row>
    <row r="717" spans="24:37" ht="15.75" customHeight="1" x14ac:dyDescent="0.2">
      <c r="X717" s="2"/>
      <c r="Y717" s="2"/>
      <c r="AI717" s="2"/>
      <c r="AJ717" s="2"/>
      <c r="AK717" s="12"/>
    </row>
    <row r="718" spans="24:37" ht="15.75" customHeight="1" x14ac:dyDescent="0.2">
      <c r="X718" s="2"/>
      <c r="Y718" s="2"/>
      <c r="AI718" s="2"/>
      <c r="AJ718" s="2"/>
      <c r="AK718" s="12"/>
    </row>
    <row r="719" spans="24:37" ht="15.75" customHeight="1" x14ac:dyDescent="0.2">
      <c r="X719" s="2"/>
      <c r="Y719" s="2"/>
      <c r="AI719" s="2"/>
      <c r="AJ719" s="2"/>
      <c r="AK719" s="12"/>
    </row>
    <row r="720" spans="24:37" ht="15.75" customHeight="1" x14ac:dyDescent="0.2">
      <c r="X720" s="2"/>
      <c r="Y720" s="2"/>
      <c r="AI720" s="2"/>
      <c r="AJ720" s="2"/>
      <c r="AK720" s="12"/>
    </row>
    <row r="721" spans="24:37" ht="15.75" customHeight="1" x14ac:dyDescent="0.2">
      <c r="X721" s="2"/>
      <c r="Y721" s="2"/>
      <c r="AI721" s="2"/>
      <c r="AJ721" s="2"/>
      <c r="AK721" s="12"/>
    </row>
    <row r="722" spans="24:37" ht="15.75" customHeight="1" x14ac:dyDescent="0.2">
      <c r="X722" s="2"/>
      <c r="Y722" s="2"/>
      <c r="AI722" s="2"/>
      <c r="AJ722" s="2"/>
      <c r="AK722" s="12"/>
    </row>
    <row r="723" spans="24:37" ht="15.75" customHeight="1" x14ac:dyDescent="0.2">
      <c r="X723" s="2"/>
      <c r="Y723" s="2"/>
      <c r="AI723" s="2"/>
      <c r="AJ723" s="2"/>
      <c r="AK723" s="12"/>
    </row>
    <row r="724" spans="24:37" ht="15.75" customHeight="1" x14ac:dyDescent="0.2">
      <c r="X724" s="2"/>
      <c r="Y724" s="2"/>
      <c r="AI724" s="2"/>
      <c r="AJ724" s="2"/>
      <c r="AK724" s="12"/>
    </row>
    <row r="725" spans="24:37" ht="15.75" customHeight="1" x14ac:dyDescent="0.2">
      <c r="X725" s="2"/>
      <c r="Y725" s="2"/>
      <c r="AI725" s="2"/>
      <c r="AJ725" s="2"/>
      <c r="AK725" s="12"/>
    </row>
    <row r="726" spans="24:37" ht="15.75" customHeight="1" x14ac:dyDescent="0.2">
      <c r="X726" s="2"/>
      <c r="Y726" s="2"/>
      <c r="AI726" s="2"/>
      <c r="AJ726" s="2"/>
      <c r="AK726" s="12"/>
    </row>
    <row r="727" spans="24:37" ht="15.75" customHeight="1" x14ac:dyDescent="0.2">
      <c r="X727" s="2"/>
      <c r="Y727" s="2"/>
      <c r="AI727" s="2"/>
      <c r="AJ727" s="2"/>
      <c r="AK727" s="12"/>
    </row>
    <row r="728" spans="24:37" ht="15.75" customHeight="1" x14ac:dyDescent="0.2">
      <c r="X728" s="2"/>
      <c r="Y728" s="2"/>
      <c r="AI728" s="2"/>
      <c r="AJ728" s="2"/>
      <c r="AK728" s="12"/>
    </row>
    <row r="729" spans="24:37" ht="15.75" customHeight="1" x14ac:dyDescent="0.2">
      <c r="X729" s="2"/>
      <c r="Y729" s="2"/>
      <c r="AI729" s="2"/>
      <c r="AJ729" s="2"/>
      <c r="AK729" s="12"/>
    </row>
    <row r="730" spans="24:37" ht="15.75" customHeight="1" x14ac:dyDescent="0.2">
      <c r="X730" s="2"/>
      <c r="Y730" s="2"/>
      <c r="AI730" s="2"/>
      <c r="AJ730" s="2"/>
      <c r="AK730" s="12"/>
    </row>
    <row r="731" spans="24:37" ht="15.75" customHeight="1" x14ac:dyDescent="0.2">
      <c r="X731" s="2"/>
      <c r="Y731" s="2"/>
      <c r="AI731" s="2"/>
      <c r="AJ731" s="2"/>
      <c r="AK731" s="12"/>
    </row>
    <row r="732" spans="24:37" ht="15.75" customHeight="1" x14ac:dyDescent="0.2">
      <c r="X732" s="2"/>
      <c r="Y732" s="2"/>
      <c r="AI732" s="2"/>
      <c r="AJ732" s="2"/>
      <c r="AK732" s="12"/>
    </row>
    <row r="733" spans="24:37" ht="15.75" customHeight="1" x14ac:dyDescent="0.2">
      <c r="X733" s="2"/>
      <c r="Y733" s="2"/>
      <c r="AI733" s="2"/>
      <c r="AJ733" s="2"/>
      <c r="AK733" s="12"/>
    </row>
    <row r="734" spans="24:37" ht="15.75" customHeight="1" x14ac:dyDescent="0.2">
      <c r="X734" s="2"/>
      <c r="Y734" s="2"/>
      <c r="AI734" s="2"/>
      <c r="AJ734" s="2"/>
      <c r="AK734" s="12"/>
    </row>
    <row r="735" spans="24:37" ht="15.75" customHeight="1" x14ac:dyDescent="0.2">
      <c r="X735" s="2"/>
      <c r="Y735" s="2"/>
      <c r="AI735" s="2"/>
      <c r="AJ735" s="2"/>
      <c r="AK735" s="12"/>
    </row>
    <row r="736" spans="24:37" ht="15.75" customHeight="1" x14ac:dyDescent="0.2">
      <c r="X736" s="2"/>
      <c r="Y736" s="2"/>
      <c r="AI736" s="2"/>
      <c r="AJ736" s="2"/>
      <c r="AK736" s="12"/>
    </row>
    <row r="737" spans="24:37" ht="15.75" customHeight="1" x14ac:dyDescent="0.2">
      <c r="X737" s="2"/>
      <c r="Y737" s="2"/>
      <c r="AI737" s="2"/>
      <c r="AJ737" s="2"/>
      <c r="AK737" s="12"/>
    </row>
    <row r="738" spans="24:37" ht="15.75" customHeight="1" x14ac:dyDescent="0.2">
      <c r="X738" s="2"/>
      <c r="Y738" s="2"/>
      <c r="AI738" s="2"/>
      <c r="AJ738" s="2"/>
      <c r="AK738" s="12"/>
    </row>
    <row r="739" spans="24:37" ht="15.75" customHeight="1" x14ac:dyDescent="0.2">
      <c r="X739" s="2"/>
      <c r="Y739" s="2"/>
      <c r="AI739" s="2"/>
      <c r="AJ739" s="2"/>
      <c r="AK739" s="12"/>
    </row>
    <row r="740" spans="24:37" ht="15.75" customHeight="1" x14ac:dyDescent="0.2">
      <c r="X740" s="2"/>
      <c r="Y740" s="2"/>
      <c r="AI740" s="2"/>
      <c r="AJ740" s="2"/>
      <c r="AK740" s="12"/>
    </row>
    <row r="741" spans="24:37" ht="15.75" customHeight="1" x14ac:dyDescent="0.2">
      <c r="X741" s="2"/>
      <c r="Y741" s="2"/>
      <c r="AI741" s="2"/>
      <c r="AJ741" s="2"/>
      <c r="AK741" s="12"/>
    </row>
    <row r="742" spans="24:37" ht="15.75" customHeight="1" x14ac:dyDescent="0.2">
      <c r="X742" s="2"/>
      <c r="Y742" s="2"/>
      <c r="AI742" s="2"/>
      <c r="AJ742" s="2"/>
      <c r="AK742" s="12"/>
    </row>
    <row r="743" spans="24:37" ht="15.75" customHeight="1" x14ac:dyDescent="0.2">
      <c r="X743" s="2"/>
      <c r="Y743" s="2"/>
      <c r="AI743" s="2"/>
      <c r="AJ743" s="2"/>
      <c r="AK743" s="12"/>
    </row>
    <row r="744" spans="24:37" ht="15.75" customHeight="1" x14ac:dyDescent="0.2">
      <c r="X744" s="2"/>
      <c r="Y744" s="2"/>
      <c r="AI744" s="2"/>
      <c r="AJ744" s="2"/>
      <c r="AK744" s="12"/>
    </row>
    <row r="745" spans="24:37" ht="15.75" customHeight="1" x14ac:dyDescent="0.2">
      <c r="X745" s="2"/>
      <c r="Y745" s="2"/>
      <c r="AI745" s="2"/>
      <c r="AJ745" s="2"/>
      <c r="AK745" s="12"/>
    </row>
    <row r="746" spans="24:37" ht="15.75" customHeight="1" x14ac:dyDescent="0.2">
      <c r="X746" s="2"/>
      <c r="Y746" s="2"/>
      <c r="AI746" s="2"/>
      <c r="AJ746" s="2"/>
      <c r="AK746" s="12"/>
    </row>
    <row r="747" spans="24:37" ht="15.75" customHeight="1" x14ac:dyDescent="0.2">
      <c r="X747" s="2"/>
      <c r="Y747" s="2"/>
      <c r="AI747" s="2"/>
      <c r="AJ747" s="2"/>
      <c r="AK747" s="12"/>
    </row>
    <row r="748" spans="24:37" ht="15.75" customHeight="1" x14ac:dyDescent="0.2">
      <c r="X748" s="2"/>
      <c r="Y748" s="2"/>
      <c r="AI748" s="2"/>
      <c r="AJ748" s="2"/>
      <c r="AK748" s="12"/>
    </row>
    <row r="749" spans="24:37" ht="15.75" customHeight="1" x14ac:dyDescent="0.2">
      <c r="X749" s="2"/>
      <c r="Y749" s="2"/>
      <c r="AI749" s="2"/>
      <c r="AJ749" s="2"/>
      <c r="AK749" s="12"/>
    </row>
    <row r="750" spans="24:37" ht="15.75" customHeight="1" x14ac:dyDescent="0.2">
      <c r="X750" s="2"/>
      <c r="Y750" s="2"/>
      <c r="AI750" s="2"/>
      <c r="AJ750" s="2"/>
      <c r="AK750" s="12"/>
    </row>
    <row r="751" spans="24:37" ht="15.75" customHeight="1" x14ac:dyDescent="0.2">
      <c r="X751" s="2"/>
      <c r="Y751" s="2"/>
      <c r="AI751" s="2"/>
      <c r="AJ751" s="2"/>
      <c r="AK751" s="12"/>
    </row>
    <row r="752" spans="24:37" ht="15.75" customHeight="1" x14ac:dyDescent="0.2">
      <c r="X752" s="2"/>
      <c r="Y752" s="2"/>
      <c r="AI752" s="2"/>
      <c r="AJ752" s="2"/>
      <c r="AK752" s="12"/>
    </row>
    <row r="753" spans="24:37" ht="15.75" customHeight="1" x14ac:dyDescent="0.2">
      <c r="X753" s="2"/>
      <c r="Y753" s="2"/>
      <c r="AI753" s="2"/>
      <c r="AJ753" s="2"/>
      <c r="AK753" s="12"/>
    </row>
    <row r="754" spans="24:37" ht="15.75" customHeight="1" x14ac:dyDescent="0.2">
      <c r="X754" s="2"/>
      <c r="Y754" s="2"/>
      <c r="AI754" s="2"/>
      <c r="AJ754" s="2"/>
      <c r="AK754" s="12"/>
    </row>
    <row r="755" spans="24:37" ht="15.75" customHeight="1" x14ac:dyDescent="0.2">
      <c r="X755" s="2"/>
      <c r="Y755" s="2"/>
      <c r="AI755" s="2"/>
      <c r="AJ755" s="2"/>
      <c r="AK755" s="12"/>
    </row>
    <row r="756" spans="24:37" ht="15.75" customHeight="1" x14ac:dyDescent="0.2">
      <c r="X756" s="2"/>
      <c r="Y756" s="2"/>
      <c r="AI756" s="2"/>
      <c r="AJ756" s="2"/>
      <c r="AK756" s="12"/>
    </row>
    <row r="757" spans="24:37" ht="15.75" customHeight="1" x14ac:dyDescent="0.2">
      <c r="X757" s="2"/>
      <c r="Y757" s="2"/>
      <c r="AI757" s="2"/>
      <c r="AJ757" s="2"/>
      <c r="AK757" s="12"/>
    </row>
    <row r="758" spans="24:37" ht="15.75" customHeight="1" x14ac:dyDescent="0.2">
      <c r="X758" s="2"/>
      <c r="Y758" s="2"/>
      <c r="AI758" s="2"/>
      <c r="AJ758" s="2"/>
      <c r="AK758" s="12"/>
    </row>
    <row r="759" spans="24:37" ht="15.75" customHeight="1" x14ac:dyDescent="0.2">
      <c r="X759" s="2"/>
      <c r="Y759" s="2"/>
      <c r="AI759" s="2"/>
      <c r="AJ759" s="2"/>
      <c r="AK759" s="12"/>
    </row>
    <row r="760" spans="24:37" ht="15.75" customHeight="1" x14ac:dyDescent="0.2">
      <c r="X760" s="2"/>
      <c r="Y760" s="2"/>
      <c r="AI760" s="2"/>
      <c r="AJ760" s="2"/>
      <c r="AK760" s="12"/>
    </row>
    <row r="761" spans="24:37" ht="15.75" customHeight="1" x14ac:dyDescent="0.2">
      <c r="X761" s="2"/>
      <c r="Y761" s="2"/>
      <c r="AI761" s="2"/>
      <c r="AJ761" s="2"/>
      <c r="AK761" s="12"/>
    </row>
    <row r="762" spans="24:37" ht="15.75" customHeight="1" x14ac:dyDescent="0.2">
      <c r="X762" s="2"/>
      <c r="Y762" s="2"/>
      <c r="AI762" s="2"/>
      <c r="AJ762" s="2"/>
      <c r="AK762" s="12"/>
    </row>
    <row r="763" spans="24:37" ht="15.75" customHeight="1" x14ac:dyDescent="0.2">
      <c r="X763" s="2"/>
      <c r="Y763" s="2"/>
      <c r="AI763" s="2"/>
      <c r="AJ763" s="2"/>
      <c r="AK763" s="12"/>
    </row>
    <row r="764" spans="24:37" ht="15.75" customHeight="1" x14ac:dyDescent="0.2">
      <c r="X764" s="2"/>
      <c r="Y764" s="2"/>
      <c r="AI764" s="2"/>
      <c r="AJ764" s="2"/>
      <c r="AK764" s="12"/>
    </row>
    <row r="765" spans="24:37" ht="15.75" customHeight="1" x14ac:dyDescent="0.2">
      <c r="X765" s="2"/>
      <c r="Y765" s="2"/>
      <c r="AI765" s="2"/>
      <c r="AJ765" s="2"/>
      <c r="AK765" s="12"/>
    </row>
    <row r="766" spans="24:37" ht="15.75" customHeight="1" x14ac:dyDescent="0.2">
      <c r="X766" s="2"/>
      <c r="Y766" s="2"/>
      <c r="AI766" s="2"/>
      <c r="AJ766" s="2"/>
      <c r="AK766" s="12"/>
    </row>
    <row r="767" spans="24:37" ht="15.75" customHeight="1" x14ac:dyDescent="0.2">
      <c r="X767" s="2"/>
      <c r="Y767" s="2"/>
      <c r="AI767" s="2"/>
      <c r="AJ767" s="2"/>
      <c r="AK767" s="12"/>
    </row>
    <row r="768" spans="24:37" ht="15.75" customHeight="1" x14ac:dyDescent="0.2">
      <c r="X768" s="2"/>
      <c r="Y768" s="2"/>
      <c r="AI768" s="2"/>
      <c r="AJ768" s="2"/>
      <c r="AK768" s="12"/>
    </row>
    <row r="769" spans="24:37" ht="15.75" customHeight="1" x14ac:dyDescent="0.2">
      <c r="X769" s="2"/>
      <c r="Y769" s="2"/>
      <c r="AI769" s="2"/>
      <c r="AJ769" s="2"/>
      <c r="AK769" s="12"/>
    </row>
    <row r="770" spans="24:37" ht="15.75" customHeight="1" x14ac:dyDescent="0.2">
      <c r="X770" s="2"/>
      <c r="Y770" s="2"/>
      <c r="AI770" s="2"/>
      <c r="AJ770" s="2"/>
      <c r="AK770" s="12"/>
    </row>
    <row r="771" spans="24:37" ht="15.75" customHeight="1" x14ac:dyDescent="0.2">
      <c r="X771" s="2"/>
      <c r="Y771" s="2"/>
      <c r="AI771" s="2"/>
      <c r="AJ771" s="2"/>
      <c r="AK771" s="12"/>
    </row>
    <row r="772" spans="24:37" ht="15.75" customHeight="1" x14ac:dyDescent="0.2">
      <c r="X772" s="2"/>
      <c r="Y772" s="2"/>
      <c r="AI772" s="2"/>
      <c r="AJ772" s="2"/>
      <c r="AK772" s="12"/>
    </row>
    <row r="773" spans="24:37" ht="15.75" customHeight="1" x14ac:dyDescent="0.2">
      <c r="X773" s="2"/>
      <c r="Y773" s="2"/>
      <c r="AI773" s="2"/>
      <c r="AJ773" s="2"/>
      <c r="AK773" s="12"/>
    </row>
    <row r="774" spans="24:37" ht="15.75" customHeight="1" x14ac:dyDescent="0.2">
      <c r="X774" s="2"/>
      <c r="Y774" s="2"/>
      <c r="AI774" s="2"/>
      <c r="AJ774" s="2"/>
      <c r="AK774" s="12"/>
    </row>
    <row r="775" spans="24:37" ht="15.75" customHeight="1" x14ac:dyDescent="0.2">
      <c r="X775" s="2"/>
      <c r="Y775" s="2"/>
      <c r="AI775" s="2"/>
      <c r="AJ775" s="2"/>
      <c r="AK775" s="12"/>
    </row>
    <row r="776" spans="24:37" ht="15.75" customHeight="1" x14ac:dyDescent="0.2">
      <c r="X776" s="2"/>
      <c r="Y776" s="2"/>
      <c r="AI776" s="2"/>
      <c r="AJ776" s="2"/>
      <c r="AK776" s="12"/>
    </row>
    <row r="777" spans="24:37" ht="15.75" customHeight="1" x14ac:dyDescent="0.2">
      <c r="X777" s="2"/>
      <c r="Y777" s="2"/>
      <c r="AI777" s="2"/>
      <c r="AJ777" s="2"/>
      <c r="AK777" s="12"/>
    </row>
    <row r="778" spans="24:37" ht="15.75" customHeight="1" x14ac:dyDescent="0.2">
      <c r="X778" s="2"/>
      <c r="Y778" s="2"/>
      <c r="AI778" s="2"/>
      <c r="AJ778" s="2"/>
      <c r="AK778" s="12"/>
    </row>
    <row r="779" spans="24:37" ht="15.75" customHeight="1" x14ac:dyDescent="0.2">
      <c r="X779" s="2"/>
      <c r="Y779" s="2"/>
      <c r="AI779" s="2"/>
      <c r="AJ779" s="2"/>
      <c r="AK779" s="12"/>
    </row>
    <row r="780" spans="24:37" ht="15.75" customHeight="1" x14ac:dyDescent="0.2">
      <c r="X780" s="2"/>
      <c r="Y780" s="2"/>
      <c r="AI780" s="2"/>
      <c r="AJ780" s="2"/>
      <c r="AK780" s="12"/>
    </row>
    <row r="781" spans="24:37" ht="15.75" customHeight="1" x14ac:dyDescent="0.2">
      <c r="X781" s="2"/>
      <c r="Y781" s="2"/>
      <c r="AI781" s="2"/>
      <c r="AJ781" s="2"/>
      <c r="AK781" s="12"/>
    </row>
    <row r="782" spans="24:37" ht="15.75" customHeight="1" x14ac:dyDescent="0.2">
      <c r="X782" s="2"/>
      <c r="Y782" s="2"/>
      <c r="AI782" s="2"/>
      <c r="AJ782" s="2"/>
      <c r="AK782" s="12"/>
    </row>
    <row r="783" spans="24:37" ht="15.75" customHeight="1" x14ac:dyDescent="0.2">
      <c r="X783" s="2"/>
      <c r="Y783" s="2"/>
      <c r="AI783" s="2"/>
      <c r="AJ783" s="2"/>
      <c r="AK783" s="12"/>
    </row>
    <row r="784" spans="24:37" ht="15.75" customHeight="1" x14ac:dyDescent="0.2">
      <c r="X784" s="2"/>
      <c r="Y784" s="2"/>
      <c r="AI784" s="2"/>
      <c r="AJ784" s="2"/>
      <c r="AK784" s="12"/>
    </row>
    <row r="785" spans="24:37" ht="15.75" customHeight="1" x14ac:dyDescent="0.2">
      <c r="X785" s="2"/>
      <c r="Y785" s="2"/>
      <c r="AI785" s="2"/>
      <c r="AJ785" s="2"/>
      <c r="AK785" s="12"/>
    </row>
    <row r="786" spans="24:37" ht="15.75" customHeight="1" x14ac:dyDescent="0.2">
      <c r="X786" s="2"/>
      <c r="Y786" s="2"/>
      <c r="AI786" s="2"/>
      <c r="AJ786" s="2"/>
      <c r="AK786" s="12"/>
    </row>
    <row r="787" spans="24:37" ht="15.75" customHeight="1" x14ac:dyDescent="0.2">
      <c r="X787" s="2"/>
      <c r="Y787" s="2"/>
      <c r="AI787" s="2"/>
      <c r="AJ787" s="2"/>
      <c r="AK787" s="12"/>
    </row>
    <row r="788" spans="24:37" ht="15.75" customHeight="1" x14ac:dyDescent="0.2">
      <c r="X788" s="2"/>
      <c r="Y788" s="2"/>
      <c r="AI788" s="2"/>
      <c r="AJ788" s="2"/>
      <c r="AK788" s="12"/>
    </row>
    <row r="789" spans="24:37" ht="15.75" customHeight="1" x14ac:dyDescent="0.2">
      <c r="X789" s="2"/>
      <c r="Y789" s="2"/>
      <c r="AI789" s="2"/>
      <c r="AJ789" s="2"/>
      <c r="AK789" s="12"/>
    </row>
    <row r="790" spans="24:37" ht="15.75" customHeight="1" x14ac:dyDescent="0.2">
      <c r="X790" s="2"/>
      <c r="Y790" s="2"/>
      <c r="AI790" s="2"/>
      <c r="AJ790" s="2"/>
      <c r="AK790" s="12"/>
    </row>
    <row r="791" spans="24:37" ht="15.75" customHeight="1" x14ac:dyDescent="0.2">
      <c r="X791" s="2"/>
      <c r="Y791" s="2"/>
      <c r="AI791" s="2"/>
      <c r="AJ791" s="2"/>
      <c r="AK791" s="12"/>
    </row>
    <row r="792" spans="24:37" ht="15.75" customHeight="1" x14ac:dyDescent="0.2">
      <c r="X792" s="2"/>
      <c r="Y792" s="2"/>
      <c r="AI792" s="2"/>
      <c r="AJ792" s="2"/>
      <c r="AK792" s="12"/>
    </row>
    <row r="793" spans="24:37" ht="15.75" customHeight="1" x14ac:dyDescent="0.2">
      <c r="X793" s="2"/>
      <c r="Y793" s="2"/>
      <c r="AI793" s="2"/>
      <c r="AJ793" s="2"/>
      <c r="AK793" s="12"/>
    </row>
    <row r="794" spans="24:37" ht="15.75" customHeight="1" x14ac:dyDescent="0.2">
      <c r="X794" s="2"/>
      <c r="Y794" s="2"/>
      <c r="AI794" s="2"/>
      <c r="AJ794" s="2"/>
      <c r="AK794" s="12"/>
    </row>
    <row r="795" spans="24:37" ht="15.75" customHeight="1" x14ac:dyDescent="0.2">
      <c r="X795" s="2"/>
      <c r="Y795" s="2"/>
      <c r="AI795" s="2"/>
      <c r="AJ795" s="2"/>
      <c r="AK795" s="12"/>
    </row>
    <row r="796" spans="24:37" ht="15.75" customHeight="1" x14ac:dyDescent="0.2">
      <c r="X796" s="2"/>
      <c r="Y796" s="2"/>
      <c r="AI796" s="2"/>
      <c r="AJ796" s="2"/>
      <c r="AK796" s="12"/>
    </row>
    <row r="797" spans="24:37" ht="15.75" customHeight="1" x14ac:dyDescent="0.2">
      <c r="X797" s="2"/>
      <c r="Y797" s="2"/>
      <c r="AI797" s="2"/>
      <c r="AJ797" s="2"/>
      <c r="AK797" s="12"/>
    </row>
    <row r="798" spans="24:37" ht="15.75" customHeight="1" x14ac:dyDescent="0.2">
      <c r="X798" s="2"/>
      <c r="Y798" s="2"/>
      <c r="AI798" s="2"/>
      <c r="AJ798" s="2"/>
      <c r="AK798" s="12"/>
    </row>
    <row r="799" spans="24:37" ht="15.75" customHeight="1" x14ac:dyDescent="0.2">
      <c r="X799" s="2"/>
      <c r="Y799" s="2"/>
      <c r="AI799" s="2"/>
      <c r="AJ799" s="2"/>
      <c r="AK799" s="12"/>
    </row>
    <row r="800" spans="24:37" ht="15.75" customHeight="1" x14ac:dyDescent="0.2">
      <c r="X800" s="2"/>
      <c r="Y800" s="2"/>
      <c r="AI800" s="2"/>
      <c r="AJ800" s="2"/>
      <c r="AK800" s="12"/>
    </row>
    <row r="801" spans="24:37" ht="15.75" customHeight="1" x14ac:dyDescent="0.2">
      <c r="X801" s="2"/>
      <c r="Y801" s="2"/>
      <c r="AI801" s="2"/>
      <c r="AJ801" s="2"/>
      <c r="AK801" s="12"/>
    </row>
    <row r="802" spans="24:37" ht="15.75" customHeight="1" x14ac:dyDescent="0.2">
      <c r="X802" s="2"/>
      <c r="Y802" s="2"/>
      <c r="AI802" s="2"/>
      <c r="AJ802" s="2"/>
      <c r="AK802" s="12"/>
    </row>
    <row r="803" spans="24:37" ht="15.75" customHeight="1" x14ac:dyDescent="0.2">
      <c r="X803" s="2"/>
      <c r="Y803" s="2"/>
      <c r="AI803" s="2"/>
      <c r="AJ803" s="2"/>
      <c r="AK803" s="12"/>
    </row>
    <row r="804" spans="24:37" ht="15.75" customHeight="1" x14ac:dyDescent="0.2">
      <c r="X804" s="2"/>
      <c r="Y804" s="2"/>
      <c r="AI804" s="2"/>
      <c r="AJ804" s="2"/>
      <c r="AK804" s="12"/>
    </row>
    <row r="805" spans="24:37" ht="15.75" customHeight="1" x14ac:dyDescent="0.2">
      <c r="X805" s="2"/>
      <c r="Y805" s="2"/>
      <c r="AI805" s="2"/>
      <c r="AJ805" s="2"/>
      <c r="AK805" s="12"/>
    </row>
    <row r="806" spans="24:37" ht="15.75" customHeight="1" x14ac:dyDescent="0.2">
      <c r="X806" s="2"/>
      <c r="Y806" s="2"/>
      <c r="AI806" s="2"/>
      <c r="AJ806" s="2"/>
      <c r="AK806" s="12"/>
    </row>
    <row r="807" spans="24:37" ht="15.75" customHeight="1" x14ac:dyDescent="0.2">
      <c r="X807" s="2"/>
      <c r="Y807" s="2"/>
      <c r="AI807" s="2"/>
      <c r="AJ807" s="2"/>
      <c r="AK807" s="12"/>
    </row>
    <row r="808" spans="24:37" ht="15.75" customHeight="1" x14ac:dyDescent="0.2">
      <c r="X808" s="2"/>
      <c r="Y808" s="2"/>
      <c r="AI808" s="2"/>
      <c r="AJ808" s="2"/>
      <c r="AK808" s="12"/>
    </row>
    <row r="809" spans="24:37" ht="15.75" customHeight="1" x14ac:dyDescent="0.2">
      <c r="X809" s="2"/>
      <c r="Y809" s="2"/>
      <c r="AI809" s="2"/>
      <c r="AJ809" s="2"/>
      <c r="AK809" s="12"/>
    </row>
    <row r="810" spans="24:37" ht="15.75" customHeight="1" x14ac:dyDescent="0.2">
      <c r="X810" s="2"/>
      <c r="Y810" s="2"/>
      <c r="AI810" s="2"/>
      <c r="AJ810" s="2"/>
      <c r="AK810" s="12"/>
    </row>
    <row r="811" spans="24:37" ht="15.75" customHeight="1" x14ac:dyDescent="0.2">
      <c r="X811" s="2"/>
      <c r="Y811" s="2"/>
      <c r="AI811" s="2"/>
      <c r="AJ811" s="2"/>
      <c r="AK811" s="12"/>
    </row>
    <row r="812" spans="24:37" ht="15.75" customHeight="1" x14ac:dyDescent="0.2">
      <c r="X812" s="2"/>
      <c r="Y812" s="2"/>
      <c r="AI812" s="2"/>
      <c r="AJ812" s="2"/>
      <c r="AK812" s="12"/>
    </row>
    <row r="813" spans="24:37" ht="15.75" customHeight="1" x14ac:dyDescent="0.2">
      <c r="X813" s="2"/>
      <c r="Y813" s="2"/>
      <c r="AI813" s="2"/>
      <c r="AJ813" s="2"/>
      <c r="AK813" s="12"/>
    </row>
    <row r="814" spans="24:37" ht="15.75" customHeight="1" x14ac:dyDescent="0.2">
      <c r="X814" s="2"/>
      <c r="Y814" s="2"/>
      <c r="AI814" s="2"/>
      <c r="AJ814" s="2"/>
      <c r="AK814" s="12"/>
    </row>
    <row r="815" spans="24:37" ht="15.75" customHeight="1" x14ac:dyDescent="0.2">
      <c r="X815" s="2"/>
      <c r="Y815" s="2"/>
      <c r="AI815" s="2"/>
      <c r="AJ815" s="2"/>
      <c r="AK815" s="12"/>
    </row>
    <row r="816" spans="24:37" ht="15.75" customHeight="1" x14ac:dyDescent="0.2">
      <c r="X816" s="2"/>
      <c r="Y816" s="2"/>
      <c r="AI816" s="2"/>
      <c r="AJ816" s="2"/>
      <c r="AK816" s="12"/>
    </row>
    <row r="817" spans="24:37" ht="15.75" customHeight="1" x14ac:dyDescent="0.2">
      <c r="X817" s="2"/>
      <c r="Y817" s="2"/>
      <c r="AI817" s="2"/>
      <c r="AJ817" s="2"/>
      <c r="AK817" s="12"/>
    </row>
    <row r="818" spans="24:37" ht="15.75" customHeight="1" x14ac:dyDescent="0.2">
      <c r="X818" s="2"/>
      <c r="Y818" s="2"/>
      <c r="AI818" s="2"/>
      <c r="AJ818" s="2"/>
      <c r="AK818" s="12"/>
    </row>
    <row r="819" spans="24:37" ht="15.75" customHeight="1" x14ac:dyDescent="0.2">
      <c r="X819" s="2"/>
      <c r="Y819" s="2"/>
      <c r="AI819" s="2"/>
      <c r="AJ819" s="2"/>
      <c r="AK819" s="12"/>
    </row>
    <row r="820" spans="24:37" ht="15.75" customHeight="1" x14ac:dyDescent="0.2">
      <c r="X820" s="2"/>
      <c r="Y820" s="2"/>
      <c r="AI820" s="2"/>
      <c r="AJ820" s="2"/>
      <c r="AK820" s="12"/>
    </row>
    <row r="821" spans="24:37" ht="15.75" customHeight="1" x14ac:dyDescent="0.2">
      <c r="X821" s="2"/>
      <c r="Y821" s="2"/>
      <c r="AI821" s="2"/>
      <c r="AJ821" s="2"/>
      <c r="AK821" s="12"/>
    </row>
    <row r="822" spans="24:37" ht="15.75" customHeight="1" x14ac:dyDescent="0.2">
      <c r="X822" s="2"/>
      <c r="Y822" s="2"/>
      <c r="AI822" s="2"/>
      <c r="AJ822" s="2"/>
      <c r="AK822" s="12"/>
    </row>
    <row r="823" spans="24:37" ht="15.75" customHeight="1" x14ac:dyDescent="0.2">
      <c r="X823" s="2"/>
      <c r="Y823" s="2"/>
      <c r="AI823" s="2"/>
      <c r="AJ823" s="2"/>
      <c r="AK823" s="12"/>
    </row>
    <row r="824" spans="24:37" ht="15.75" customHeight="1" x14ac:dyDescent="0.2">
      <c r="X824" s="2"/>
      <c r="Y824" s="2"/>
      <c r="AI824" s="2"/>
      <c r="AJ824" s="2"/>
      <c r="AK824" s="12"/>
    </row>
    <row r="825" spans="24:37" ht="15.75" customHeight="1" x14ac:dyDescent="0.2">
      <c r="X825" s="2"/>
      <c r="Y825" s="2"/>
      <c r="AI825" s="2"/>
      <c r="AJ825" s="2"/>
      <c r="AK825" s="12"/>
    </row>
    <row r="826" spans="24:37" ht="15.75" customHeight="1" x14ac:dyDescent="0.2">
      <c r="X826" s="2"/>
      <c r="Y826" s="2"/>
      <c r="AI826" s="2"/>
      <c r="AJ826" s="2"/>
      <c r="AK826" s="12"/>
    </row>
    <row r="827" spans="24:37" ht="15.75" customHeight="1" x14ac:dyDescent="0.2">
      <c r="X827" s="2"/>
      <c r="Y827" s="2"/>
      <c r="AI827" s="2"/>
      <c r="AJ827" s="2"/>
      <c r="AK827" s="12"/>
    </row>
    <row r="828" spans="24:37" ht="15.75" customHeight="1" x14ac:dyDescent="0.2">
      <c r="X828" s="2"/>
      <c r="Y828" s="2"/>
      <c r="AI828" s="2"/>
      <c r="AJ828" s="2"/>
      <c r="AK828" s="12"/>
    </row>
    <row r="829" spans="24:37" ht="15.75" customHeight="1" x14ac:dyDescent="0.2">
      <c r="X829" s="2"/>
      <c r="Y829" s="2"/>
      <c r="AI829" s="2"/>
      <c r="AJ829" s="2"/>
      <c r="AK829" s="12"/>
    </row>
    <row r="830" spans="24:37" ht="15.75" customHeight="1" x14ac:dyDescent="0.2">
      <c r="X830" s="2"/>
      <c r="Y830" s="2"/>
      <c r="AI830" s="2"/>
      <c r="AJ830" s="2"/>
      <c r="AK830" s="12"/>
    </row>
    <row r="831" spans="24:37" ht="15.75" customHeight="1" x14ac:dyDescent="0.2">
      <c r="X831" s="2"/>
      <c r="Y831" s="2"/>
      <c r="AI831" s="2"/>
      <c r="AJ831" s="2"/>
      <c r="AK831" s="12"/>
    </row>
    <row r="832" spans="24:37" ht="15.75" customHeight="1" x14ac:dyDescent="0.2">
      <c r="X832" s="2"/>
      <c r="Y832" s="2"/>
      <c r="AI832" s="2"/>
      <c r="AJ832" s="2"/>
      <c r="AK832" s="12"/>
    </row>
    <row r="833" spans="24:37" ht="15.75" customHeight="1" x14ac:dyDescent="0.2">
      <c r="X833" s="2"/>
      <c r="Y833" s="2"/>
      <c r="AI833" s="2"/>
      <c r="AJ833" s="2"/>
      <c r="AK833" s="12"/>
    </row>
    <row r="834" spans="24:37" ht="15.75" customHeight="1" x14ac:dyDescent="0.2">
      <c r="X834" s="2"/>
      <c r="Y834" s="2"/>
      <c r="AI834" s="2"/>
      <c r="AJ834" s="2"/>
      <c r="AK834" s="12"/>
    </row>
    <row r="835" spans="24:37" ht="15.75" customHeight="1" x14ac:dyDescent="0.2">
      <c r="X835" s="2"/>
      <c r="Y835" s="2"/>
      <c r="AI835" s="2"/>
      <c r="AJ835" s="2"/>
      <c r="AK835" s="12"/>
    </row>
    <row r="836" spans="24:37" ht="15.75" customHeight="1" x14ac:dyDescent="0.2">
      <c r="X836" s="2"/>
      <c r="Y836" s="2"/>
      <c r="AI836" s="2"/>
      <c r="AJ836" s="2"/>
      <c r="AK836" s="12"/>
    </row>
    <row r="837" spans="24:37" ht="15.75" customHeight="1" x14ac:dyDescent="0.2">
      <c r="X837" s="2"/>
      <c r="Y837" s="2"/>
      <c r="AI837" s="2"/>
      <c r="AJ837" s="2"/>
      <c r="AK837" s="12"/>
    </row>
    <row r="838" spans="24:37" ht="15.75" customHeight="1" x14ac:dyDescent="0.2">
      <c r="X838" s="2"/>
      <c r="Y838" s="2"/>
      <c r="AI838" s="2"/>
      <c r="AJ838" s="2"/>
      <c r="AK838" s="12"/>
    </row>
    <row r="839" spans="24:37" ht="15.75" customHeight="1" x14ac:dyDescent="0.2">
      <c r="X839" s="2"/>
      <c r="Y839" s="2"/>
      <c r="AI839" s="2"/>
      <c r="AJ839" s="2"/>
      <c r="AK839" s="12"/>
    </row>
    <row r="840" spans="24:37" ht="15.75" customHeight="1" x14ac:dyDescent="0.2">
      <c r="X840" s="2"/>
      <c r="Y840" s="2"/>
      <c r="AI840" s="2"/>
      <c r="AJ840" s="2"/>
      <c r="AK840" s="12"/>
    </row>
    <row r="841" spans="24:37" ht="15.75" customHeight="1" x14ac:dyDescent="0.2">
      <c r="X841" s="2"/>
      <c r="Y841" s="2"/>
      <c r="AI841" s="2"/>
      <c r="AJ841" s="2"/>
      <c r="AK841" s="12"/>
    </row>
    <row r="842" spans="24:37" ht="15.75" customHeight="1" x14ac:dyDescent="0.2">
      <c r="X842" s="2"/>
      <c r="Y842" s="2"/>
      <c r="AI842" s="2"/>
      <c r="AJ842" s="2"/>
      <c r="AK842" s="12"/>
    </row>
    <row r="843" spans="24:37" ht="15.75" customHeight="1" x14ac:dyDescent="0.2">
      <c r="X843" s="2"/>
      <c r="Y843" s="2"/>
      <c r="AI843" s="2"/>
      <c r="AJ843" s="2"/>
      <c r="AK843" s="12"/>
    </row>
    <row r="844" spans="24:37" ht="15.75" customHeight="1" x14ac:dyDescent="0.2">
      <c r="X844" s="2"/>
      <c r="Y844" s="2"/>
      <c r="AI844" s="2"/>
      <c r="AJ844" s="2"/>
      <c r="AK844" s="12"/>
    </row>
    <row r="845" spans="24:37" ht="15.75" customHeight="1" x14ac:dyDescent="0.2">
      <c r="X845" s="2"/>
      <c r="Y845" s="2"/>
      <c r="AI845" s="2"/>
      <c r="AJ845" s="2"/>
      <c r="AK845" s="12"/>
    </row>
    <row r="846" spans="24:37" ht="15.75" customHeight="1" x14ac:dyDescent="0.2">
      <c r="X846" s="2"/>
      <c r="Y846" s="2"/>
      <c r="AI846" s="2"/>
      <c r="AJ846" s="2"/>
      <c r="AK846" s="12"/>
    </row>
    <row r="847" spans="24:37" ht="15.75" customHeight="1" x14ac:dyDescent="0.2">
      <c r="X847" s="2"/>
      <c r="Y847" s="2"/>
      <c r="AI847" s="2"/>
      <c r="AJ847" s="2"/>
      <c r="AK847" s="12"/>
    </row>
    <row r="848" spans="24:37" ht="15.75" customHeight="1" x14ac:dyDescent="0.2">
      <c r="X848" s="2"/>
      <c r="Y848" s="2"/>
      <c r="AI848" s="2"/>
      <c r="AJ848" s="2"/>
      <c r="AK848" s="12"/>
    </row>
    <row r="849" spans="24:37" ht="15.75" customHeight="1" x14ac:dyDescent="0.2">
      <c r="X849" s="2"/>
      <c r="Y849" s="2"/>
      <c r="AI849" s="2"/>
      <c r="AJ849" s="2"/>
      <c r="AK849" s="12"/>
    </row>
    <row r="850" spans="24:37" ht="15.75" customHeight="1" x14ac:dyDescent="0.2">
      <c r="X850" s="2"/>
      <c r="Y850" s="2"/>
      <c r="AI850" s="2"/>
      <c r="AJ850" s="2"/>
      <c r="AK850" s="12"/>
    </row>
    <row r="851" spans="24:37" ht="15.75" customHeight="1" x14ac:dyDescent="0.2">
      <c r="X851" s="2"/>
      <c r="Y851" s="2"/>
      <c r="AI851" s="2"/>
      <c r="AJ851" s="2"/>
      <c r="AK851" s="12"/>
    </row>
    <row r="852" spans="24:37" ht="15.75" customHeight="1" x14ac:dyDescent="0.2">
      <c r="X852" s="2"/>
      <c r="Y852" s="2"/>
      <c r="AI852" s="2"/>
      <c r="AJ852" s="2"/>
      <c r="AK852" s="12"/>
    </row>
    <row r="853" spans="24:37" ht="15.75" customHeight="1" x14ac:dyDescent="0.2">
      <c r="X853" s="2"/>
      <c r="Y853" s="2"/>
      <c r="AI853" s="2"/>
      <c r="AJ853" s="2"/>
      <c r="AK853" s="12"/>
    </row>
    <row r="854" spans="24:37" ht="15.75" customHeight="1" x14ac:dyDescent="0.2">
      <c r="X854" s="2"/>
      <c r="Y854" s="2"/>
      <c r="AI854" s="2"/>
      <c r="AJ854" s="2"/>
      <c r="AK854" s="12"/>
    </row>
    <row r="855" spans="24:37" ht="15.75" customHeight="1" x14ac:dyDescent="0.2">
      <c r="X855" s="2"/>
      <c r="Y855" s="2"/>
      <c r="AI855" s="2"/>
      <c r="AJ855" s="2"/>
      <c r="AK855" s="12"/>
    </row>
    <row r="856" spans="24:37" ht="15.75" customHeight="1" x14ac:dyDescent="0.2">
      <c r="X856" s="2"/>
      <c r="Y856" s="2"/>
      <c r="AI856" s="2"/>
      <c r="AJ856" s="2"/>
      <c r="AK856" s="12"/>
    </row>
    <row r="857" spans="24:37" ht="15.75" customHeight="1" x14ac:dyDescent="0.2">
      <c r="X857" s="2"/>
      <c r="Y857" s="2"/>
      <c r="AI857" s="2"/>
      <c r="AJ857" s="2"/>
      <c r="AK857" s="12"/>
    </row>
    <row r="858" spans="24:37" ht="15.75" customHeight="1" x14ac:dyDescent="0.2">
      <c r="X858" s="2"/>
      <c r="Y858" s="2"/>
      <c r="AI858" s="2"/>
      <c r="AJ858" s="2"/>
      <c r="AK858" s="12"/>
    </row>
    <row r="859" spans="24:37" ht="15.75" customHeight="1" x14ac:dyDescent="0.2">
      <c r="X859" s="2"/>
      <c r="Y859" s="2"/>
      <c r="AI859" s="2"/>
      <c r="AJ859" s="2"/>
      <c r="AK859" s="12"/>
    </row>
    <row r="860" spans="24:37" ht="15.75" customHeight="1" x14ac:dyDescent="0.2">
      <c r="X860" s="2"/>
      <c r="Y860" s="2"/>
      <c r="AI860" s="2"/>
      <c r="AJ860" s="2"/>
      <c r="AK860" s="12"/>
    </row>
    <row r="861" spans="24:37" ht="15.75" customHeight="1" x14ac:dyDescent="0.2">
      <c r="X861" s="2"/>
      <c r="Y861" s="2"/>
      <c r="AI861" s="2"/>
      <c r="AJ861" s="2"/>
      <c r="AK861" s="12"/>
    </row>
    <row r="862" spans="24:37" ht="15.75" customHeight="1" x14ac:dyDescent="0.2">
      <c r="X862" s="2"/>
      <c r="Y862" s="2"/>
      <c r="AI862" s="2"/>
      <c r="AJ862" s="2"/>
      <c r="AK862" s="12"/>
    </row>
    <row r="863" spans="24:37" ht="15.75" customHeight="1" x14ac:dyDescent="0.2">
      <c r="X863" s="2"/>
      <c r="Y863" s="2"/>
      <c r="AI863" s="2"/>
      <c r="AJ863" s="2"/>
      <c r="AK863" s="12"/>
    </row>
    <row r="864" spans="24:37" ht="15.75" customHeight="1" x14ac:dyDescent="0.2">
      <c r="X864" s="2"/>
      <c r="Y864" s="2"/>
      <c r="AI864" s="2"/>
      <c r="AJ864" s="2"/>
      <c r="AK864" s="12"/>
    </row>
    <row r="865" spans="24:37" ht="15.75" customHeight="1" x14ac:dyDescent="0.2">
      <c r="X865" s="2"/>
      <c r="Y865" s="2"/>
      <c r="AI865" s="2"/>
      <c r="AJ865" s="2"/>
      <c r="AK865" s="12"/>
    </row>
    <row r="866" spans="24:37" ht="15.75" customHeight="1" x14ac:dyDescent="0.2">
      <c r="X866" s="2"/>
      <c r="Y866" s="2"/>
      <c r="AI866" s="2"/>
      <c r="AJ866" s="2"/>
      <c r="AK866" s="12"/>
    </row>
    <row r="867" spans="24:37" ht="15.75" customHeight="1" x14ac:dyDescent="0.2">
      <c r="X867" s="2"/>
      <c r="Y867" s="2"/>
      <c r="AI867" s="2"/>
      <c r="AJ867" s="2"/>
      <c r="AK867" s="12"/>
    </row>
    <row r="868" spans="24:37" ht="15.75" customHeight="1" x14ac:dyDescent="0.2">
      <c r="X868" s="2"/>
      <c r="Y868" s="2"/>
      <c r="AI868" s="2"/>
      <c r="AJ868" s="2"/>
      <c r="AK868" s="12"/>
    </row>
    <row r="869" spans="24:37" ht="15.75" customHeight="1" x14ac:dyDescent="0.2">
      <c r="X869" s="2"/>
      <c r="Y869" s="2"/>
      <c r="AI869" s="2"/>
      <c r="AJ869" s="2"/>
      <c r="AK869" s="12"/>
    </row>
    <row r="870" spans="24:37" ht="15.75" customHeight="1" x14ac:dyDescent="0.2">
      <c r="X870" s="2"/>
      <c r="Y870" s="2"/>
      <c r="AI870" s="2"/>
      <c r="AJ870" s="2"/>
      <c r="AK870" s="12"/>
    </row>
    <row r="871" spans="24:37" ht="15.75" customHeight="1" x14ac:dyDescent="0.2">
      <c r="X871" s="2"/>
      <c r="Y871" s="2"/>
      <c r="AI871" s="2"/>
      <c r="AJ871" s="2"/>
      <c r="AK871" s="12"/>
    </row>
    <row r="872" spans="24:37" ht="15.75" customHeight="1" x14ac:dyDescent="0.2">
      <c r="X872" s="2"/>
      <c r="Y872" s="2"/>
      <c r="AI872" s="2"/>
      <c r="AJ872" s="2"/>
      <c r="AK872" s="12"/>
    </row>
    <row r="873" spans="24:37" ht="15.75" customHeight="1" x14ac:dyDescent="0.2">
      <c r="X873" s="2"/>
      <c r="Y873" s="2"/>
      <c r="AI873" s="2"/>
      <c r="AJ873" s="2"/>
      <c r="AK873" s="12"/>
    </row>
    <row r="874" spans="24:37" ht="15.75" customHeight="1" x14ac:dyDescent="0.2">
      <c r="X874" s="2"/>
      <c r="Y874" s="2"/>
      <c r="AI874" s="2"/>
      <c r="AJ874" s="2"/>
      <c r="AK874" s="12"/>
    </row>
    <row r="875" spans="24:37" ht="15.75" customHeight="1" x14ac:dyDescent="0.2">
      <c r="X875" s="2"/>
      <c r="Y875" s="2"/>
      <c r="AI875" s="2"/>
      <c r="AJ875" s="2"/>
      <c r="AK875" s="12"/>
    </row>
    <row r="876" spans="24:37" ht="15.75" customHeight="1" x14ac:dyDescent="0.2">
      <c r="X876" s="2"/>
      <c r="Y876" s="2"/>
      <c r="AI876" s="2"/>
      <c r="AJ876" s="2"/>
      <c r="AK876" s="12"/>
    </row>
    <row r="877" spans="24:37" ht="15.75" customHeight="1" x14ac:dyDescent="0.2">
      <c r="X877" s="2"/>
      <c r="Y877" s="2"/>
      <c r="AI877" s="2"/>
      <c r="AJ877" s="2"/>
      <c r="AK877" s="12"/>
    </row>
    <row r="878" spans="24:37" ht="15.75" customHeight="1" x14ac:dyDescent="0.2">
      <c r="X878" s="2"/>
      <c r="Y878" s="2"/>
      <c r="AI878" s="2"/>
      <c r="AJ878" s="2"/>
      <c r="AK878" s="12"/>
    </row>
    <row r="879" spans="24:37" ht="15.75" customHeight="1" x14ac:dyDescent="0.2">
      <c r="X879" s="2"/>
      <c r="Y879" s="2"/>
      <c r="AI879" s="2"/>
      <c r="AJ879" s="2"/>
      <c r="AK879" s="12"/>
    </row>
    <row r="880" spans="24:37" ht="15.75" customHeight="1" x14ac:dyDescent="0.2">
      <c r="X880" s="2"/>
      <c r="Y880" s="2"/>
      <c r="AI880" s="2"/>
      <c r="AJ880" s="2"/>
      <c r="AK880" s="12"/>
    </row>
    <row r="881" spans="24:37" ht="15.75" customHeight="1" x14ac:dyDescent="0.2">
      <c r="X881" s="2"/>
      <c r="Y881" s="2"/>
      <c r="AI881" s="2"/>
      <c r="AJ881" s="2"/>
      <c r="AK881" s="12"/>
    </row>
    <row r="882" spans="24:37" ht="15.75" customHeight="1" x14ac:dyDescent="0.2">
      <c r="X882" s="2"/>
      <c r="Y882" s="2"/>
      <c r="AI882" s="2"/>
      <c r="AJ882" s="2"/>
      <c r="AK882" s="12"/>
    </row>
    <row r="883" spans="24:37" ht="15.75" customHeight="1" x14ac:dyDescent="0.2">
      <c r="X883" s="2"/>
      <c r="Y883" s="2"/>
      <c r="AI883" s="2"/>
      <c r="AJ883" s="2"/>
      <c r="AK883" s="12"/>
    </row>
    <row r="884" spans="24:37" ht="15.75" customHeight="1" x14ac:dyDescent="0.2">
      <c r="X884" s="2"/>
      <c r="Y884" s="2"/>
      <c r="AI884" s="2"/>
      <c r="AJ884" s="2"/>
      <c r="AK884" s="12"/>
    </row>
    <row r="885" spans="24:37" ht="15.75" customHeight="1" x14ac:dyDescent="0.2">
      <c r="X885" s="2"/>
      <c r="Y885" s="2"/>
      <c r="AI885" s="2"/>
      <c r="AJ885" s="2"/>
      <c r="AK885" s="12"/>
    </row>
    <row r="886" spans="24:37" ht="15.75" customHeight="1" x14ac:dyDescent="0.2">
      <c r="X886" s="2"/>
      <c r="Y886" s="2"/>
      <c r="AI886" s="2"/>
      <c r="AJ886" s="2"/>
      <c r="AK886" s="12"/>
    </row>
    <row r="887" spans="24:37" ht="15.75" customHeight="1" x14ac:dyDescent="0.2">
      <c r="X887" s="2"/>
      <c r="Y887" s="2"/>
      <c r="AI887" s="2"/>
      <c r="AJ887" s="2"/>
      <c r="AK887" s="12"/>
    </row>
    <row r="888" spans="24:37" ht="15.75" customHeight="1" x14ac:dyDescent="0.2">
      <c r="X888" s="2"/>
      <c r="Y888" s="2"/>
      <c r="AI888" s="2"/>
      <c r="AJ888" s="2"/>
      <c r="AK888" s="12"/>
    </row>
    <row r="889" spans="24:37" ht="15.75" customHeight="1" x14ac:dyDescent="0.2">
      <c r="X889" s="2"/>
      <c r="Y889" s="2"/>
      <c r="AI889" s="2"/>
      <c r="AJ889" s="2"/>
      <c r="AK889" s="12"/>
    </row>
    <row r="890" spans="24:37" ht="15.75" customHeight="1" x14ac:dyDescent="0.2">
      <c r="X890" s="2"/>
      <c r="Y890" s="2"/>
      <c r="AI890" s="2"/>
      <c r="AJ890" s="2"/>
      <c r="AK890" s="12"/>
    </row>
    <row r="891" spans="24:37" ht="15.75" customHeight="1" x14ac:dyDescent="0.2">
      <c r="X891" s="2"/>
      <c r="Y891" s="2"/>
      <c r="AI891" s="2"/>
      <c r="AJ891" s="2"/>
      <c r="AK891" s="12"/>
    </row>
    <row r="892" spans="24:37" ht="15.75" customHeight="1" x14ac:dyDescent="0.2">
      <c r="X892" s="2"/>
      <c r="Y892" s="2"/>
      <c r="AI892" s="2"/>
      <c r="AJ892" s="2"/>
      <c r="AK892" s="12"/>
    </row>
    <row r="893" spans="24:37" ht="15.75" customHeight="1" x14ac:dyDescent="0.2">
      <c r="X893" s="2"/>
      <c r="Y893" s="2"/>
      <c r="AI893" s="2"/>
      <c r="AJ893" s="2"/>
      <c r="AK893" s="12"/>
    </row>
    <row r="894" spans="24:37" ht="15.75" customHeight="1" x14ac:dyDescent="0.2">
      <c r="X894" s="2"/>
      <c r="Y894" s="2"/>
      <c r="AI894" s="2"/>
      <c r="AJ894" s="2"/>
      <c r="AK894" s="12"/>
    </row>
    <row r="895" spans="24:37" ht="15.75" customHeight="1" x14ac:dyDescent="0.2">
      <c r="X895" s="2"/>
      <c r="Y895" s="2"/>
      <c r="AI895" s="2"/>
      <c r="AJ895" s="2"/>
      <c r="AK895" s="12"/>
    </row>
    <row r="896" spans="24:37" ht="15.75" customHeight="1" x14ac:dyDescent="0.2">
      <c r="X896" s="2"/>
      <c r="Y896" s="2"/>
      <c r="AI896" s="2"/>
      <c r="AJ896" s="2"/>
      <c r="AK896" s="12"/>
    </row>
    <row r="897" spans="24:37" ht="15.75" customHeight="1" x14ac:dyDescent="0.2">
      <c r="X897" s="2"/>
      <c r="Y897" s="2"/>
      <c r="AI897" s="2"/>
      <c r="AJ897" s="2"/>
      <c r="AK897" s="12"/>
    </row>
    <row r="898" spans="24:37" ht="15.75" customHeight="1" x14ac:dyDescent="0.2">
      <c r="X898" s="2"/>
      <c r="Y898" s="2"/>
      <c r="AI898" s="2"/>
      <c r="AJ898" s="2"/>
      <c r="AK898" s="12"/>
    </row>
    <row r="899" spans="24:37" ht="15.75" customHeight="1" x14ac:dyDescent="0.2">
      <c r="X899" s="2"/>
      <c r="Y899" s="2"/>
      <c r="AI899" s="2"/>
      <c r="AJ899" s="2"/>
      <c r="AK899" s="12"/>
    </row>
    <row r="900" spans="24:37" ht="15.75" customHeight="1" x14ac:dyDescent="0.2">
      <c r="X900" s="2"/>
      <c r="Y900" s="2"/>
      <c r="AI900" s="2"/>
      <c r="AJ900" s="2"/>
      <c r="AK900" s="12"/>
    </row>
    <row r="901" spans="24:37" ht="15.75" customHeight="1" x14ac:dyDescent="0.2">
      <c r="X901" s="2"/>
      <c r="Y901" s="2"/>
      <c r="AI901" s="2"/>
      <c r="AJ901" s="2"/>
      <c r="AK901" s="12"/>
    </row>
    <row r="902" spans="24:37" ht="15.75" customHeight="1" x14ac:dyDescent="0.2">
      <c r="X902" s="2"/>
      <c r="Y902" s="2"/>
      <c r="AI902" s="2"/>
      <c r="AJ902" s="2"/>
      <c r="AK902" s="12"/>
    </row>
    <row r="903" spans="24:37" ht="15.75" customHeight="1" x14ac:dyDescent="0.2">
      <c r="X903" s="2"/>
      <c r="Y903" s="2"/>
      <c r="AI903" s="2"/>
      <c r="AJ903" s="2"/>
      <c r="AK903" s="12"/>
    </row>
    <row r="904" spans="24:37" ht="15.75" customHeight="1" x14ac:dyDescent="0.2">
      <c r="X904" s="2"/>
      <c r="Y904" s="2"/>
      <c r="AI904" s="2"/>
      <c r="AJ904" s="2"/>
      <c r="AK904" s="12"/>
    </row>
    <row r="905" spans="24:37" ht="15.75" customHeight="1" x14ac:dyDescent="0.2">
      <c r="X905" s="2"/>
      <c r="Y905" s="2"/>
      <c r="AI905" s="2"/>
      <c r="AJ905" s="2"/>
      <c r="AK905" s="12"/>
    </row>
    <row r="906" spans="24:37" ht="15.75" customHeight="1" x14ac:dyDescent="0.2">
      <c r="X906" s="2"/>
      <c r="Y906" s="2"/>
      <c r="AI906" s="2"/>
      <c r="AJ906" s="2"/>
      <c r="AK906" s="12"/>
    </row>
    <row r="907" spans="24:37" ht="15.75" customHeight="1" x14ac:dyDescent="0.2">
      <c r="X907" s="2"/>
      <c r="Y907" s="2"/>
      <c r="AI907" s="2"/>
      <c r="AJ907" s="2"/>
      <c r="AK907" s="12"/>
    </row>
    <row r="908" spans="24:37" ht="15.75" customHeight="1" x14ac:dyDescent="0.2">
      <c r="X908" s="2"/>
      <c r="Y908" s="2"/>
      <c r="AI908" s="2"/>
      <c r="AJ908" s="2"/>
      <c r="AK908" s="12"/>
    </row>
    <row r="909" spans="24:37" ht="15.75" customHeight="1" x14ac:dyDescent="0.2">
      <c r="X909" s="2"/>
      <c r="Y909" s="2"/>
      <c r="AI909" s="2"/>
      <c r="AJ909" s="2"/>
      <c r="AK909" s="12"/>
    </row>
    <row r="910" spans="24:37" ht="15.75" customHeight="1" x14ac:dyDescent="0.2">
      <c r="X910" s="2"/>
      <c r="Y910" s="2"/>
      <c r="AI910" s="2"/>
      <c r="AJ910" s="2"/>
      <c r="AK910" s="12"/>
    </row>
    <row r="911" spans="24:37" ht="15.75" customHeight="1" x14ac:dyDescent="0.2">
      <c r="X911" s="2"/>
      <c r="Y911" s="2"/>
      <c r="AI911" s="2"/>
      <c r="AJ911" s="2"/>
      <c r="AK911" s="12"/>
    </row>
    <row r="912" spans="24:37" ht="15.75" customHeight="1" x14ac:dyDescent="0.2">
      <c r="X912" s="2"/>
      <c r="Y912" s="2"/>
      <c r="AI912" s="2"/>
      <c r="AJ912" s="2"/>
      <c r="AK912" s="12"/>
    </row>
    <row r="913" spans="24:37" ht="15.75" customHeight="1" x14ac:dyDescent="0.2">
      <c r="X913" s="2"/>
      <c r="Y913" s="2"/>
      <c r="AI913" s="2"/>
      <c r="AJ913" s="2"/>
      <c r="AK913" s="12"/>
    </row>
    <row r="914" spans="24:37" ht="15.75" customHeight="1" x14ac:dyDescent="0.2">
      <c r="X914" s="2"/>
      <c r="Y914" s="2"/>
      <c r="AI914" s="2"/>
      <c r="AJ914" s="2"/>
      <c r="AK914" s="12"/>
    </row>
    <row r="915" spans="24:37" ht="15.75" customHeight="1" x14ac:dyDescent="0.2">
      <c r="X915" s="2"/>
      <c r="Y915" s="2"/>
      <c r="AI915" s="2"/>
      <c r="AJ915" s="2"/>
      <c r="AK915" s="12"/>
    </row>
    <row r="916" spans="24:37" ht="15.75" customHeight="1" x14ac:dyDescent="0.2">
      <c r="X916" s="2"/>
      <c r="Y916" s="2"/>
      <c r="AI916" s="2"/>
      <c r="AJ916" s="2"/>
      <c r="AK916" s="12"/>
    </row>
    <row r="917" spans="24:37" ht="15.75" customHeight="1" x14ac:dyDescent="0.2">
      <c r="X917" s="2"/>
      <c r="Y917" s="2"/>
      <c r="AI917" s="2"/>
      <c r="AJ917" s="2"/>
      <c r="AK917" s="12"/>
    </row>
    <row r="918" spans="24:37" ht="15.75" customHeight="1" x14ac:dyDescent="0.2">
      <c r="X918" s="2"/>
      <c r="Y918" s="2"/>
      <c r="AI918" s="2"/>
      <c r="AJ918" s="2"/>
      <c r="AK918" s="12"/>
    </row>
    <row r="919" spans="24:37" ht="15.75" customHeight="1" x14ac:dyDescent="0.2">
      <c r="X919" s="2"/>
      <c r="Y919" s="2"/>
      <c r="AI919" s="2"/>
      <c r="AJ919" s="2"/>
      <c r="AK919" s="12"/>
    </row>
    <row r="920" spans="24:37" ht="15.75" customHeight="1" x14ac:dyDescent="0.2">
      <c r="X920" s="2"/>
      <c r="Y920" s="2"/>
      <c r="AI920" s="2"/>
      <c r="AJ920" s="2"/>
      <c r="AK920" s="12"/>
    </row>
    <row r="921" spans="24:37" ht="15.75" customHeight="1" x14ac:dyDescent="0.2">
      <c r="X921" s="2"/>
      <c r="Y921" s="2"/>
      <c r="AI921" s="2"/>
      <c r="AJ921" s="2"/>
      <c r="AK921" s="12"/>
    </row>
    <row r="922" spans="24:37" ht="15.75" customHeight="1" x14ac:dyDescent="0.2">
      <c r="X922" s="2"/>
      <c r="Y922" s="2"/>
      <c r="AI922" s="2"/>
      <c r="AJ922" s="2"/>
      <c r="AK922" s="12"/>
    </row>
    <row r="923" spans="24:37" ht="15.75" customHeight="1" x14ac:dyDescent="0.2">
      <c r="X923" s="2"/>
      <c r="Y923" s="2"/>
      <c r="AI923" s="2"/>
      <c r="AJ923" s="2"/>
      <c r="AK923" s="12"/>
    </row>
    <row r="924" spans="24:37" ht="15.75" customHeight="1" x14ac:dyDescent="0.2">
      <c r="X924" s="2"/>
      <c r="Y924" s="2"/>
      <c r="AI924" s="2"/>
      <c r="AJ924" s="2"/>
      <c r="AK924" s="12"/>
    </row>
    <row r="925" spans="24:37" ht="15.75" customHeight="1" x14ac:dyDescent="0.2">
      <c r="X925" s="2"/>
      <c r="Y925" s="2"/>
      <c r="AI925" s="2"/>
      <c r="AJ925" s="2"/>
      <c r="AK925" s="12"/>
    </row>
    <row r="926" spans="24:37" ht="15.75" customHeight="1" x14ac:dyDescent="0.2">
      <c r="X926" s="2"/>
      <c r="Y926" s="2"/>
      <c r="AI926" s="2"/>
      <c r="AJ926" s="2"/>
      <c r="AK926" s="12"/>
    </row>
    <row r="927" spans="24:37" ht="15.75" customHeight="1" x14ac:dyDescent="0.2">
      <c r="X927" s="2"/>
      <c r="Y927" s="2"/>
      <c r="AI927" s="2"/>
      <c r="AJ927" s="2"/>
      <c r="AK927" s="12"/>
    </row>
    <row r="928" spans="24:37" ht="15.75" customHeight="1" x14ac:dyDescent="0.2">
      <c r="X928" s="2"/>
      <c r="Y928" s="2"/>
      <c r="AI928" s="2"/>
      <c r="AJ928" s="2"/>
      <c r="AK928" s="12"/>
    </row>
    <row r="929" spans="24:37" ht="15.75" customHeight="1" x14ac:dyDescent="0.2">
      <c r="X929" s="2"/>
      <c r="Y929" s="2"/>
      <c r="AI929" s="2"/>
      <c r="AJ929" s="2"/>
      <c r="AK929" s="12"/>
    </row>
    <row r="930" spans="24:37" ht="15.75" customHeight="1" x14ac:dyDescent="0.2">
      <c r="X930" s="2"/>
      <c r="Y930" s="2"/>
      <c r="AI930" s="2"/>
      <c r="AJ930" s="2"/>
      <c r="AK930" s="12"/>
    </row>
    <row r="931" spans="24:37" ht="15.75" customHeight="1" x14ac:dyDescent="0.2">
      <c r="X931" s="2"/>
      <c r="Y931" s="2"/>
      <c r="AI931" s="2"/>
      <c r="AJ931" s="2"/>
      <c r="AK931" s="12"/>
    </row>
    <row r="932" spans="24:37" ht="15.75" customHeight="1" x14ac:dyDescent="0.2">
      <c r="X932" s="2"/>
      <c r="Y932" s="2"/>
      <c r="AI932" s="2"/>
      <c r="AJ932" s="2"/>
      <c r="AK932" s="12"/>
    </row>
    <row r="933" spans="24:37" ht="15.75" customHeight="1" x14ac:dyDescent="0.2">
      <c r="X933" s="2"/>
      <c r="Y933" s="2"/>
      <c r="AI933" s="2"/>
      <c r="AJ933" s="2"/>
      <c r="AK933" s="12"/>
    </row>
    <row r="934" spans="24:37" ht="15.75" customHeight="1" x14ac:dyDescent="0.2">
      <c r="X934" s="2"/>
      <c r="Y934" s="2"/>
      <c r="AI934" s="2"/>
      <c r="AJ934" s="2"/>
      <c r="AK934" s="12"/>
    </row>
    <row r="935" spans="24:37" ht="15.75" customHeight="1" x14ac:dyDescent="0.2">
      <c r="X935" s="2"/>
      <c r="Y935" s="2"/>
      <c r="AI935" s="2"/>
      <c r="AJ935" s="2"/>
      <c r="AK935" s="12"/>
    </row>
    <row r="936" spans="24:37" ht="15.75" customHeight="1" x14ac:dyDescent="0.2">
      <c r="X936" s="2"/>
      <c r="Y936" s="2"/>
      <c r="AI936" s="2"/>
      <c r="AJ936" s="2"/>
      <c r="AK936" s="12"/>
    </row>
    <row r="937" spans="24:37" ht="15.75" customHeight="1" x14ac:dyDescent="0.2">
      <c r="X937" s="2"/>
      <c r="Y937" s="2"/>
      <c r="AI937" s="2"/>
      <c r="AJ937" s="2"/>
      <c r="AK937" s="12"/>
    </row>
    <row r="938" spans="24:37" ht="15.75" customHeight="1" x14ac:dyDescent="0.2">
      <c r="X938" s="2"/>
      <c r="Y938" s="2"/>
      <c r="AI938" s="2"/>
      <c r="AJ938" s="2"/>
      <c r="AK938" s="12"/>
    </row>
    <row r="939" spans="24:37" ht="15.75" customHeight="1" x14ac:dyDescent="0.2">
      <c r="X939" s="2"/>
      <c r="Y939" s="2"/>
      <c r="AI939" s="2"/>
      <c r="AJ939" s="2"/>
      <c r="AK939" s="12"/>
    </row>
    <row r="940" spans="24:37" ht="15.75" customHeight="1" x14ac:dyDescent="0.2">
      <c r="X940" s="2"/>
      <c r="Y940" s="2"/>
      <c r="AI940" s="2"/>
      <c r="AJ940" s="2"/>
      <c r="AK940" s="12"/>
    </row>
    <row r="941" spans="24:37" ht="15.75" customHeight="1" x14ac:dyDescent="0.2">
      <c r="X941" s="2"/>
      <c r="Y941" s="2"/>
      <c r="AI941" s="2"/>
      <c r="AJ941" s="2"/>
      <c r="AK941" s="12"/>
    </row>
    <row r="942" spans="24:37" ht="15.75" customHeight="1" x14ac:dyDescent="0.2">
      <c r="X942" s="2"/>
      <c r="Y942" s="2"/>
      <c r="AI942" s="2"/>
      <c r="AJ942" s="2"/>
      <c r="AK942" s="12"/>
    </row>
    <row r="943" spans="24:37" ht="15.75" customHeight="1" x14ac:dyDescent="0.2">
      <c r="X943" s="2"/>
      <c r="Y943" s="2"/>
      <c r="AI943" s="2"/>
      <c r="AJ943" s="2"/>
      <c r="AK943" s="12"/>
    </row>
    <row r="944" spans="24:37" ht="15.75" customHeight="1" x14ac:dyDescent="0.2">
      <c r="X944" s="2"/>
      <c r="Y944" s="2"/>
      <c r="AI944" s="2"/>
      <c r="AJ944" s="2"/>
      <c r="AK944" s="12"/>
    </row>
    <row r="945" spans="24:37" ht="15.75" customHeight="1" x14ac:dyDescent="0.2">
      <c r="X945" s="2"/>
      <c r="Y945" s="2"/>
      <c r="AI945" s="2"/>
      <c r="AJ945" s="2"/>
      <c r="AK945" s="12"/>
    </row>
    <row r="946" spans="24:37" ht="15.75" customHeight="1" x14ac:dyDescent="0.2">
      <c r="X946" s="2"/>
      <c r="Y946" s="2"/>
      <c r="AI946" s="2"/>
      <c r="AJ946" s="2"/>
      <c r="AK946" s="12"/>
    </row>
    <row r="947" spans="24:37" ht="15.75" customHeight="1" x14ac:dyDescent="0.2">
      <c r="X947" s="2"/>
      <c r="Y947" s="2"/>
      <c r="AI947" s="2"/>
      <c r="AJ947" s="2"/>
      <c r="AK947" s="12"/>
    </row>
    <row r="948" spans="24:37" ht="15.75" customHeight="1" x14ac:dyDescent="0.2">
      <c r="X948" s="2"/>
      <c r="Y948" s="2"/>
      <c r="AI948" s="2"/>
      <c r="AJ948" s="2"/>
      <c r="AK948" s="12"/>
    </row>
    <row r="949" spans="24:37" ht="15.75" customHeight="1" x14ac:dyDescent="0.2">
      <c r="X949" s="2"/>
      <c r="Y949" s="2"/>
      <c r="AI949" s="2"/>
      <c r="AJ949" s="2"/>
      <c r="AK949" s="12"/>
    </row>
    <row r="950" spans="24:37" ht="15.75" customHeight="1" x14ac:dyDescent="0.2">
      <c r="X950" s="2"/>
      <c r="Y950" s="2"/>
      <c r="AI950" s="2"/>
      <c r="AJ950" s="2"/>
      <c r="AK950" s="12"/>
    </row>
    <row r="951" spans="24:37" ht="15.75" customHeight="1" x14ac:dyDescent="0.2">
      <c r="X951" s="2"/>
      <c r="Y951" s="2"/>
      <c r="AI951" s="2"/>
      <c r="AJ951" s="2"/>
      <c r="AK951" s="12"/>
    </row>
    <row r="952" spans="24:37" ht="15.75" customHeight="1" x14ac:dyDescent="0.2">
      <c r="X952" s="2"/>
      <c r="Y952" s="2"/>
      <c r="AI952" s="2"/>
      <c r="AJ952" s="2"/>
      <c r="AK952" s="12"/>
    </row>
    <row r="953" spans="24:37" ht="15.75" customHeight="1" x14ac:dyDescent="0.2">
      <c r="X953" s="2"/>
      <c r="Y953" s="2"/>
      <c r="AI953" s="2"/>
      <c r="AJ953" s="2"/>
      <c r="AK953" s="12"/>
    </row>
    <row r="954" spans="24:37" ht="15.75" customHeight="1" x14ac:dyDescent="0.2">
      <c r="X954" s="2"/>
      <c r="Y954" s="2"/>
      <c r="AI954" s="2"/>
      <c r="AJ954" s="2"/>
      <c r="AK954" s="12"/>
    </row>
    <row r="955" spans="24:37" ht="15.75" customHeight="1" x14ac:dyDescent="0.2">
      <c r="X955" s="2"/>
      <c r="Y955" s="2"/>
      <c r="AI955" s="2"/>
      <c r="AJ955" s="2"/>
      <c r="AK955" s="12"/>
    </row>
    <row r="956" spans="24:37" ht="15.75" customHeight="1" x14ac:dyDescent="0.2">
      <c r="X956" s="2"/>
      <c r="Y956" s="2"/>
      <c r="AI956" s="2"/>
      <c r="AJ956" s="2"/>
      <c r="AK956" s="12"/>
    </row>
    <row r="957" spans="24:37" ht="15.75" customHeight="1" x14ac:dyDescent="0.2">
      <c r="X957" s="2"/>
      <c r="Y957" s="2"/>
      <c r="AI957" s="2"/>
      <c r="AJ957" s="2"/>
      <c r="AK957" s="12"/>
    </row>
    <row r="958" spans="24:37" ht="15.75" customHeight="1" x14ac:dyDescent="0.2">
      <c r="X958" s="2"/>
      <c r="Y958" s="2"/>
      <c r="AI958" s="2"/>
      <c r="AJ958" s="2"/>
      <c r="AK958" s="12"/>
    </row>
    <row r="959" spans="24:37" ht="15.75" customHeight="1" x14ac:dyDescent="0.2">
      <c r="X959" s="2"/>
      <c r="Y959" s="2"/>
      <c r="AI959" s="2"/>
      <c r="AJ959" s="2"/>
      <c r="AK959" s="12"/>
    </row>
    <row r="960" spans="24:37" ht="15.75" customHeight="1" x14ac:dyDescent="0.2">
      <c r="X960" s="2"/>
      <c r="Y960" s="2"/>
      <c r="AI960" s="2"/>
      <c r="AJ960" s="2"/>
      <c r="AK960" s="12"/>
    </row>
    <row r="961" spans="24:37" ht="15.75" customHeight="1" x14ac:dyDescent="0.2">
      <c r="X961" s="2"/>
      <c r="Y961" s="2"/>
      <c r="AI961" s="2"/>
      <c r="AJ961" s="2"/>
      <c r="AK961" s="12"/>
    </row>
    <row r="962" spans="24:37" ht="15.75" customHeight="1" x14ac:dyDescent="0.2">
      <c r="X962" s="2"/>
      <c r="Y962" s="2"/>
      <c r="AI962" s="2"/>
      <c r="AJ962" s="2"/>
      <c r="AK962" s="12"/>
    </row>
    <row r="963" spans="24:37" ht="15.75" customHeight="1" x14ac:dyDescent="0.2">
      <c r="X963" s="2"/>
      <c r="Y963" s="2"/>
      <c r="AI963" s="2"/>
      <c r="AJ963" s="2"/>
      <c r="AK963" s="12"/>
    </row>
    <row r="964" spans="24:37" ht="15.75" customHeight="1" x14ac:dyDescent="0.2">
      <c r="X964" s="2"/>
      <c r="Y964" s="2"/>
      <c r="AI964" s="2"/>
      <c r="AJ964" s="2"/>
      <c r="AK964" s="12"/>
    </row>
    <row r="965" spans="24:37" ht="15.75" customHeight="1" x14ac:dyDescent="0.2">
      <c r="X965" s="2"/>
      <c r="Y965" s="2"/>
      <c r="AI965" s="2"/>
      <c r="AJ965" s="2"/>
      <c r="AK965" s="12"/>
    </row>
    <row r="966" spans="24:37" ht="15.75" customHeight="1" x14ac:dyDescent="0.2">
      <c r="X966" s="2"/>
      <c r="Y966" s="2"/>
      <c r="AI966" s="2"/>
      <c r="AJ966" s="2"/>
      <c r="AK966" s="12"/>
    </row>
    <row r="967" spans="24:37" ht="15.75" customHeight="1" x14ac:dyDescent="0.2">
      <c r="X967" s="2"/>
      <c r="Y967" s="2"/>
      <c r="AI967" s="2"/>
      <c r="AJ967" s="2"/>
      <c r="AK967" s="12"/>
    </row>
    <row r="968" spans="24:37" ht="15.75" customHeight="1" x14ac:dyDescent="0.2">
      <c r="X968" s="2"/>
      <c r="Y968" s="2"/>
      <c r="AI968" s="2"/>
      <c r="AJ968" s="2"/>
      <c r="AK968" s="12"/>
    </row>
    <row r="969" spans="24:37" ht="15.75" customHeight="1" x14ac:dyDescent="0.2">
      <c r="X969" s="2"/>
      <c r="Y969" s="2"/>
      <c r="AI969" s="2"/>
      <c r="AJ969" s="2"/>
      <c r="AK969" s="12"/>
    </row>
    <row r="970" spans="24:37" ht="15.75" customHeight="1" x14ac:dyDescent="0.2">
      <c r="X970" s="2"/>
      <c r="Y970" s="2"/>
      <c r="AI970" s="2"/>
      <c r="AJ970" s="2"/>
      <c r="AK970" s="12"/>
    </row>
    <row r="971" spans="24:37" ht="15.75" customHeight="1" x14ac:dyDescent="0.2">
      <c r="X971" s="2"/>
      <c r="Y971" s="2"/>
      <c r="AI971" s="2"/>
      <c r="AJ971" s="2"/>
      <c r="AK971" s="12"/>
    </row>
    <row r="972" spans="24:37" ht="15.75" customHeight="1" x14ac:dyDescent="0.2">
      <c r="X972" s="2"/>
      <c r="Y972" s="2"/>
      <c r="AI972" s="2"/>
      <c r="AJ972" s="2"/>
      <c r="AK972" s="12"/>
    </row>
    <row r="973" spans="24:37" ht="15.75" customHeight="1" x14ac:dyDescent="0.2">
      <c r="X973" s="2"/>
      <c r="Y973" s="2"/>
      <c r="AI973" s="2"/>
      <c r="AJ973" s="2"/>
      <c r="AK973" s="12"/>
    </row>
    <row r="974" spans="24:37" ht="15.75" customHeight="1" x14ac:dyDescent="0.2">
      <c r="X974" s="2"/>
      <c r="Y974" s="2"/>
      <c r="AI974" s="2"/>
      <c r="AJ974" s="2"/>
      <c r="AK974" s="12"/>
    </row>
    <row r="975" spans="24:37" ht="15.75" customHeight="1" x14ac:dyDescent="0.2">
      <c r="X975" s="2"/>
      <c r="Y975" s="2"/>
      <c r="AI975" s="2"/>
      <c r="AJ975" s="2"/>
      <c r="AK975" s="12"/>
    </row>
    <row r="976" spans="24:37" ht="15.75" customHeight="1" x14ac:dyDescent="0.2">
      <c r="X976" s="2"/>
      <c r="Y976" s="2"/>
      <c r="AI976" s="2"/>
      <c r="AJ976" s="2"/>
      <c r="AK976" s="12"/>
    </row>
    <row r="977" spans="24:37" ht="15.75" customHeight="1" x14ac:dyDescent="0.2">
      <c r="X977" s="2"/>
      <c r="Y977" s="2"/>
      <c r="AI977" s="2"/>
      <c r="AJ977" s="2"/>
      <c r="AK977" s="12"/>
    </row>
    <row r="978" spans="24:37" ht="15.75" customHeight="1" x14ac:dyDescent="0.2">
      <c r="X978" s="2"/>
      <c r="Y978" s="2"/>
      <c r="AI978" s="2"/>
      <c r="AJ978" s="2"/>
      <c r="AK978" s="12"/>
    </row>
    <row r="979" spans="24:37" ht="15.75" customHeight="1" x14ac:dyDescent="0.2">
      <c r="X979" s="2"/>
      <c r="Y979" s="2"/>
      <c r="AI979" s="2"/>
      <c r="AJ979" s="2"/>
      <c r="AK979" s="12"/>
    </row>
    <row r="980" spans="24:37" ht="15.75" customHeight="1" x14ac:dyDescent="0.2">
      <c r="X980" s="2"/>
      <c r="Y980" s="2"/>
      <c r="AI980" s="2"/>
      <c r="AJ980" s="2"/>
      <c r="AK980" s="12"/>
    </row>
    <row r="981" spans="24:37" ht="15.75" customHeight="1" x14ac:dyDescent="0.2">
      <c r="X981" s="2"/>
      <c r="Y981" s="2"/>
      <c r="AI981" s="2"/>
      <c r="AJ981" s="2"/>
      <c r="AK981" s="12"/>
    </row>
    <row r="982" spans="24:37" ht="15.75" customHeight="1" x14ac:dyDescent="0.2">
      <c r="X982" s="2"/>
      <c r="Y982" s="2"/>
      <c r="AI982" s="2"/>
      <c r="AJ982" s="2"/>
      <c r="AK982" s="12"/>
    </row>
    <row r="983" spans="24:37" ht="15.75" customHeight="1" x14ac:dyDescent="0.2">
      <c r="X983" s="2"/>
      <c r="Y983" s="2"/>
      <c r="AI983" s="2"/>
      <c r="AJ983" s="2"/>
      <c r="AK983" s="12"/>
    </row>
    <row r="984" spans="24:37" ht="15.75" customHeight="1" x14ac:dyDescent="0.2">
      <c r="X984" s="2"/>
      <c r="Y984" s="2"/>
      <c r="AI984" s="2"/>
      <c r="AJ984" s="2"/>
      <c r="AK984" s="12"/>
    </row>
    <row r="985" spans="24:37" ht="15.75" customHeight="1" x14ac:dyDescent="0.2">
      <c r="X985" s="2"/>
      <c r="Y985" s="2"/>
      <c r="AI985" s="2"/>
      <c r="AJ985" s="2"/>
      <c r="AK985" s="12"/>
    </row>
    <row r="986" spans="24:37" ht="15.75" customHeight="1" x14ac:dyDescent="0.2">
      <c r="X986" s="2"/>
      <c r="Y986" s="2"/>
      <c r="AI986" s="2"/>
      <c r="AJ986" s="2"/>
      <c r="AK986" s="12"/>
    </row>
    <row r="987" spans="24:37" ht="15.75" customHeight="1" x14ac:dyDescent="0.2">
      <c r="X987" s="2"/>
      <c r="Y987" s="2"/>
      <c r="AI987" s="2"/>
      <c r="AJ987" s="2"/>
      <c r="AK987" s="12"/>
    </row>
    <row r="988" spans="24:37" ht="15.75" customHeight="1" x14ac:dyDescent="0.2">
      <c r="X988" s="2"/>
      <c r="Y988" s="2"/>
      <c r="AI988" s="2"/>
      <c r="AJ988" s="2"/>
      <c r="AK988" s="12"/>
    </row>
    <row r="989" spans="24:37" ht="15.75" customHeight="1" x14ac:dyDescent="0.2">
      <c r="X989" s="2"/>
      <c r="Y989" s="2"/>
      <c r="AI989" s="2"/>
      <c r="AJ989" s="2"/>
      <c r="AK989" s="12"/>
    </row>
    <row r="990" spans="24:37" ht="15.75" customHeight="1" x14ac:dyDescent="0.2">
      <c r="X990" s="2"/>
      <c r="Y990" s="2"/>
      <c r="AI990" s="2"/>
      <c r="AJ990" s="2"/>
      <c r="AK990" s="12"/>
    </row>
    <row r="991" spans="24:37" ht="15.75" customHeight="1" x14ac:dyDescent="0.2">
      <c r="X991" s="2"/>
      <c r="Y991" s="2"/>
      <c r="AI991" s="2"/>
      <c r="AJ991" s="2"/>
      <c r="AK991" s="12"/>
    </row>
    <row r="992" spans="24:37" ht="15.75" customHeight="1" x14ac:dyDescent="0.2">
      <c r="X992" s="2"/>
      <c r="Y992" s="2"/>
      <c r="AI992" s="2"/>
      <c r="AJ992" s="2"/>
      <c r="AK992" s="12"/>
    </row>
    <row r="993" spans="24:37" ht="15.75" customHeight="1" x14ac:dyDescent="0.2">
      <c r="X993" s="2"/>
      <c r="Y993" s="2"/>
      <c r="AI993" s="2"/>
      <c r="AJ993" s="2"/>
      <c r="AK993" s="12"/>
    </row>
    <row r="994" spans="24:37" ht="15.75" customHeight="1" x14ac:dyDescent="0.2">
      <c r="X994" s="2"/>
      <c r="Y994" s="2"/>
      <c r="AI994" s="2"/>
      <c r="AJ994" s="2"/>
      <c r="AK994" s="12"/>
    </row>
    <row r="995" spans="24:37" ht="15.75" customHeight="1" x14ac:dyDescent="0.2">
      <c r="X995" s="2"/>
      <c r="Y995" s="2"/>
      <c r="AI995" s="2"/>
      <c r="AJ995" s="2"/>
      <c r="AK995" s="12"/>
    </row>
    <row r="996" spans="24:37" ht="15.75" customHeight="1" x14ac:dyDescent="0.2">
      <c r="X996" s="2"/>
      <c r="Y996" s="2"/>
      <c r="AI996" s="2"/>
      <c r="AJ996" s="2"/>
      <c r="AK996" s="12"/>
    </row>
    <row r="997" spans="24:37" ht="15.75" customHeight="1" x14ac:dyDescent="0.2">
      <c r="X997" s="2"/>
      <c r="Y997" s="2"/>
      <c r="AI997" s="2"/>
      <c r="AJ997" s="2"/>
      <c r="AK997" s="12"/>
    </row>
    <row r="998" spans="24:37" ht="15.75" customHeight="1" x14ac:dyDescent="0.2">
      <c r="X998" s="2"/>
      <c r="Y998" s="2"/>
      <c r="AI998" s="2"/>
      <c r="AJ998" s="2"/>
      <c r="AK998" s="12"/>
    </row>
    <row r="999" spans="24:37" ht="15.75" customHeight="1" x14ac:dyDescent="0.2">
      <c r="X999" s="2"/>
      <c r="Y999" s="2"/>
      <c r="AI999" s="2"/>
      <c r="AJ999" s="2"/>
      <c r="AK999" s="12"/>
    </row>
    <row r="1000" spans="24:37" ht="15.75" customHeight="1" x14ac:dyDescent="0.2">
      <c r="X1000" s="2"/>
      <c r="Y1000" s="2"/>
      <c r="AI1000" s="2"/>
      <c r="AJ1000" s="2"/>
      <c r="AK1000" s="1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L1000"/>
  <sheetViews>
    <sheetView workbookViewId="0"/>
  </sheetViews>
  <sheetFormatPr baseColWidth="10" defaultColWidth="14.5" defaultRowHeight="15" customHeight="1" x14ac:dyDescent="0.2"/>
  <cols>
    <col min="1" max="1" width="12.33203125" customWidth="1"/>
    <col min="2" max="2" width="34.83203125" customWidth="1"/>
    <col min="3" max="3" width="21.6640625" customWidth="1"/>
    <col min="4" max="4" width="9.5" customWidth="1"/>
    <col min="5" max="16" width="8.6640625" customWidth="1"/>
    <col min="17" max="18" width="9.1640625" customWidth="1"/>
    <col min="19" max="64" width="8.6640625" customWidth="1"/>
  </cols>
  <sheetData>
    <row r="1" spans="1:64" ht="12.75" customHeigh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298</v>
      </c>
      <c r="U1" s="3" t="s">
        <v>20</v>
      </c>
      <c r="V1" s="3" t="s">
        <v>21</v>
      </c>
      <c r="W1" s="3" t="s">
        <v>22</v>
      </c>
      <c r="X1" s="3" t="s">
        <v>299</v>
      </c>
      <c r="Y1" s="3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3" t="s">
        <v>31</v>
      </c>
      <c r="AG1" s="3" t="s">
        <v>21</v>
      </c>
      <c r="AH1" s="3" t="s">
        <v>32</v>
      </c>
      <c r="AI1" s="3" t="s">
        <v>300</v>
      </c>
      <c r="AJ1" s="3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3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ht="12.75" customHeight="1" x14ac:dyDescent="0.2">
      <c r="A2" s="16" t="s">
        <v>301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</row>
    <row r="3" spans="1:64" ht="12.75" customHeight="1" x14ac:dyDescent="0.2">
      <c r="A3" s="10">
        <v>46085</v>
      </c>
      <c r="B3" s="11">
        <v>0.45626157407407408</v>
      </c>
      <c r="C3" s="1" t="s">
        <v>43</v>
      </c>
      <c r="D3" s="1" t="s">
        <v>69</v>
      </c>
      <c r="E3" s="1">
        <v>19</v>
      </c>
      <c r="F3" s="1" t="s">
        <v>46</v>
      </c>
      <c r="G3" s="1">
        <v>1</v>
      </c>
      <c r="H3" s="1">
        <v>1</v>
      </c>
      <c r="I3" s="1" t="s">
        <v>47</v>
      </c>
      <c r="J3" s="1" t="s">
        <v>48</v>
      </c>
      <c r="K3" s="1">
        <v>1.89E-2</v>
      </c>
      <c r="L3" s="1">
        <v>0.41</v>
      </c>
      <c r="M3" s="1">
        <v>-1.72</v>
      </c>
      <c r="N3" s="1" t="s">
        <v>49</v>
      </c>
      <c r="O3" s="1" t="s">
        <v>50</v>
      </c>
      <c r="P3" s="1">
        <v>7.5200000000000003E-2</v>
      </c>
      <c r="Q3" s="1">
        <v>0.97099999999999997</v>
      </c>
      <c r="R3" s="1">
        <v>-7.82</v>
      </c>
      <c r="S3" s="6"/>
      <c r="T3" s="6">
        <v>1</v>
      </c>
      <c r="U3" s="6">
        <v>1</v>
      </c>
      <c r="V3" s="6"/>
      <c r="W3" s="12">
        <v>-1.72</v>
      </c>
      <c r="X3" s="9">
        <v>-1.72</v>
      </c>
      <c r="Y3" s="9">
        <v>-1.72</v>
      </c>
      <c r="Z3" s="6"/>
      <c r="AA3" s="6"/>
      <c r="AB3" s="6"/>
      <c r="AC3" s="6"/>
      <c r="AD3" s="6"/>
      <c r="AE3" s="6"/>
      <c r="AF3" s="6">
        <v>1</v>
      </c>
      <c r="AG3" s="6"/>
      <c r="AH3" s="6">
        <v>-7.82</v>
      </c>
      <c r="AI3" s="6">
        <v>-7.82</v>
      </c>
      <c r="AJ3" s="6">
        <v>-7.82</v>
      </c>
      <c r="AK3" s="9"/>
      <c r="AL3" s="6"/>
      <c r="AM3" s="9"/>
      <c r="AN3" s="6"/>
      <c r="AO3" s="9"/>
      <c r="AP3" s="6"/>
      <c r="AQ3" s="6"/>
      <c r="AR3" s="6">
        <v>37</v>
      </c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</row>
    <row r="4" spans="1:64" ht="12.75" customHeight="1" x14ac:dyDescent="0.2">
      <c r="A4" s="10">
        <v>46085</v>
      </c>
      <c r="B4" s="11">
        <v>0.4571527777777778</v>
      </c>
      <c r="C4" s="1" t="s">
        <v>43</v>
      </c>
      <c r="D4" s="1" t="s">
        <v>69</v>
      </c>
      <c r="E4" s="1">
        <v>20</v>
      </c>
      <c r="F4" s="1" t="s">
        <v>46</v>
      </c>
      <c r="G4" s="1">
        <v>1</v>
      </c>
      <c r="H4" s="1">
        <v>1</v>
      </c>
      <c r="I4" s="1" t="s">
        <v>47</v>
      </c>
      <c r="J4" s="1" t="s">
        <v>48</v>
      </c>
      <c r="K4" s="1">
        <v>1.9599999999999999E-2</v>
      </c>
      <c r="L4" s="1">
        <v>0.39500000000000002</v>
      </c>
      <c r="M4" s="1">
        <v>-2.2200000000000002</v>
      </c>
      <c r="N4" s="1" t="s">
        <v>49</v>
      </c>
      <c r="O4" s="1" t="s">
        <v>50</v>
      </c>
      <c r="P4" s="1">
        <v>8.8300000000000003E-2</v>
      </c>
      <c r="Q4" s="1">
        <v>1.1200000000000001</v>
      </c>
      <c r="R4" s="1">
        <v>3.67</v>
      </c>
      <c r="S4" s="6"/>
      <c r="T4" s="6">
        <v>1</v>
      </c>
      <c r="U4" s="6">
        <v>1</v>
      </c>
      <c r="V4" s="6"/>
      <c r="W4" s="12">
        <v>-2.2200000000000002</v>
      </c>
      <c r="X4" s="9">
        <v>-2.2200000000000002</v>
      </c>
      <c r="Y4" s="9">
        <v>-2.2200000000000002</v>
      </c>
      <c r="Z4" s="6"/>
      <c r="AA4" s="6"/>
      <c r="AB4" s="6"/>
      <c r="AC4" s="6"/>
      <c r="AD4" s="6"/>
      <c r="AE4" s="6"/>
      <c r="AF4" s="6">
        <v>1</v>
      </c>
      <c r="AG4" s="6"/>
      <c r="AH4" s="6">
        <v>3.67</v>
      </c>
      <c r="AI4" s="6">
        <v>3.67</v>
      </c>
      <c r="AJ4" s="6">
        <v>3.67</v>
      </c>
      <c r="AK4" s="9"/>
      <c r="AL4" s="6"/>
      <c r="AM4" s="9"/>
      <c r="AN4" s="6"/>
      <c r="AO4" s="9"/>
      <c r="AP4" s="6"/>
      <c r="AQ4" s="6"/>
      <c r="AR4" s="6">
        <v>38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4" ht="12.75" customHeight="1" x14ac:dyDescent="0.2">
      <c r="A5" s="10">
        <v>46085</v>
      </c>
      <c r="B5" s="11">
        <v>0.45804398148148145</v>
      </c>
      <c r="C5" s="1" t="s">
        <v>43</v>
      </c>
      <c r="D5" s="1" t="s">
        <v>69</v>
      </c>
      <c r="E5" s="1">
        <v>21</v>
      </c>
      <c r="F5" s="1" t="s">
        <v>46</v>
      </c>
      <c r="G5" s="1">
        <v>1</v>
      </c>
      <c r="H5" s="1">
        <v>1</v>
      </c>
      <c r="I5" s="1" t="s">
        <v>47</v>
      </c>
      <c r="J5" s="1" t="s">
        <v>48</v>
      </c>
      <c r="K5" s="1">
        <v>1.7399999999999999E-2</v>
      </c>
      <c r="L5" s="1">
        <v>0.41499999999999998</v>
      </c>
      <c r="M5" s="1">
        <v>-1.56</v>
      </c>
      <c r="N5" s="1" t="s">
        <v>49</v>
      </c>
      <c r="O5" s="1" t="s">
        <v>50</v>
      </c>
      <c r="P5" s="1">
        <v>7.3599999999999999E-2</v>
      </c>
      <c r="Q5" s="1">
        <v>0.97799999999999998</v>
      </c>
      <c r="R5" s="1">
        <v>-7.26</v>
      </c>
      <c r="S5" s="6"/>
      <c r="T5" s="6">
        <v>1</v>
      </c>
      <c r="U5" s="6">
        <v>1</v>
      </c>
      <c r="V5" s="6"/>
      <c r="W5" s="12">
        <v>-1.56</v>
      </c>
      <c r="X5" s="9">
        <v>-1.56</v>
      </c>
      <c r="Y5" s="9">
        <v>-1.56</v>
      </c>
      <c r="Z5" s="6"/>
      <c r="AA5" s="6"/>
      <c r="AB5" s="6"/>
      <c r="AC5" s="6"/>
      <c r="AD5" s="6"/>
      <c r="AE5" s="6"/>
      <c r="AF5" s="6">
        <v>1</v>
      </c>
      <c r="AG5" s="6"/>
      <c r="AH5" s="6">
        <v>-7.26</v>
      </c>
      <c r="AI5" s="6">
        <v>-7.26</v>
      </c>
      <c r="AJ5" s="6">
        <v>-7.26</v>
      </c>
      <c r="AK5" s="9"/>
      <c r="AL5" s="6"/>
      <c r="AM5" s="9"/>
      <c r="AN5" s="6"/>
      <c r="AO5" s="9"/>
      <c r="AP5" s="6"/>
      <c r="AQ5" s="6"/>
      <c r="AR5" s="6">
        <v>39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spans="1:64" ht="12.75" customHeight="1" x14ac:dyDescent="0.2">
      <c r="A6" s="10">
        <v>46085</v>
      </c>
      <c r="B6" s="11">
        <v>0.45893518518518517</v>
      </c>
      <c r="C6" s="1" t="s">
        <v>43</v>
      </c>
      <c r="D6" s="1" t="s">
        <v>69</v>
      </c>
      <c r="E6" s="1">
        <v>22</v>
      </c>
      <c r="F6" s="1" t="s">
        <v>46</v>
      </c>
      <c r="G6" s="1">
        <v>1</v>
      </c>
      <c r="H6" s="1">
        <v>1</v>
      </c>
      <c r="I6" s="1" t="s">
        <v>47</v>
      </c>
      <c r="J6" s="1" t="s">
        <v>48</v>
      </c>
      <c r="K6" s="1">
        <v>2.12E-2</v>
      </c>
      <c r="L6" s="1">
        <v>0.48599999999999999</v>
      </c>
      <c r="M6" s="1">
        <v>0.81100000000000005</v>
      </c>
      <c r="N6" s="1" t="s">
        <v>49</v>
      </c>
      <c r="O6" s="1" t="s">
        <v>50</v>
      </c>
      <c r="P6" s="1">
        <v>7.51E-2</v>
      </c>
      <c r="Q6" s="1">
        <v>0.94399999999999995</v>
      </c>
      <c r="R6" s="1">
        <v>-9.93</v>
      </c>
      <c r="S6" s="6"/>
      <c r="T6" s="6">
        <v>1</v>
      </c>
      <c r="U6" s="6">
        <v>1</v>
      </c>
      <c r="V6" s="6"/>
      <c r="W6" s="12">
        <v>0.81100000000000005</v>
      </c>
      <c r="X6" s="9">
        <v>0.81100000000000005</v>
      </c>
      <c r="Y6" s="9">
        <v>0.81100000000000005</v>
      </c>
      <c r="Z6" s="6"/>
      <c r="AA6" s="6"/>
      <c r="AB6" s="6"/>
      <c r="AC6" s="6"/>
      <c r="AD6" s="6"/>
      <c r="AE6" s="6"/>
      <c r="AF6" s="6">
        <v>1</v>
      </c>
      <c r="AG6" s="6"/>
      <c r="AH6" s="6">
        <v>-9.93</v>
      </c>
      <c r="AI6" s="6">
        <v>-9.93</v>
      </c>
      <c r="AJ6" s="6">
        <v>-9.93</v>
      </c>
      <c r="AK6" s="9"/>
      <c r="AL6" s="6"/>
      <c r="AM6" s="9"/>
      <c r="AN6" s="6"/>
      <c r="AO6" s="9"/>
      <c r="AP6" s="6"/>
      <c r="AQ6" s="6"/>
      <c r="AR6" s="6">
        <v>40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spans="1:64" ht="12.75" customHeight="1" x14ac:dyDescent="0.2">
      <c r="A7" s="10">
        <v>46085</v>
      </c>
      <c r="B7" s="11">
        <v>0.45981481481481479</v>
      </c>
      <c r="C7" s="1" t="s">
        <v>43</v>
      </c>
      <c r="D7" s="1" t="s">
        <v>69</v>
      </c>
      <c r="E7" s="1">
        <v>23</v>
      </c>
      <c r="F7" s="1" t="s">
        <v>46</v>
      </c>
      <c r="G7" s="1">
        <v>1</v>
      </c>
      <c r="H7" s="1">
        <v>1</v>
      </c>
      <c r="I7" s="1" t="s">
        <v>47</v>
      </c>
      <c r="J7" s="1" t="s">
        <v>48</v>
      </c>
      <c r="K7" s="1">
        <v>2.0199999999999999E-2</v>
      </c>
      <c r="L7" s="1">
        <v>0.44600000000000001</v>
      </c>
      <c r="M7" s="1">
        <v>-0.53300000000000003</v>
      </c>
      <c r="N7" s="1" t="s">
        <v>49</v>
      </c>
      <c r="O7" s="1" t="s">
        <v>50</v>
      </c>
      <c r="P7" s="1">
        <v>7.9799999999999996E-2</v>
      </c>
      <c r="Q7" s="1">
        <v>1.1200000000000001</v>
      </c>
      <c r="R7" s="1">
        <v>3.8</v>
      </c>
      <c r="S7" s="6"/>
      <c r="T7" s="6">
        <v>1</v>
      </c>
      <c r="U7" s="6">
        <v>1</v>
      </c>
      <c r="V7" s="6"/>
      <c r="W7" s="12">
        <v>-0.53300000000000003</v>
      </c>
      <c r="X7" s="9">
        <v>-0.53300000000000003</v>
      </c>
      <c r="Y7" s="9">
        <v>-0.53300000000000003</v>
      </c>
      <c r="Z7" s="6"/>
      <c r="AA7" s="6"/>
      <c r="AB7" s="6"/>
      <c r="AC7" s="6"/>
      <c r="AD7" s="6"/>
      <c r="AE7" s="6"/>
      <c r="AF7" s="6">
        <v>1</v>
      </c>
      <c r="AG7" s="6"/>
      <c r="AH7" s="6">
        <v>3.8</v>
      </c>
      <c r="AI7" s="6">
        <v>3.8</v>
      </c>
      <c r="AJ7" s="6">
        <v>3.8</v>
      </c>
      <c r="AK7" s="9"/>
      <c r="AL7" s="6"/>
      <c r="AM7" s="9"/>
      <c r="AN7" s="6"/>
      <c r="AO7" s="9"/>
      <c r="AP7" s="6"/>
      <c r="AQ7" s="6"/>
      <c r="AR7" s="6">
        <v>41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1:64" ht="12.75" customHeight="1" x14ac:dyDescent="0.2">
      <c r="A8" s="10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12"/>
      <c r="AI8" s="9"/>
      <c r="AJ8" s="9"/>
      <c r="AK8" s="9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ht="12.75" customHeight="1" x14ac:dyDescent="0.2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12"/>
      <c r="AI9" s="9"/>
      <c r="AJ9" s="9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1:64" ht="12.75" customHeight="1" x14ac:dyDescent="0.2">
      <c r="A10" s="1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1:64" ht="12.75" customHeight="1" x14ac:dyDescent="0.2">
      <c r="A11" s="10"/>
      <c r="B11" s="14"/>
      <c r="C11" s="14"/>
      <c r="D11" s="14"/>
      <c r="E11" s="14"/>
      <c r="F11" s="14"/>
      <c r="G11" s="14"/>
      <c r="H11" s="14"/>
      <c r="I11" s="14"/>
      <c r="J11" s="14" t="s">
        <v>302</v>
      </c>
      <c r="K11" s="14"/>
      <c r="L11" s="14"/>
      <c r="M11" s="14">
        <v>0</v>
      </c>
      <c r="N11" s="14"/>
      <c r="O11" s="14" t="s">
        <v>302</v>
      </c>
      <c r="P11" s="14"/>
      <c r="Q11" s="14"/>
      <c r="R11" s="14">
        <v>0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1:64" ht="12.75" customHeight="1" x14ac:dyDescent="0.2">
      <c r="A12" s="10"/>
      <c r="B12" s="14"/>
      <c r="C12" s="14"/>
      <c r="D12" s="14"/>
      <c r="E12" s="14"/>
      <c r="F12" s="14"/>
      <c r="G12" s="14"/>
      <c r="H12" s="14"/>
      <c r="I12" s="14"/>
      <c r="J12" s="14" t="s">
        <v>303</v>
      </c>
      <c r="K12" s="14"/>
      <c r="L12" s="17">
        <f t="shared" ref="L12:M12" si="0">AVERAGE(L3:L7)</f>
        <v>0.4304</v>
      </c>
      <c r="M12" s="17">
        <f t="shared" si="0"/>
        <v>-1.0444</v>
      </c>
      <c r="N12" s="14"/>
      <c r="O12" s="14" t="s">
        <v>303</v>
      </c>
      <c r="P12" s="14"/>
      <c r="Q12" s="17">
        <f t="shared" ref="Q12:R12" si="1">AVERAGE(Q3:Q7)</f>
        <v>1.0266</v>
      </c>
      <c r="R12" s="17">
        <f t="shared" si="1"/>
        <v>-3.508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 spans="1:64" ht="12.75" customHeight="1" x14ac:dyDescent="0.2">
      <c r="A13" s="10"/>
      <c r="B13" s="14"/>
      <c r="C13" s="6"/>
      <c r="D13" s="14"/>
      <c r="E13" s="14"/>
      <c r="F13" s="14"/>
      <c r="G13" s="14"/>
      <c r="H13" s="14"/>
      <c r="I13" s="14"/>
      <c r="J13" s="14" t="s">
        <v>304</v>
      </c>
      <c r="K13" s="14"/>
      <c r="L13" s="17">
        <f t="shared" ref="L13:M13" si="2">_xlfn.STDEV.S(L3:L7)</f>
        <v>3.619806624669334E-2</v>
      </c>
      <c r="M13" s="17">
        <f t="shared" si="2"/>
        <v>1.205026265273915</v>
      </c>
      <c r="N13" s="14"/>
      <c r="O13" s="14" t="s">
        <v>304</v>
      </c>
      <c r="P13" s="14"/>
      <c r="Q13" s="17">
        <f t="shared" ref="Q13:R13" si="3">_xlfn.STDEV.S(Q3:Q7)</f>
        <v>8.6202088141761474E-2</v>
      </c>
      <c r="R13" s="17">
        <f t="shared" si="3"/>
        <v>6.6866187269800275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 spans="1:64" ht="12.75" customHeight="1" x14ac:dyDescent="0.2">
      <c r="A14" s="10"/>
      <c r="B14" s="14"/>
      <c r="C14" s="6"/>
      <c r="D14" s="14"/>
      <c r="E14" s="14"/>
      <c r="F14" s="14"/>
      <c r="G14" s="14"/>
      <c r="H14" s="14"/>
      <c r="I14" s="14"/>
      <c r="J14" s="14" t="s">
        <v>305</v>
      </c>
      <c r="K14" s="14"/>
      <c r="L14" s="17">
        <f t="shared" ref="L14:M14" si="4">100*L13/L12</f>
        <v>8.410331377019828</v>
      </c>
      <c r="M14" s="17">
        <f t="shared" si="4"/>
        <v>-115.37976496303284</v>
      </c>
      <c r="N14" s="14"/>
      <c r="O14" s="14" t="s">
        <v>305</v>
      </c>
      <c r="P14" s="14"/>
      <c r="Q14" s="17">
        <f t="shared" ref="Q14:R14" si="5">100*Q13/Q12</f>
        <v>8.3968525366999298</v>
      </c>
      <c r="R14" s="17">
        <f t="shared" si="5"/>
        <v>-190.61056804390043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 spans="1:64" ht="12.75" customHeight="1" x14ac:dyDescent="0.2">
      <c r="A15" s="10"/>
      <c r="B15" s="14"/>
      <c r="C15" s="6"/>
      <c r="D15" s="14"/>
      <c r="E15" s="14"/>
      <c r="F15" s="14"/>
      <c r="G15" s="14"/>
      <c r="H15" s="14"/>
      <c r="I15" s="14"/>
      <c r="J15" s="14" t="s">
        <v>306</v>
      </c>
      <c r="K15" s="14"/>
      <c r="L15" s="17">
        <f t="shared" ref="L15:M15" si="6">TINV(0.02,4)</f>
        <v>3.7469473879791968</v>
      </c>
      <c r="M15" s="17">
        <f t="shared" si="6"/>
        <v>3.7469473879791968</v>
      </c>
      <c r="N15" s="14"/>
      <c r="O15" s="14" t="s">
        <v>306</v>
      </c>
      <c r="P15" s="14"/>
      <c r="Q15" s="17">
        <f t="shared" ref="Q15:R15" si="7">TINV(0.02,4)</f>
        <v>3.7469473879791968</v>
      </c>
      <c r="R15" s="17">
        <f t="shared" si="7"/>
        <v>3.7469473879791968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 spans="1:64" ht="12.75" customHeight="1" x14ac:dyDescent="0.2">
      <c r="A16" s="10"/>
      <c r="B16" s="14"/>
      <c r="C16" s="6"/>
      <c r="D16" s="14"/>
      <c r="E16" s="14"/>
      <c r="F16" s="14"/>
      <c r="G16" s="14"/>
      <c r="H16" s="14"/>
      <c r="I16" s="14"/>
      <c r="J16" s="14" t="s">
        <v>307</v>
      </c>
      <c r="K16" s="14"/>
      <c r="L16" s="17">
        <f t="shared" ref="L16:M16" si="8">L13*L15</f>
        <v>0.13563224977294555</v>
      </c>
      <c r="M16" s="17">
        <f t="shared" si="8"/>
        <v>4.5151700171144222</v>
      </c>
      <c r="N16" s="14"/>
      <c r="O16" s="14" t="s">
        <v>307</v>
      </c>
      <c r="P16" s="14"/>
      <c r="Q16" s="17">
        <f t="shared" ref="Q16:R16" si="9">Q13*Q15</f>
        <v>0.32299468900112566</v>
      </c>
      <c r="R16" s="17">
        <f t="shared" si="9"/>
        <v>25.054408573470596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spans="1:64" ht="12.75" customHeight="1" x14ac:dyDescent="0.2">
      <c r="A17" s="10"/>
      <c r="B17" s="14"/>
      <c r="C17" s="6"/>
      <c r="D17" s="14"/>
      <c r="E17" s="14"/>
      <c r="F17" s="14"/>
      <c r="G17" s="14"/>
      <c r="H17" s="14"/>
      <c r="I17" s="14"/>
      <c r="J17" s="14" t="s">
        <v>308</v>
      </c>
      <c r="K17" s="14"/>
      <c r="L17" s="17">
        <f t="shared" ref="L17:M17" si="10">10*L13</f>
        <v>0.36198066246693339</v>
      </c>
      <c r="M17" s="17">
        <f t="shared" si="10"/>
        <v>12.05026265273915</v>
      </c>
      <c r="N17" s="14"/>
      <c r="O17" s="14" t="s">
        <v>308</v>
      </c>
      <c r="P17" s="14"/>
      <c r="Q17" s="17">
        <f t="shared" ref="Q17:R17" si="11">10*Q13</f>
        <v>0.86202088141761468</v>
      </c>
      <c r="R17" s="17">
        <f t="shared" si="11"/>
        <v>66.866187269800278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spans="1:64" ht="12.75" customHeight="1" x14ac:dyDescent="0.2">
      <c r="A18" s="10"/>
      <c r="B18" s="14"/>
      <c r="C18" s="6"/>
      <c r="D18" s="14"/>
      <c r="E18" s="14"/>
      <c r="F18" s="14"/>
      <c r="G18" s="14"/>
      <c r="H18" s="14"/>
      <c r="I18" s="14"/>
      <c r="J18" s="14" t="s">
        <v>309</v>
      </c>
      <c r="K18" s="14"/>
      <c r="L18" s="17"/>
      <c r="M18" s="17"/>
      <c r="N18" s="14"/>
      <c r="O18" s="14" t="s">
        <v>309</v>
      </c>
      <c r="P18" s="14"/>
      <c r="Q18" s="17"/>
      <c r="R18" s="17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spans="1:64" ht="12.75" customHeight="1" x14ac:dyDescent="0.2">
      <c r="A19" s="10"/>
      <c r="B19" s="14"/>
      <c r="C19" s="6"/>
      <c r="D19" s="14"/>
      <c r="E19" s="14"/>
      <c r="F19" s="14"/>
      <c r="G19" s="14"/>
      <c r="H19" s="14"/>
      <c r="I19" s="14"/>
      <c r="J19" s="14" t="s">
        <v>310</v>
      </c>
      <c r="K19" s="14"/>
      <c r="L19" s="17"/>
      <c r="M19" s="17"/>
      <c r="N19" s="14"/>
      <c r="O19" s="14" t="s">
        <v>310</v>
      </c>
      <c r="P19" s="14"/>
      <c r="Q19" s="17"/>
      <c r="R19" s="17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spans="1:64" ht="12.75" customHeight="1" x14ac:dyDescent="0.2">
      <c r="A20" s="10"/>
      <c r="B20" s="14"/>
      <c r="C20" s="6"/>
      <c r="D20" s="14"/>
      <c r="E20" s="14"/>
      <c r="F20" s="14"/>
      <c r="G20" s="14"/>
      <c r="H20" s="14"/>
      <c r="I20" s="14"/>
      <c r="J20" s="14" t="s">
        <v>311</v>
      </c>
      <c r="K20" s="14"/>
      <c r="L20" s="17"/>
      <c r="M20" s="17"/>
      <c r="N20" s="14"/>
      <c r="O20" s="14" t="s">
        <v>311</v>
      </c>
      <c r="P20" s="14"/>
      <c r="Q20" s="17"/>
      <c r="R20" s="17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64" ht="12.75" customHeight="1" x14ac:dyDescent="0.2">
      <c r="A21" s="16"/>
      <c r="B21" s="6"/>
      <c r="C21" s="6"/>
      <c r="D21" s="6"/>
      <c r="E21" s="6"/>
      <c r="F21" s="6"/>
      <c r="G21" s="6"/>
      <c r="H21" s="6"/>
      <c r="I21" s="6"/>
      <c r="J21" s="14" t="s">
        <v>312</v>
      </c>
      <c r="K21" s="6"/>
      <c r="L21" s="17">
        <f t="shared" ref="L21:M21" si="12">L12/L13</f>
        <v>11.890137916947888</v>
      </c>
      <c r="M21" s="17">
        <f t="shared" si="12"/>
        <v>-0.86670310025366715</v>
      </c>
      <c r="N21" s="6"/>
      <c r="O21" s="14" t="s">
        <v>312</v>
      </c>
      <c r="P21" s="6"/>
      <c r="Q21" s="17">
        <f t="shared" ref="Q21:R21" si="13">Q12/Q13</f>
        <v>11.909224267418335</v>
      </c>
      <c r="R21" s="17">
        <f t="shared" si="13"/>
        <v>-0.52462988294000845</v>
      </c>
      <c r="S21" s="6"/>
      <c r="T21" s="6"/>
      <c r="U21" s="6"/>
      <c r="V21" s="6"/>
      <c r="W21" s="6"/>
      <c r="X21" s="6" t="s">
        <v>313</v>
      </c>
      <c r="Y21" s="9">
        <f>AVERAGE(Y3:Y7)</f>
        <v>-1.0444</v>
      </c>
      <c r="Z21" s="6"/>
      <c r="AA21" s="6"/>
      <c r="AB21" s="6"/>
      <c r="AC21" s="6"/>
      <c r="AD21" s="6"/>
      <c r="AE21" s="6"/>
      <c r="AF21" s="6"/>
      <c r="AG21" s="6"/>
      <c r="AH21" s="6"/>
      <c r="AI21" s="6" t="s">
        <v>313</v>
      </c>
      <c r="AJ21" s="6">
        <f>AVERAGE(AJ3:AJ7)</f>
        <v>-3.508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64" ht="12.75" customHeight="1" x14ac:dyDescent="0.2">
      <c r="A22" s="16"/>
      <c r="B22" s="6"/>
      <c r="C22" s="6"/>
      <c r="D22" s="6"/>
      <c r="E22" s="6"/>
      <c r="F22" s="6" t="s">
        <v>314</v>
      </c>
      <c r="G22" s="6"/>
      <c r="H22" s="6" t="s">
        <v>315</v>
      </c>
      <c r="I22" s="6"/>
      <c r="J22" s="6"/>
      <c r="K22" s="6"/>
      <c r="L22" s="6" t="s">
        <v>316</v>
      </c>
      <c r="M22" s="6">
        <v>0.41489999999999999</v>
      </c>
      <c r="N22" s="6"/>
      <c r="O22" s="6"/>
      <c r="P22" s="6"/>
      <c r="Q22" s="6" t="s">
        <v>316</v>
      </c>
      <c r="R22" s="6">
        <v>0.35039999999999999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4" ht="12.75" customHeight="1" x14ac:dyDescent="0.2">
      <c r="A23" s="16"/>
      <c r="B23" s="6"/>
      <c r="C23" s="6"/>
      <c r="D23" s="6"/>
      <c r="E23" s="6"/>
      <c r="F23" s="6"/>
      <c r="G23" s="6"/>
      <c r="H23" s="6"/>
      <c r="I23" s="6"/>
      <c r="J23" s="6" t="s">
        <v>317</v>
      </c>
      <c r="K23" s="6"/>
      <c r="L23" s="6">
        <f>COUNT(M3:M10)</f>
        <v>5</v>
      </c>
      <c r="M23" s="6"/>
      <c r="N23" s="6"/>
      <c r="O23" s="6"/>
      <c r="P23" s="6"/>
      <c r="Q23" s="6">
        <f>COUNT(R3:R10)</f>
        <v>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spans="1:64" ht="12.75" customHeight="1" x14ac:dyDescent="0.2">
      <c r="A24" s="16"/>
      <c r="B24" s="6"/>
      <c r="C24" s="6"/>
      <c r="D24" s="6"/>
      <c r="E24" s="6"/>
      <c r="F24" s="6"/>
      <c r="G24" s="6"/>
      <c r="H24" s="6"/>
      <c r="I24" s="6"/>
      <c r="J24" s="6" t="s">
        <v>318</v>
      </c>
      <c r="K24" s="6"/>
      <c r="L24" s="6">
        <f>M13/SQRT(L23)</f>
        <v>0.53890412876503357</v>
      </c>
      <c r="M24" s="6"/>
      <c r="N24" s="6"/>
      <c r="O24" s="6"/>
      <c r="P24" s="6"/>
      <c r="Q24" s="6">
        <f>R13/SQRT(Q23)</f>
        <v>2.9903468026300897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1:64" ht="12.75" customHeight="1" x14ac:dyDescent="0.2">
      <c r="A25" s="16"/>
      <c r="B25" s="6"/>
      <c r="C25" s="6"/>
      <c r="D25" s="6"/>
      <c r="E25" s="6"/>
      <c r="F25" s="6"/>
      <c r="G25" s="6"/>
      <c r="H25" s="6"/>
      <c r="I25" s="6"/>
      <c r="J25" s="6" t="s">
        <v>319</v>
      </c>
      <c r="K25" s="6"/>
      <c r="L25" s="6">
        <f>L23-1</f>
        <v>4</v>
      </c>
      <c r="M25" s="6"/>
      <c r="N25" s="6"/>
      <c r="O25" s="6"/>
      <c r="P25" s="6"/>
      <c r="Q25" s="6">
        <f>Q23-1</f>
        <v>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spans="1:64" ht="12.75" customHeight="1" x14ac:dyDescent="0.2">
      <c r="A26" s="16"/>
      <c r="B26" s="6"/>
      <c r="C26" s="6"/>
      <c r="D26" s="6"/>
      <c r="E26" s="6"/>
      <c r="F26" s="6"/>
      <c r="G26" s="6"/>
      <c r="H26" s="6"/>
      <c r="I26" s="6"/>
      <c r="J26" s="6" t="s">
        <v>320</v>
      </c>
      <c r="K26" s="6"/>
      <c r="L26" s="6">
        <f>ABS((M12-0)/L24)</f>
        <v>1.9380070484770151</v>
      </c>
      <c r="M26" s="6"/>
      <c r="N26" s="6"/>
      <c r="O26" s="6"/>
      <c r="P26" s="6"/>
      <c r="Q26" s="6">
        <f>ABS((R12-0)/Q24)</f>
        <v>1.1731080812816161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spans="1:64" ht="12.75" customHeight="1" x14ac:dyDescent="0.2">
      <c r="A27" s="16"/>
      <c r="B27" s="6"/>
      <c r="C27" s="6"/>
      <c r="D27" s="6"/>
      <c r="E27" s="6"/>
      <c r="F27" s="6"/>
      <c r="G27" s="6"/>
      <c r="H27" s="6"/>
      <c r="I27" s="6"/>
      <c r="J27" s="6" t="s">
        <v>316</v>
      </c>
      <c r="K27" s="6"/>
      <c r="L27" s="6">
        <f>_xlfn.T.DIST.2T(L26,L25)</f>
        <v>0.12466252252297359</v>
      </c>
      <c r="M27" s="6"/>
      <c r="N27" s="6"/>
      <c r="O27" s="6"/>
      <c r="P27" s="6"/>
      <c r="Q27" s="6">
        <f>_xlfn.T.DIST.2T(Q26,Q25)</f>
        <v>0.30584145956338887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spans="1:64" ht="1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spans="1:64" ht="12.75" customHeight="1" x14ac:dyDescent="0.2">
      <c r="A29" s="16" t="s">
        <v>321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spans="1:64" ht="12.75" customHeight="1" x14ac:dyDescent="0.2">
      <c r="A30" s="10">
        <v>46085</v>
      </c>
      <c r="B30" s="11">
        <v>0.46069444444444446</v>
      </c>
      <c r="C30" s="1" t="s">
        <v>43</v>
      </c>
      <c r="D30" s="1" t="s">
        <v>70</v>
      </c>
      <c r="E30" s="1">
        <v>24</v>
      </c>
      <c r="F30" s="1" t="s">
        <v>46</v>
      </c>
      <c r="G30" s="1">
        <v>1</v>
      </c>
      <c r="H30" s="1">
        <v>1</v>
      </c>
      <c r="I30" s="1" t="s">
        <v>47</v>
      </c>
      <c r="J30" s="1" t="s">
        <v>48</v>
      </c>
      <c r="K30" s="1">
        <v>8.5599999999999996E-2</v>
      </c>
      <c r="L30" s="1">
        <v>1.64</v>
      </c>
      <c r="M30" s="1">
        <v>40.4</v>
      </c>
      <c r="N30" s="1" t="s">
        <v>49</v>
      </c>
      <c r="O30" s="1" t="s">
        <v>50</v>
      </c>
      <c r="P30" s="1">
        <v>0.56399999999999995</v>
      </c>
      <c r="Q30" s="1">
        <v>6.09</v>
      </c>
      <c r="R30" s="1">
        <v>391</v>
      </c>
      <c r="S30" s="6"/>
      <c r="T30" s="6">
        <v>1</v>
      </c>
      <c r="U30" s="6">
        <v>1</v>
      </c>
      <c r="V30" s="6"/>
      <c r="W30" s="12">
        <v>40.4</v>
      </c>
      <c r="X30" s="9">
        <v>40.4</v>
      </c>
      <c r="Y30" s="9">
        <v>40.4</v>
      </c>
      <c r="Z30" s="6"/>
      <c r="AA30" s="6"/>
      <c r="AB30" s="6"/>
      <c r="AC30" s="6"/>
      <c r="AD30" s="6"/>
      <c r="AE30" s="6"/>
      <c r="AF30" s="6">
        <v>1</v>
      </c>
      <c r="AG30" s="6"/>
      <c r="AH30" s="6">
        <v>391</v>
      </c>
      <c r="AI30" s="6">
        <v>391</v>
      </c>
      <c r="AJ30" s="6">
        <v>391</v>
      </c>
      <c r="AK30" s="9"/>
      <c r="AL30" s="6"/>
      <c r="AM30" s="9"/>
      <c r="AN30" s="6"/>
      <c r="AO30" s="9"/>
      <c r="AP30" s="6"/>
      <c r="AQ30" s="6"/>
      <c r="AR30" s="6">
        <v>42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</row>
    <row r="31" spans="1:64" ht="12.75" customHeight="1" x14ac:dyDescent="0.2">
      <c r="A31" s="10">
        <v>46085</v>
      </c>
      <c r="B31" s="11">
        <v>0.46158564814814818</v>
      </c>
      <c r="C31" s="1" t="s">
        <v>43</v>
      </c>
      <c r="D31" s="1" t="s">
        <v>70</v>
      </c>
      <c r="E31" s="1">
        <v>25</v>
      </c>
      <c r="F31" s="1" t="s">
        <v>46</v>
      </c>
      <c r="G31" s="1">
        <v>1</v>
      </c>
      <c r="H31" s="1">
        <v>1</v>
      </c>
      <c r="I31" s="1" t="s">
        <v>47</v>
      </c>
      <c r="J31" s="1" t="s">
        <v>48</v>
      </c>
      <c r="K31" s="1">
        <v>8.5800000000000001E-2</v>
      </c>
      <c r="L31" s="1">
        <v>1.59</v>
      </c>
      <c r="M31" s="1">
        <v>38.5</v>
      </c>
      <c r="N31" s="1" t="s">
        <v>49</v>
      </c>
      <c r="O31" s="1" t="s">
        <v>50</v>
      </c>
      <c r="P31" s="1">
        <v>0.58599999999999997</v>
      </c>
      <c r="Q31" s="1">
        <v>6.32</v>
      </c>
      <c r="R31" s="1">
        <v>409</v>
      </c>
      <c r="S31" s="6"/>
      <c r="T31" s="6">
        <v>1</v>
      </c>
      <c r="U31" s="6">
        <v>1</v>
      </c>
      <c r="V31" s="6"/>
      <c r="W31" s="12">
        <v>38.5</v>
      </c>
      <c r="X31" s="9">
        <v>38.5</v>
      </c>
      <c r="Y31" s="9">
        <v>38.5</v>
      </c>
      <c r="Z31" s="6"/>
      <c r="AA31" s="6"/>
      <c r="AB31" s="6"/>
      <c r="AC31" s="6"/>
      <c r="AD31" s="6"/>
      <c r="AE31" s="6"/>
      <c r="AF31" s="6">
        <v>1</v>
      </c>
      <c r="AG31" s="6"/>
      <c r="AH31" s="6">
        <v>409</v>
      </c>
      <c r="AI31" s="6">
        <v>409</v>
      </c>
      <c r="AJ31" s="6">
        <v>409</v>
      </c>
      <c r="AK31" s="9"/>
      <c r="AL31" s="6"/>
      <c r="AM31" s="9"/>
      <c r="AN31" s="6"/>
      <c r="AO31" s="9"/>
      <c r="AP31" s="6"/>
      <c r="AQ31" s="6"/>
      <c r="AR31" s="6">
        <v>43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</row>
    <row r="32" spans="1:64" ht="12.75" customHeight="1" x14ac:dyDescent="0.2">
      <c r="A32" s="10">
        <v>46085</v>
      </c>
      <c r="B32" s="11">
        <v>0.46246527777777779</v>
      </c>
      <c r="C32" s="1" t="s">
        <v>43</v>
      </c>
      <c r="D32" s="1" t="s">
        <v>70</v>
      </c>
      <c r="E32" s="1">
        <v>26</v>
      </c>
      <c r="F32" s="1" t="s">
        <v>46</v>
      </c>
      <c r="G32" s="1">
        <v>1</v>
      </c>
      <c r="H32" s="1">
        <v>1</v>
      </c>
      <c r="I32" s="1" t="s">
        <v>47</v>
      </c>
      <c r="J32" s="1" t="s">
        <v>48</v>
      </c>
      <c r="K32" s="1">
        <v>8.5400000000000004E-2</v>
      </c>
      <c r="L32" s="1">
        <v>1.62</v>
      </c>
      <c r="M32" s="1">
        <v>39.5</v>
      </c>
      <c r="N32" s="1" t="s">
        <v>49</v>
      </c>
      <c r="O32" s="1" t="s">
        <v>50</v>
      </c>
      <c r="P32" s="1">
        <v>0.53800000000000003</v>
      </c>
      <c r="Q32" s="1">
        <v>5.85</v>
      </c>
      <c r="R32" s="1">
        <v>372</v>
      </c>
      <c r="S32" s="6"/>
      <c r="T32" s="6">
        <v>1</v>
      </c>
      <c r="U32" s="6">
        <v>1</v>
      </c>
      <c r="V32" s="6"/>
      <c r="W32" s="12">
        <v>39.5</v>
      </c>
      <c r="X32" s="9">
        <v>39.5</v>
      </c>
      <c r="Y32" s="9">
        <v>39.5</v>
      </c>
      <c r="Z32" s="6"/>
      <c r="AA32" s="6"/>
      <c r="AB32" s="6"/>
      <c r="AC32" s="6"/>
      <c r="AD32" s="6"/>
      <c r="AE32" s="6"/>
      <c r="AF32" s="6">
        <v>1</v>
      </c>
      <c r="AG32" s="6"/>
      <c r="AH32" s="6">
        <v>372</v>
      </c>
      <c r="AI32" s="6">
        <v>372</v>
      </c>
      <c r="AJ32" s="6">
        <v>372</v>
      </c>
      <c r="AK32" s="9"/>
      <c r="AL32" s="6"/>
      <c r="AM32" s="9"/>
      <c r="AN32" s="6"/>
      <c r="AO32" s="9"/>
      <c r="AP32" s="6"/>
      <c r="AQ32" s="6"/>
      <c r="AR32" s="6">
        <v>44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</row>
    <row r="33" spans="1:64" ht="12.75" customHeight="1" x14ac:dyDescent="0.2">
      <c r="A33" s="10">
        <v>46085</v>
      </c>
      <c r="B33" s="11">
        <v>0.46334490740740741</v>
      </c>
      <c r="C33" s="1" t="s">
        <v>43</v>
      </c>
      <c r="D33" s="1" t="s">
        <v>70</v>
      </c>
      <c r="E33" s="1">
        <v>27</v>
      </c>
      <c r="F33" s="1" t="s">
        <v>46</v>
      </c>
      <c r="G33" s="1">
        <v>1</v>
      </c>
      <c r="H33" s="1">
        <v>1</v>
      </c>
      <c r="I33" s="1" t="s">
        <v>47</v>
      </c>
      <c r="J33" s="1" t="s">
        <v>48</v>
      </c>
      <c r="K33" s="1">
        <v>8.2400000000000001E-2</v>
      </c>
      <c r="L33" s="1">
        <v>1.56</v>
      </c>
      <c r="M33" s="1">
        <v>37.5</v>
      </c>
      <c r="N33" s="1" t="s">
        <v>49</v>
      </c>
      <c r="O33" s="1" t="s">
        <v>50</v>
      </c>
      <c r="P33" s="1">
        <v>0.55700000000000005</v>
      </c>
      <c r="Q33" s="1">
        <v>6.13</v>
      </c>
      <c r="R33" s="1">
        <v>394</v>
      </c>
      <c r="S33" s="6"/>
      <c r="T33" s="6">
        <v>1</v>
      </c>
      <c r="U33" s="6">
        <v>1</v>
      </c>
      <c r="V33" s="6"/>
      <c r="W33" s="12">
        <v>37.5</v>
      </c>
      <c r="X33" s="9">
        <v>37.5</v>
      </c>
      <c r="Y33" s="9">
        <v>37.5</v>
      </c>
      <c r="Z33" s="6"/>
      <c r="AA33" s="6"/>
      <c r="AB33" s="6"/>
      <c r="AC33" s="6"/>
      <c r="AD33" s="6"/>
      <c r="AE33" s="6"/>
      <c r="AF33" s="6">
        <v>1</v>
      </c>
      <c r="AG33" s="6"/>
      <c r="AH33" s="6">
        <v>394</v>
      </c>
      <c r="AI33" s="6">
        <v>394</v>
      </c>
      <c r="AJ33" s="6">
        <v>394</v>
      </c>
      <c r="AK33" s="9"/>
      <c r="AL33" s="6"/>
      <c r="AM33" s="9"/>
      <c r="AN33" s="6"/>
      <c r="AO33" s="9"/>
      <c r="AP33" s="6"/>
      <c r="AQ33" s="6"/>
      <c r="AR33" s="6">
        <v>45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</row>
    <row r="34" spans="1:64" ht="12.75" customHeight="1" x14ac:dyDescent="0.2">
      <c r="A34" s="10">
        <v>46085</v>
      </c>
      <c r="B34" s="11">
        <v>0.46422453703703703</v>
      </c>
      <c r="C34" s="1" t="s">
        <v>43</v>
      </c>
      <c r="D34" s="1" t="s">
        <v>70</v>
      </c>
      <c r="E34" s="1">
        <v>28</v>
      </c>
      <c r="F34" s="1" t="s">
        <v>46</v>
      </c>
      <c r="G34" s="1">
        <v>1</v>
      </c>
      <c r="H34" s="1">
        <v>1</v>
      </c>
      <c r="I34" s="1" t="s">
        <v>47</v>
      </c>
      <c r="J34" s="1" t="s">
        <v>48</v>
      </c>
      <c r="K34" s="1">
        <v>8.4500000000000006E-2</v>
      </c>
      <c r="L34" s="1">
        <v>1.67</v>
      </c>
      <c r="M34" s="1">
        <v>41.4</v>
      </c>
      <c r="N34" s="1" t="s">
        <v>49</v>
      </c>
      <c r="O34" s="1" t="s">
        <v>50</v>
      </c>
      <c r="P34" s="1">
        <v>0.59899999999999998</v>
      </c>
      <c r="Q34" s="1">
        <v>6.45</v>
      </c>
      <c r="R34" s="1">
        <v>418</v>
      </c>
      <c r="S34" s="6"/>
      <c r="T34" s="6">
        <v>1</v>
      </c>
      <c r="U34" s="6">
        <v>1</v>
      </c>
      <c r="V34" s="6"/>
      <c r="W34" s="12">
        <v>41.4</v>
      </c>
      <c r="X34" s="9">
        <v>41.4</v>
      </c>
      <c r="Y34" s="9">
        <v>41.4</v>
      </c>
      <c r="Z34" s="6"/>
      <c r="AA34" s="6"/>
      <c r="AB34" s="6"/>
      <c r="AC34" s="6"/>
      <c r="AD34" s="6"/>
      <c r="AE34" s="6"/>
      <c r="AF34" s="6">
        <v>1</v>
      </c>
      <c r="AG34" s="6"/>
      <c r="AH34" s="6">
        <v>418</v>
      </c>
      <c r="AI34" s="6">
        <v>418</v>
      </c>
      <c r="AJ34" s="6">
        <v>418</v>
      </c>
      <c r="AK34" s="9"/>
      <c r="AL34" s="6"/>
      <c r="AM34" s="9"/>
      <c r="AN34" s="6"/>
      <c r="AO34" s="9"/>
      <c r="AP34" s="6"/>
      <c r="AQ34" s="6"/>
      <c r="AR34" s="6">
        <v>46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64" ht="12.75" customHeight="1" x14ac:dyDescent="0.2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12"/>
      <c r="AI35" s="9"/>
      <c r="AJ35" s="9"/>
      <c r="AK35" s="9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64" ht="12.75" customHeight="1" x14ac:dyDescent="0.2">
      <c r="A36" s="1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6"/>
      <c r="U36" s="6"/>
      <c r="V36" s="6"/>
      <c r="W36" s="6"/>
      <c r="X36" s="14"/>
      <c r="Y36" s="14"/>
      <c r="Z36" s="14"/>
      <c r="AA36" s="14"/>
      <c r="AB36" s="14"/>
      <c r="AC36" s="14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64" ht="12.75" customHeight="1" x14ac:dyDescent="0.2">
      <c r="A37" s="10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6"/>
      <c r="U37" s="6"/>
      <c r="V37" s="6"/>
      <c r="W37" s="6"/>
      <c r="X37" s="14"/>
      <c r="Y37" s="14"/>
      <c r="Z37" s="14"/>
      <c r="AA37" s="14"/>
      <c r="AB37" s="14"/>
      <c r="AC37" s="14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spans="1:64" ht="12.75" customHeight="1" x14ac:dyDescent="0.2">
      <c r="A38" s="10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302</v>
      </c>
      <c r="M38" s="14">
        <v>40</v>
      </c>
      <c r="N38" s="14"/>
      <c r="O38" s="14"/>
      <c r="P38" s="14"/>
      <c r="Q38" s="14" t="s">
        <v>302</v>
      </c>
      <c r="R38" s="14">
        <v>400</v>
      </c>
      <c r="S38" s="6"/>
      <c r="T38" s="6"/>
      <c r="U38" s="6"/>
      <c r="V38" s="6"/>
      <c r="W38" s="6"/>
      <c r="X38" s="14" t="s">
        <v>302</v>
      </c>
      <c r="Y38" s="14">
        <v>40</v>
      </c>
      <c r="Z38" s="6"/>
      <c r="AA38" s="6"/>
      <c r="AB38" s="6"/>
      <c r="AC38" s="6"/>
      <c r="AD38" s="6"/>
      <c r="AE38" s="6"/>
      <c r="AF38" s="6"/>
      <c r="AG38" s="6"/>
      <c r="AH38" s="6"/>
      <c r="AI38" s="14" t="s">
        <v>302</v>
      </c>
      <c r="AJ38" s="14">
        <v>400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spans="1:64" ht="12.75" customHeight="1" x14ac:dyDescent="0.2">
      <c r="A39" s="10"/>
      <c r="B39" s="14"/>
      <c r="C39" s="14"/>
      <c r="D39" s="14"/>
      <c r="E39" s="14"/>
      <c r="F39" s="14"/>
      <c r="G39" s="14"/>
      <c r="H39" s="14"/>
      <c r="I39" s="14"/>
      <c r="J39" s="14"/>
      <c r="K39" s="17"/>
      <c r="L39" s="14" t="s">
        <v>303</v>
      </c>
      <c r="M39" s="17">
        <f>AVERAGE(M30:M34)</f>
        <v>39.46</v>
      </c>
      <c r="N39" s="14"/>
      <c r="O39" s="14"/>
      <c r="P39" s="14"/>
      <c r="Q39" s="14" t="s">
        <v>303</v>
      </c>
      <c r="R39" s="17">
        <f>AVERAGE(R30:R34)</f>
        <v>396.8</v>
      </c>
      <c r="S39" s="6"/>
      <c r="T39" s="6"/>
      <c r="U39" s="6"/>
      <c r="V39" s="6"/>
      <c r="W39" s="6"/>
      <c r="X39" s="14" t="s">
        <v>303</v>
      </c>
      <c r="Y39" s="17">
        <f>AVERAGE(Y30:Y34)</f>
        <v>39.46</v>
      </c>
      <c r="Z39" s="6"/>
      <c r="AA39" s="6"/>
      <c r="AB39" s="6"/>
      <c r="AC39" s="6"/>
      <c r="AD39" s="6"/>
      <c r="AE39" s="6"/>
      <c r="AF39" s="6"/>
      <c r="AG39" s="6"/>
      <c r="AH39" s="6"/>
      <c r="AI39" s="14" t="s">
        <v>303</v>
      </c>
      <c r="AJ39" s="17">
        <f>AVERAGE(AJ30:AJ34)</f>
        <v>396.8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1:64" ht="12.75" customHeight="1" x14ac:dyDescent="0.2">
      <c r="A40" s="10"/>
      <c r="B40" s="14"/>
      <c r="C40" s="6"/>
      <c r="D40" s="14"/>
      <c r="E40" s="14"/>
      <c r="F40" s="14"/>
      <c r="G40" s="14"/>
      <c r="H40" s="14"/>
      <c r="I40" s="14"/>
      <c r="J40" s="14"/>
      <c r="K40" s="17"/>
      <c r="L40" s="14" t="s">
        <v>304</v>
      </c>
      <c r="M40" s="17">
        <f>_xlfn.STDEV.S(M30:M34)</f>
        <v>1.5339491516996246</v>
      </c>
      <c r="N40" s="14"/>
      <c r="O40" s="14"/>
      <c r="P40" s="14"/>
      <c r="Q40" s="14" t="s">
        <v>304</v>
      </c>
      <c r="R40" s="17">
        <f>_xlfn.STDEV.S(R30:R34)</f>
        <v>17.711578134090704</v>
      </c>
      <c r="S40" s="6"/>
      <c r="T40" s="6"/>
      <c r="U40" s="6"/>
      <c r="V40" s="6"/>
      <c r="W40" s="6"/>
      <c r="X40" s="14" t="s">
        <v>304</v>
      </c>
      <c r="Y40" s="17">
        <f>_xlfn.STDEV.S(Y30:Y34)</f>
        <v>1.5339491516996246</v>
      </c>
      <c r="Z40" s="6"/>
      <c r="AA40" s="6"/>
      <c r="AB40" s="6"/>
      <c r="AC40" s="6"/>
      <c r="AD40" s="6"/>
      <c r="AE40" s="6"/>
      <c r="AF40" s="6"/>
      <c r="AG40" s="6"/>
      <c r="AH40" s="6"/>
      <c r="AI40" s="14" t="s">
        <v>304</v>
      </c>
      <c r="AJ40" s="17">
        <f>_xlfn.STDEV.S(AJ30:AJ34)</f>
        <v>17.711578134090704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spans="1:64" ht="12.75" customHeight="1" x14ac:dyDescent="0.2">
      <c r="A41" s="10"/>
      <c r="B41" s="14"/>
      <c r="C41" s="6"/>
      <c r="D41" s="14"/>
      <c r="E41" s="14"/>
      <c r="F41" s="14"/>
      <c r="G41" s="14"/>
      <c r="H41" s="14"/>
      <c r="I41" s="14"/>
      <c r="J41" s="14"/>
      <c r="K41" s="17"/>
      <c r="L41" s="14" t="s">
        <v>305</v>
      </c>
      <c r="M41" s="17">
        <f>100*M40/M39</f>
        <v>3.8873521330451717</v>
      </c>
      <c r="N41" s="14"/>
      <c r="O41" s="14"/>
      <c r="P41" s="14"/>
      <c r="Q41" s="14" t="s">
        <v>305</v>
      </c>
      <c r="R41" s="17">
        <f>100*R40/R39</f>
        <v>4.4636033604059238</v>
      </c>
      <c r="S41" s="6"/>
      <c r="T41" s="6"/>
      <c r="U41" s="6"/>
      <c r="V41" s="6"/>
      <c r="W41" s="6"/>
      <c r="X41" s="14" t="s">
        <v>305</v>
      </c>
      <c r="Y41" s="17">
        <f>100*Y40/Y39</f>
        <v>3.8873521330451717</v>
      </c>
      <c r="Z41" s="6"/>
      <c r="AA41" s="6"/>
      <c r="AB41" s="6"/>
      <c r="AC41" s="6"/>
      <c r="AD41" s="6"/>
      <c r="AE41" s="6"/>
      <c r="AF41" s="6"/>
      <c r="AG41" s="6"/>
      <c r="AH41" s="6"/>
      <c r="AI41" s="14" t="s">
        <v>305</v>
      </c>
      <c r="AJ41" s="17">
        <f>100*AJ40/AJ39</f>
        <v>4.4636033604059238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spans="1:64" ht="12.75" customHeight="1" x14ac:dyDescent="0.2">
      <c r="A42" s="10"/>
      <c r="B42" s="14"/>
      <c r="C42" s="6"/>
      <c r="D42" s="14"/>
      <c r="E42" s="14"/>
      <c r="F42" s="14"/>
      <c r="G42" s="14"/>
      <c r="H42" s="14"/>
      <c r="I42" s="14"/>
      <c r="J42" s="14"/>
      <c r="K42" s="17"/>
      <c r="L42" s="14" t="s">
        <v>306</v>
      </c>
      <c r="M42" s="17">
        <f>TINV(0.02,4)</f>
        <v>3.7469473879791968</v>
      </c>
      <c r="N42" s="14"/>
      <c r="O42" s="14"/>
      <c r="P42" s="14"/>
      <c r="Q42" s="14" t="s">
        <v>306</v>
      </c>
      <c r="R42" s="17">
        <f>TINV(0.02,4)</f>
        <v>3.7469473879791968</v>
      </c>
      <c r="S42" s="6"/>
      <c r="T42" s="6"/>
      <c r="U42" s="6"/>
      <c r="V42" s="6"/>
      <c r="W42" s="6"/>
      <c r="X42" s="14" t="s">
        <v>306</v>
      </c>
      <c r="Y42" s="17">
        <f>TINV(0.02,4)</f>
        <v>3.7469473879791968</v>
      </c>
      <c r="Z42" s="6"/>
      <c r="AA42" s="6"/>
      <c r="AB42" s="6"/>
      <c r="AC42" s="6"/>
      <c r="AD42" s="6"/>
      <c r="AE42" s="6"/>
      <c r="AF42" s="6"/>
      <c r="AG42" s="6"/>
      <c r="AH42" s="6"/>
      <c r="AI42" s="14" t="s">
        <v>306</v>
      </c>
      <c r="AJ42" s="17">
        <f>TINV(0.02,4)</f>
        <v>3.7469473879791968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4" ht="12.75" customHeight="1" x14ac:dyDescent="0.2">
      <c r="A43" s="10"/>
      <c r="B43" s="14"/>
      <c r="C43" s="6"/>
      <c r="D43" s="14"/>
      <c r="E43" s="14"/>
      <c r="F43" s="14"/>
      <c r="G43" s="14"/>
      <c r="H43" s="14"/>
      <c r="I43" s="14"/>
      <c r="J43" s="14"/>
      <c r="K43" s="17"/>
      <c r="L43" s="14" t="s">
        <v>307</v>
      </c>
      <c r="M43" s="17">
        <f>M40*M42</f>
        <v>5.7476267672538137</v>
      </c>
      <c r="N43" s="14"/>
      <c r="O43" s="14"/>
      <c r="P43" s="14"/>
      <c r="Q43" s="14" t="s">
        <v>307</v>
      </c>
      <c r="R43" s="17">
        <f>R40*R42</f>
        <v>66.364351426520614</v>
      </c>
      <c r="S43" s="6"/>
      <c r="T43" s="6"/>
      <c r="U43" s="6"/>
      <c r="V43" s="6"/>
      <c r="W43" s="6"/>
      <c r="X43" s="14" t="s">
        <v>307</v>
      </c>
      <c r="Y43" s="17">
        <f>Y40*Y42</f>
        <v>5.7476267672538137</v>
      </c>
      <c r="Z43" s="6"/>
      <c r="AA43" s="6"/>
      <c r="AB43" s="6"/>
      <c r="AC43" s="6"/>
      <c r="AD43" s="6"/>
      <c r="AE43" s="6"/>
      <c r="AF43" s="6"/>
      <c r="AG43" s="6"/>
      <c r="AH43" s="6"/>
      <c r="AI43" s="14" t="s">
        <v>307</v>
      </c>
      <c r="AJ43" s="17">
        <f>AJ40*AJ42</f>
        <v>66.364351426520614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4" ht="12.75" customHeight="1" x14ac:dyDescent="0.2">
      <c r="A44" s="10"/>
      <c r="B44" s="14"/>
      <c r="C44" s="6"/>
      <c r="D44" s="14"/>
      <c r="E44" s="14"/>
      <c r="F44" s="14"/>
      <c r="G44" s="14"/>
      <c r="H44" s="14"/>
      <c r="I44" s="14"/>
      <c r="J44" s="14"/>
      <c r="K44" s="17"/>
      <c r="L44" s="14" t="s">
        <v>308</v>
      </c>
      <c r="M44" s="17">
        <f>10*M40</f>
        <v>15.339491516996247</v>
      </c>
      <c r="N44" s="14"/>
      <c r="O44" s="14"/>
      <c r="P44" s="14"/>
      <c r="Q44" s="14" t="s">
        <v>308</v>
      </c>
      <c r="R44" s="17">
        <f>10*R40</f>
        <v>177.11578134090703</v>
      </c>
      <c r="S44" s="6"/>
      <c r="T44" s="6"/>
      <c r="U44" s="6"/>
      <c r="V44" s="6"/>
      <c r="W44" s="6"/>
      <c r="X44" s="14" t="s">
        <v>308</v>
      </c>
      <c r="Y44" s="17">
        <f>10*Y40</f>
        <v>15.339491516996247</v>
      </c>
      <c r="Z44" s="6"/>
      <c r="AA44" s="6"/>
      <c r="AB44" s="6"/>
      <c r="AC44" s="6"/>
      <c r="AD44" s="6"/>
      <c r="AE44" s="6"/>
      <c r="AF44" s="6"/>
      <c r="AG44" s="6"/>
      <c r="AH44" s="6"/>
      <c r="AI44" s="14" t="s">
        <v>308</v>
      </c>
      <c r="AJ44" s="17">
        <f>10*AJ40</f>
        <v>177.11578134090703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4" ht="12.75" customHeight="1" x14ac:dyDescent="0.2">
      <c r="A45" s="10"/>
      <c r="B45" s="14"/>
      <c r="C45" s="6"/>
      <c r="D45" s="14"/>
      <c r="E45" s="14"/>
      <c r="F45" s="14"/>
      <c r="G45" s="14"/>
      <c r="H45" s="14"/>
      <c r="I45" s="14"/>
      <c r="J45" s="14"/>
      <c r="K45" s="17"/>
      <c r="L45" s="14" t="s">
        <v>309</v>
      </c>
      <c r="M45" s="17">
        <f>100*(M39-M38)/M38</f>
        <v>-1.3499999999999979</v>
      </c>
      <c r="N45" s="14"/>
      <c r="O45" s="14"/>
      <c r="P45" s="14"/>
      <c r="Q45" s="14" t="s">
        <v>309</v>
      </c>
      <c r="R45" s="17">
        <f>100*(R39-R38)/R38</f>
        <v>-0.79999999999999716</v>
      </c>
      <c r="S45" s="6"/>
      <c r="T45" s="6"/>
      <c r="U45" s="6"/>
      <c r="V45" s="6"/>
      <c r="W45" s="6"/>
      <c r="X45" s="14" t="s">
        <v>309</v>
      </c>
      <c r="Y45" s="17">
        <f>100*(Y39-Y38)/Y38</f>
        <v>-1.3499999999999979</v>
      </c>
      <c r="Z45" s="6"/>
      <c r="AA45" s="6"/>
      <c r="AB45" s="6"/>
      <c r="AC45" s="6"/>
      <c r="AD45" s="6"/>
      <c r="AE45" s="6"/>
      <c r="AF45" s="6"/>
      <c r="AG45" s="6"/>
      <c r="AH45" s="6"/>
      <c r="AI45" s="14" t="s">
        <v>309</v>
      </c>
      <c r="AJ45" s="17">
        <f>100*(AJ39-AJ38)/AJ38</f>
        <v>-0.79999999999999716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4" ht="12.75" customHeight="1" x14ac:dyDescent="0.2">
      <c r="A46" s="10"/>
      <c r="B46" s="14"/>
      <c r="C46" s="6"/>
      <c r="D46" s="14"/>
      <c r="E46" s="14"/>
      <c r="F46" s="14"/>
      <c r="G46" s="14"/>
      <c r="H46" s="14"/>
      <c r="I46" s="14"/>
      <c r="J46" s="14"/>
      <c r="K46" s="17"/>
      <c r="L46" s="14" t="s">
        <v>310</v>
      </c>
      <c r="M46" s="17"/>
      <c r="N46" s="14"/>
      <c r="O46" s="14"/>
      <c r="P46" s="14"/>
      <c r="Q46" s="14" t="s">
        <v>310</v>
      </c>
      <c r="R46" s="17"/>
      <c r="S46" s="6"/>
      <c r="T46" s="6"/>
      <c r="U46" s="6"/>
      <c r="V46" s="6"/>
      <c r="W46" s="6"/>
      <c r="X46" s="14" t="s">
        <v>310</v>
      </c>
      <c r="Y46" s="17"/>
      <c r="Z46" s="6"/>
      <c r="AA46" s="6"/>
      <c r="AB46" s="6"/>
      <c r="AC46" s="6"/>
      <c r="AD46" s="6"/>
      <c r="AE46" s="6"/>
      <c r="AF46" s="6"/>
      <c r="AG46" s="6"/>
      <c r="AH46" s="6"/>
      <c r="AI46" s="14" t="s">
        <v>310</v>
      </c>
      <c r="AJ46" s="17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1:64" ht="12.75" customHeight="1" x14ac:dyDescent="0.2">
      <c r="A47" s="10"/>
      <c r="B47" s="14"/>
      <c r="C47" s="6"/>
      <c r="D47" s="14"/>
      <c r="E47" s="14"/>
      <c r="F47" s="14"/>
      <c r="G47" s="14"/>
      <c r="H47" s="14"/>
      <c r="I47" s="14"/>
      <c r="J47" s="14"/>
      <c r="K47" s="17"/>
      <c r="L47" s="14" t="s">
        <v>311</v>
      </c>
      <c r="M47" s="17">
        <f>100*M39/M38</f>
        <v>98.65</v>
      </c>
      <c r="N47" s="14"/>
      <c r="O47" s="14"/>
      <c r="P47" s="14"/>
      <c r="Q47" s="14" t="s">
        <v>311</v>
      </c>
      <c r="R47" s="17">
        <f>100*R39/R38</f>
        <v>99.2</v>
      </c>
      <c r="S47" s="6"/>
      <c r="T47" s="6"/>
      <c r="U47" s="6"/>
      <c r="V47" s="6"/>
      <c r="W47" s="6"/>
      <c r="X47" s="14" t="s">
        <v>311</v>
      </c>
      <c r="Y47" s="17"/>
      <c r="Z47" s="6"/>
      <c r="AA47" s="6"/>
      <c r="AB47" s="6"/>
      <c r="AC47" s="6"/>
      <c r="AD47" s="6"/>
      <c r="AE47" s="6"/>
      <c r="AF47" s="6"/>
      <c r="AG47" s="6"/>
      <c r="AH47" s="6"/>
      <c r="AI47" s="14" t="s">
        <v>311</v>
      </c>
      <c r="AJ47" s="17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4" ht="12.75" customHeight="1" x14ac:dyDescent="0.2">
      <c r="A48" s="16"/>
      <c r="B48" s="6"/>
      <c r="C48" s="6"/>
      <c r="D48" s="6"/>
      <c r="E48" s="6"/>
      <c r="F48" s="6"/>
      <c r="G48" s="6"/>
      <c r="H48" s="6"/>
      <c r="I48" s="6"/>
      <c r="J48" s="14"/>
      <c r="K48" s="17"/>
      <c r="L48" s="14" t="s">
        <v>312</v>
      </c>
      <c r="M48" s="17">
        <f>M39/M40</f>
        <v>25.724451137300143</v>
      </c>
      <c r="N48" s="6"/>
      <c r="O48" s="6"/>
      <c r="P48" s="6"/>
      <c r="Q48" s="14" t="s">
        <v>312</v>
      </c>
      <c r="R48" s="17">
        <f>R39/R40</f>
        <v>22.403424302222483</v>
      </c>
      <c r="S48" s="6"/>
      <c r="T48" s="6"/>
      <c r="U48" s="6"/>
      <c r="V48" s="6"/>
      <c r="W48" s="6"/>
      <c r="X48" s="14" t="s">
        <v>312</v>
      </c>
      <c r="Y48" s="17">
        <f>Y39/Y40</f>
        <v>25.724451137300143</v>
      </c>
      <c r="Z48" s="6"/>
      <c r="AA48" s="6"/>
      <c r="AB48" s="6"/>
      <c r="AC48" s="6"/>
      <c r="AD48" s="6"/>
      <c r="AE48" s="6"/>
      <c r="AF48" s="6"/>
      <c r="AG48" s="6"/>
      <c r="AH48" s="6"/>
      <c r="AI48" s="14" t="s">
        <v>312</v>
      </c>
      <c r="AJ48" s="17">
        <f>AJ39/AJ40</f>
        <v>22.403424302222483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 ht="12.75" customHeight="1" x14ac:dyDescent="0.2">
      <c r="A49" s="16"/>
      <c r="B49" s="6"/>
      <c r="C49" s="6"/>
      <c r="D49" s="6"/>
      <c r="E49" s="6"/>
      <c r="F49" s="6"/>
      <c r="G49" s="6"/>
      <c r="H49" s="6"/>
      <c r="I49" s="6"/>
      <c r="J49" s="14"/>
      <c r="K49" s="17"/>
      <c r="L49" s="6"/>
      <c r="M49" s="6"/>
      <c r="N49" s="6"/>
      <c r="O49" s="14"/>
      <c r="P49" s="17"/>
      <c r="Q49" s="17"/>
      <c r="R49" s="17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0" spans="1:64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</row>
    <row r="51" spans="1:64" ht="12.75" customHeight="1" x14ac:dyDescent="0.2">
      <c r="A51" s="16" t="s">
        <v>322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</row>
    <row r="52" spans="1:64" ht="12.75" customHeight="1" x14ac:dyDescent="0.2">
      <c r="A52" s="10">
        <v>46085</v>
      </c>
      <c r="B52" s="11">
        <v>0.46510416666666665</v>
      </c>
      <c r="C52" s="1" t="s">
        <v>43</v>
      </c>
      <c r="D52" s="1" t="s">
        <v>71</v>
      </c>
      <c r="E52" s="1">
        <v>29</v>
      </c>
      <c r="F52" s="1" t="s">
        <v>46</v>
      </c>
      <c r="G52" s="1">
        <v>1</v>
      </c>
      <c r="H52" s="1">
        <v>1</v>
      </c>
      <c r="I52" s="1" t="s">
        <v>47</v>
      </c>
      <c r="J52" s="1" t="s">
        <v>48</v>
      </c>
      <c r="K52" s="1">
        <v>7.2099999999999997E-2</v>
      </c>
      <c r="L52" s="1">
        <v>1.05</v>
      </c>
      <c r="M52" s="1">
        <v>20</v>
      </c>
      <c r="N52" s="1" t="s">
        <v>49</v>
      </c>
      <c r="O52" s="1" t="s">
        <v>50</v>
      </c>
      <c r="P52" s="1">
        <v>0.39200000000000002</v>
      </c>
      <c r="Q52" s="1">
        <v>4.3</v>
      </c>
      <c r="R52" s="1">
        <v>251</v>
      </c>
      <c r="S52" s="6"/>
      <c r="T52" s="6">
        <v>1</v>
      </c>
      <c r="U52" s="6">
        <v>2</v>
      </c>
      <c r="V52" s="6" t="s">
        <v>72</v>
      </c>
      <c r="W52" s="12">
        <v>20</v>
      </c>
      <c r="X52" s="9">
        <v>20</v>
      </c>
      <c r="Y52" s="9">
        <v>20</v>
      </c>
      <c r="Z52" s="6"/>
      <c r="AA52" s="6"/>
      <c r="AB52" s="6"/>
      <c r="AC52" s="6"/>
      <c r="AD52" s="6"/>
      <c r="AE52" s="6"/>
      <c r="AF52" s="6">
        <v>2</v>
      </c>
      <c r="AG52" s="6" t="s">
        <v>72</v>
      </c>
      <c r="AH52" s="6">
        <v>251</v>
      </c>
      <c r="AI52" s="6">
        <v>251</v>
      </c>
      <c r="AJ52" s="6">
        <v>251</v>
      </c>
      <c r="AK52" s="9"/>
      <c r="AL52" s="6"/>
      <c r="AM52" s="9"/>
      <c r="AN52" s="6"/>
      <c r="AO52" s="9"/>
      <c r="AP52" s="6"/>
      <c r="AQ52" s="6"/>
      <c r="AR52" s="6">
        <v>47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</row>
    <row r="53" spans="1:64" ht="12.75" customHeight="1" x14ac:dyDescent="0.2">
      <c r="A53" s="10">
        <v>46085</v>
      </c>
      <c r="B53" s="11">
        <v>0.46598379629629627</v>
      </c>
      <c r="C53" s="1" t="s">
        <v>43</v>
      </c>
      <c r="D53" s="1" t="s">
        <v>71</v>
      </c>
      <c r="E53" s="1">
        <v>30</v>
      </c>
      <c r="F53" s="1" t="s">
        <v>46</v>
      </c>
      <c r="G53" s="1">
        <v>1</v>
      </c>
      <c r="H53" s="1">
        <v>1</v>
      </c>
      <c r="I53" s="1" t="s">
        <v>47</v>
      </c>
      <c r="J53" s="1" t="s">
        <v>48</v>
      </c>
      <c r="K53" s="1">
        <v>5.3100000000000001E-2</v>
      </c>
      <c r="L53" s="1">
        <v>0.93</v>
      </c>
      <c r="M53" s="1">
        <v>15.8</v>
      </c>
      <c r="N53" s="1" t="s">
        <v>49</v>
      </c>
      <c r="O53" s="1" t="s">
        <v>50</v>
      </c>
      <c r="P53" s="1">
        <v>0.42199999999999999</v>
      </c>
      <c r="Q53" s="1">
        <v>4.66</v>
      </c>
      <c r="R53" s="1">
        <v>279</v>
      </c>
      <c r="S53" s="6"/>
      <c r="T53" s="6">
        <v>1</v>
      </c>
      <c r="U53" s="6">
        <v>2</v>
      </c>
      <c r="V53" s="6" t="s">
        <v>72</v>
      </c>
      <c r="W53" s="12">
        <v>15.8</v>
      </c>
      <c r="X53" s="9">
        <v>15.8</v>
      </c>
      <c r="Y53" s="9">
        <v>15.8</v>
      </c>
      <c r="Z53" s="6"/>
      <c r="AA53" s="6"/>
      <c r="AB53" s="6"/>
      <c r="AC53" s="6"/>
      <c r="AD53" s="6"/>
      <c r="AE53" s="6"/>
      <c r="AF53" s="6">
        <v>2</v>
      </c>
      <c r="AG53" s="6" t="s">
        <v>72</v>
      </c>
      <c r="AH53" s="6">
        <v>279</v>
      </c>
      <c r="AI53" s="6">
        <v>279</v>
      </c>
      <c r="AJ53" s="6">
        <v>279</v>
      </c>
      <c r="AK53" s="9"/>
      <c r="AL53" s="6"/>
      <c r="AM53" s="9"/>
      <c r="AN53" s="6"/>
      <c r="AO53" s="9"/>
      <c r="AP53" s="6"/>
      <c r="AQ53" s="6"/>
      <c r="AR53" s="6">
        <v>48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64" ht="12.75" customHeight="1" x14ac:dyDescent="0.2">
      <c r="A54" s="10">
        <v>46085</v>
      </c>
      <c r="B54" s="11">
        <v>0.46687499999999998</v>
      </c>
      <c r="C54" s="1" t="s">
        <v>43</v>
      </c>
      <c r="D54" s="1" t="s">
        <v>71</v>
      </c>
      <c r="E54" s="1">
        <v>31</v>
      </c>
      <c r="F54" s="1" t="s">
        <v>46</v>
      </c>
      <c r="G54" s="1">
        <v>1</v>
      </c>
      <c r="H54" s="1">
        <v>1</v>
      </c>
      <c r="I54" s="1" t="s">
        <v>47</v>
      </c>
      <c r="J54" s="1" t="s">
        <v>48</v>
      </c>
      <c r="K54" s="1">
        <v>5.3999999999999999E-2</v>
      </c>
      <c r="L54" s="1">
        <v>1.05</v>
      </c>
      <c r="M54" s="1">
        <v>20.100000000000001</v>
      </c>
      <c r="N54" s="1" t="s">
        <v>49</v>
      </c>
      <c r="O54" s="1" t="s">
        <v>50</v>
      </c>
      <c r="P54" s="1">
        <v>0.376</v>
      </c>
      <c r="Q54" s="1">
        <v>4.09</v>
      </c>
      <c r="R54" s="1">
        <v>235</v>
      </c>
      <c r="S54" s="6"/>
      <c r="T54" s="6">
        <v>1</v>
      </c>
      <c r="U54" s="6">
        <v>2</v>
      </c>
      <c r="V54" s="6" t="s">
        <v>72</v>
      </c>
      <c r="W54" s="12">
        <v>20.100000000000001</v>
      </c>
      <c r="X54" s="9">
        <v>20.100000000000001</v>
      </c>
      <c r="Y54" s="9">
        <v>20.100000000000001</v>
      </c>
      <c r="Z54" s="6"/>
      <c r="AA54" s="6"/>
      <c r="AB54" s="6"/>
      <c r="AC54" s="6"/>
      <c r="AD54" s="6"/>
      <c r="AE54" s="6"/>
      <c r="AF54" s="6">
        <v>2</v>
      </c>
      <c r="AG54" s="6" t="s">
        <v>72</v>
      </c>
      <c r="AH54" s="6">
        <v>235</v>
      </c>
      <c r="AI54" s="6">
        <v>235</v>
      </c>
      <c r="AJ54" s="6">
        <v>235</v>
      </c>
      <c r="AK54" s="9"/>
      <c r="AL54" s="6"/>
      <c r="AM54" s="9"/>
      <c r="AN54" s="6"/>
      <c r="AO54" s="9"/>
      <c r="AP54" s="6"/>
      <c r="AQ54" s="6"/>
      <c r="AR54" s="6">
        <v>49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64" ht="12.75" customHeight="1" x14ac:dyDescent="0.2">
      <c r="A55" s="10">
        <v>46085</v>
      </c>
      <c r="B55" s="11">
        <v>0.46777777777777779</v>
      </c>
      <c r="C55" s="1" t="s">
        <v>43</v>
      </c>
      <c r="D55" s="1" t="s">
        <v>71</v>
      </c>
      <c r="E55" s="1">
        <v>32</v>
      </c>
      <c r="F55" s="1" t="s">
        <v>46</v>
      </c>
      <c r="G55" s="1">
        <v>1</v>
      </c>
      <c r="H55" s="1">
        <v>1</v>
      </c>
      <c r="I55" s="1" t="s">
        <v>47</v>
      </c>
      <c r="J55" s="1" t="s">
        <v>48</v>
      </c>
      <c r="K55" s="1">
        <v>6.0299999999999999E-2</v>
      </c>
      <c r="L55" s="1">
        <v>1.06</v>
      </c>
      <c r="M55" s="1">
        <v>20.2</v>
      </c>
      <c r="N55" s="1" t="s">
        <v>49</v>
      </c>
      <c r="O55" s="1" t="s">
        <v>50</v>
      </c>
      <c r="P55" s="1">
        <v>0.38800000000000001</v>
      </c>
      <c r="Q55" s="1">
        <v>4.25</v>
      </c>
      <c r="R55" s="1">
        <v>247</v>
      </c>
      <c r="S55" s="6"/>
      <c r="T55" s="6">
        <v>1</v>
      </c>
      <c r="U55" s="6">
        <v>2</v>
      </c>
      <c r="V55" s="6" t="s">
        <v>72</v>
      </c>
      <c r="W55" s="12">
        <v>20.2</v>
      </c>
      <c r="X55" s="9">
        <v>20.2</v>
      </c>
      <c r="Y55" s="9">
        <v>20.2</v>
      </c>
      <c r="Z55" s="6"/>
      <c r="AA55" s="6"/>
      <c r="AB55" s="6"/>
      <c r="AC55" s="6"/>
      <c r="AD55" s="6"/>
      <c r="AE55" s="6"/>
      <c r="AF55" s="6">
        <v>2</v>
      </c>
      <c r="AG55" s="6" t="s">
        <v>72</v>
      </c>
      <c r="AH55" s="6">
        <v>247</v>
      </c>
      <c r="AI55" s="6">
        <v>247</v>
      </c>
      <c r="AJ55" s="6">
        <v>247</v>
      </c>
      <c r="AK55" s="9"/>
      <c r="AL55" s="6"/>
      <c r="AM55" s="9"/>
      <c r="AN55" s="6"/>
      <c r="AO55" s="9"/>
      <c r="AP55" s="6"/>
      <c r="AQ55" s="6"/>
      <c r="AR55" s="6">
        <v>50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spans="1:64" ht="12.75" customHeight="1" x14ac:dyDescent="0.2">
      <c r="A56" s="10">
        <v>46085</v>
      </c>
      <c r="B56" s="11">
        <v>0.46866898148148151</v>
      </c>
      <c r="C56" s="1" t="s">
        <v>43</v>
      </c>
      <c r="D56" s="1" t="s">
        <v>71</v>
      </c>
      <c r="E56" s="1">
        <v>33</v>
      </c>
      <c r="F56" s="1" t="s">
        <v>46</v>
      </c>
      <c r="G56" s="1">
        <v>1</v>
      </c>
      <c r="H56" s="1">
        <v>1</v>
      </c>
      <c r="I56" s="1" t="s">
        <v>47</v>
      </c>
      <c r="J56" s="1" t="s">
        <v>48</v>
      </c>
      <c r="K56" s="1">
        <v>5.7099999999999998E-2</v>
      </c>
      <c r="L56" s="1">
        <v>0.997</v>
      </c>
      <c r="M56" s="1">
        <v>18.100000000000001</v>
      </c>
      <c r="N56" s="1" t="s">
        <v>49</v>
      </c>
      <c r="O56" s="1" t="s">
        <v>50</v>
      </c>
      <c r="P56" s="1">
        <v>0.38200000000000001</v>
      </c>
      <c r="Q56" s="1">
        <v>4.2300000000000004</v>
      </c>
      <c r="R56" s="1">
        <v>246</v>
      </c>
      <c r="S56" s="6"/>
      <c r="T56" s="6">
        <v>1</v>
      </c>
      <c r="U56" s="6">
        <v>2</v>
      </c>
      <c r="V56" s="6" t="s">
        <v>72</v>
      </c>
      <c r="W56" s="12">
        <v>18.100000000000001</v>
      </c>
      <c r="X56" s="9">
        <v>18.100000000000001</v>
      </c>
      <c r="Y56" s="9">
        <v>18.100000000000001</v>
      </c>
      <c r="Z56" s="6"/>
      <c r="AA56" s="6"/>
      <c r="AB56" s="6"/>
      <c r="AC56" s="6"/>
      <c r="AD56" s="6"/>
      <c r="AE56" s="6"/>
      <c r="AF56" s="6">
        <v>2</v>
      </c>
      <c r="AG56" s="6" t="s">
        <v>72</v>
      </c>
      <c r="AH56" s="6">
        <v>246</v>
      </c>
      <c r="AI56" s="6">
        <v>246</v>
      </c>
      <c r="AJ56" s="6">
        <v>246</v>
      </c>
      <c r="AK56" s="9"/>
      <c r="AL56" s="6"/>
      <c r="AM56" s="9"/>
      <c r="AN56" s="6"/>
      <c r="AO56" s="9"/>
      <c r="AP56" s="6"/>
      <c r="AQ56" s="6"/>
      <c r="AR56" s="6">
        <v>51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spans="1:64" ht="12.75" customHeight="1" x14ac:dyDescent="0.2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12"/>
      <c r="AI57" s="9"/>
      <c r="AJ57" s="9"/>
      <c r="AK57" s="12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1:64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</row>
    <row r="59" spans="1:64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</row>
    <row r="60" spans="1:64" ht="12.75" customHeight="1" x14ac:dyDescent="0.2">
      <c r="A60" s="10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 t="s">
        <v>302</v>
      </c>
      <c r="M60" s="14">
        <v>24.39</v>
      </c>
      <c r="N60" s="14"/>
      <c r="O60" s="14"/>
      <c r="P60" s="14"/>
      <c r="Q60" s="14" t="s">
        <v>302</v>
      </c>
      <c r="R60" s="14">
        <v>243.9</v>
      </c>
      <c r="S60" s="6"/>
      <c r="T60" s="6"/>
      <c r="U60" s="6"/>
      <c r="V60" s="6"/>
      <c r="W60" s="6"/>
      <c r="X60" s="14" t="s">
        <v>302</v>
      </c>
      <c r="Y60" s="14">
        <v>24.39</v>
      </c>
      <c r="Z60" s="6"/>
      <c r="AA60" s="6"/>
      <c r="AB60" s="6"/>
      <c r="AC60" s="6"/>
      <c r="AD60" s="6"/>
      <c r="AE60" s="6"/>
      <c r="AF60" s="6"/>
      <c r="AG60" s="6"/>
      <c r="AH60" s="6"/>
      <c r="AI60" s="14" t="s">
        <v>302</v>
      </c>
      <c r="AJ60" s="14">
        <v>243.9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 spans="1:64" ht="12.75" customHeight="1" x14ac:dyDescent="0.2">
      <c r="A61" s="10"/>
      <c r="B61" s="14"/>
      <c r="C61" s="14"/>
      <c r="D61" s="14"/>
      <c r="E61" s="14"/>
      <c r="F61" s="14"/>
      <c r="G61" s="14"/>
      <c r="H61" s="14"/>
      <c r="I61" s="14"/>
      <c r="J61" s="14"/>
      <c r="K61" s="17"/>
      <c r="L61" s="14" t="s">
        <v>303</v>
      </c>
      <c r="M61" s="17">
        <f>AVERAGE(M52:M56)</f>
        <v>18.839999999999996</v>
      </c>
      <c r="N61" s="14"/>
      <c r="O61" s="14"/>
      <c r="P61" s="14"/>
      <c r="Q61" s="14" t="s">
        <v>303</v>
      </c>
      <c r="R61" s="17">
        <f>AVERAGE(R52:R56)</f>
        <v>251.6</v>
      </c>
      <c r="S61" s="6"/>
      <c r="T61" s="6"/>
      <c r="U61" s="6"/>
      <c r="V61" s="6"/>
      <c r="W61" s="6"/>
      <c r="X61" s="14" t="s">
        <v>303</v>
      </c>
      <c r="Y61" s="17">
        <f>AVERAGE(Y52:Y56)</f>
        <v>18.839999999999996</v>
      </c>
      <c r="Z61" s="6"/>
      <c r="AA61" s="6"/>
      <c r="AB61" s="6"/>
      <c r="AC61" s="6"/>
      <c r="AD61" s="6"/>
      <c r="AE61" s="6"/>
      <c r="AF61" s="6"/>
      <c r="AG61" s="6"/>
      <c r="AH61" s="6"/>
      <c r="AI61" s="14" t="s">
        <v>303</v>
      </c>
      <c r="AJ61" s="17">
        <f>AVERAGE(AJ52:AJ56)</f>
        <v>251.6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64" ht="12.75" customHeight="1" x14ac:dyDescent="0.2">
      <c r="A62" s="10"/>
      <c r="B62" s="14"/>
      <c r="C62" s="6"/>
      <c r="D62" s="14"/>
      <c r="E62" s="14"/>
      <c r="F62" s="14"/>
      <c r="G62" s="14"/>
      <c r="H62" s="14"/>
      <c r="I62" s="14"/>
      <c r="J62" s="14"/>
      <c r="K62" s="17"/>
      <c r="L62" s="14" t="s">
        <v>304</v>
      </c>
      <c r="M62" s="17">
        <f>_xlfn.STDEV.S(M52:M56)</f>
        <v>1.9086644545335878</v>
      </c>
      <c r="N62" s="14"/>
      <c r="O62" s="14"/>
      <c r="P62" s="14"/>
      <c r="Q62" s="14" t="s">
        <v>304</v>
      </c>
      <c r="R62" s="17">
        <f>_xlfn.STDEV.S(R52:R56)</f>
        <v>16.425589791541732</v>
      </c>
      <c r="S62" s="6"/>
      <c r="T62" s="6"/>
      <c r="U62" s="6"/>
      <c r="V62" s="6"/>
      <c r="W62" s="6"/>
      <c r="X62" s="14" t="s">
        <v>304</v>
      </c>
      <c r="Y62" s="17">
        <f>_xlfn.STDEV.S(Y52:Y56)</f>
        <v>1.9086644545335878</v>
      </c>
      <c r="Z62" s="6"/>
      <c r="AA62" s="6"/>
      <c r="AB62" s="6"/>
      <c r="AC62" s="6"/>
      <c r="AD62" s="6"/>
      <c r="AE62" s="6"/>
      <c r="AF62" s="6"/>
      <c r="AG62" s="6"/>
      <c r="AH62" s="6"/>
      <c r="AI62" s="14" t="s">
        <v>304</v>
      </c>
      <c r="AJ62" s="17">
        <f>_xlfn.STDEV.S(AJ52:AJ56)</f>
        <v>16.425589791541732</v>
      </c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64" ht="12.75" customHeight="1" x14ac:dyDescent="0.2">
      <c r="A63" s="10"/>
      <c r="B63" s="14"/>
      <c r="C63" s="6"/>
      <c r="D63" s="14"/>
      <c r="E63" s="14"/>
      <c r="F63" s="14"/>
      <c r="G63" s="14"/>
      <c r="H63" s="14"/>
      <c r="I63" s="14"/>
      <c r="J63" s="14"/>
      <c r="K63" s="17"/>
      <c r="L63" s="14" t="s">
        <v>305</v>
      </c>
      <c r="M63" s="17">
        <f>100*M62/M61</f>
        <v>10.130915363766391</v>
      </c>
      <c r="N63" s="14"/>
      <c r="O63" s="14"/>
      <c r="P63" s="14"/>
      <c r="Q63" s="14" t="s">
        <v>305</v>
      </c>
      <c r="R63" s="17">
        <f>100*R62/R61</f>
        <v>6.5284538122184941</v>
      </c>
      <c r="S63" s="6"/>
      <c r="T63" s="6"/>
      <c r="U63" s="6"/>
      <c r="V63" s="6"/>
      <c r="W63" s="6"/>
      <c r="X63" s="14" t="s">
        <v>305</v>
      </c>
      <c r="Y63" s="17">
        <f>100*Y62/Y61</f>
        <v>10.130915363766391</v>
      </c>
      <c r="Z63" s="6"/>
      <c r="AA63" s="6"/>
      <c r="AB63" s="6"/>
      <c r="AC63" s="6"/>
      <c r="AD63" s="6"/>
      <c r="AE63" s="6"/>
      <c r="AF63" s="6"/>
      <c r="AG63" s="6"/>
      <c r="AH63" s="6"/>
      <c r="AI63" s="14" t="s">
        <v>305</v>
      </c>
      <c r="AJ63" s="17">
        <f>100*AJ62/AJ61</f>
        <v>6.5284538122184941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64" ht="12.75" customHeight="1" x14ac:dyDescent="0.2">
      <c r="A64" s="10"/>
      <c r="B64" s="14"/>
      <c r="C64" s="6"/>
      <c r="D64" s="14"/>
      <c r="E64" s="14"/>
      <c r="F64" s="14"/>
      <c r="G64" s="14"/>
      <c r="H64" s="14"/>
      <c r="I64" s="14"/>
      <c r="J64" s="14"/>
      <c r="K64" s="17"/>
      <c r="L64" s="14" t="s">
        <v>306</v>
      </c>
      <c r="M64" s="17">
        <f>TINV(0.02,4)</f>
        <v>3.7469473879791968</v>
      </c>
      <c r="N64" s="14"/>
      <c r="O64" s="14"/>
      <c r="P64" s="14"/>
      <c r="Q64" s="14" t="s">
        <v>306</v>
      </c>
      <c r="R64" s="17">
        <f>TINV(0.02,4)</f>
        <v>3.7469473879791968</v>
      </c>
      <c r="S64" s="6"/>
      <c r="T64" s="6"/>
      <c r="U64" s="6"/>
      <c r="V64" s="6"/>
      <c r="W64" s="6"/>
      <c r="X64" s="14" t="s">
        <v>306</v>
      </c>
      <c r="Y64" s="17">
        <f>TINV(0.02,4)</f>
        <v>3.7469473879791968</v>
      </c>
      <c r="Z64" s="6"/>
      <c r="AA64" s="6"/>
      <c r="AB64" s="6"/>
      <c r="AC64" s="6"/>
      <c r="AD64" s="6"/>
      <c r="AE64" s="6"/>
      <c r="AF64" s="6"/>
      <c r="AG64" s="6"/>
      <c r="AH64" s="6"/>
      <c r="AI64" s="14" t="s">
        <v>306</v>
      </c>
      <c r="AJ64" s="17">
        <f>TINV(0.02,4)</f>
        <v>3.7469473879791968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1:64" ht="12.75" customHeight="1" x14ac:dyDescent="0.2">
      <c r="A65" s="10"/>
      <c r="B65" s="14"/>
      <c r="C65" s="6"/>
      <c r="D65" s="14"/>
      <c r="E65" s="14"/>
      <c r="F65" s="14"/>
      <c r="G65" s="14"/>
      <c r="H65" s="14"/>
      <c r="I65" s="14"/>
      <c r="J65" s="14"/>
      <c r="K65" s="17"/>
      <c r="L65" s="14" t="s">
        <v>307</v>
      </c>
      <c r="M65" s="17">
        <f>M62*M64</f>
        <v>7.151665292443365</v>
      </c>
      <c r="N65" s="14"/>
      <c r="O65" s="14"/>
      <c r="P65" s="14"/>
      <c r="Q65" s="14" t="s">
        <v>307</v>
      </c>
      <c r="R65" s="17">
        <f>R62*R64</f>
        <v>61.545820765435053</v>
      </c>
      <c r="S65" s="6"/>
      <c r="T65" s="6"/>
      <c r="U65" s="6"/>
      <c r="V65" s="6"/>
      <c r="W65" s="6"/>
      <c r="X65" s="14" t="s">
        <v>307</v>
      </c>
      <c r="Y65" s="17">
        <f>Y62*Y64</f>
        <v>7.151665292443365</v>
      </c>
      <c r="Z65" s="6"/>
      <c r="AA65" s="6"/>
      <c r="AB65" s="6"/>
      <c r="AC65" s="6"/>
      <c r="AD65" s="6"/>
      <c r="AE65" s="6"/>
      <c r="AF65" s="6"/>
      <c r="AG65" s="6"/>
      <c r="AH65" s="6"/>
      <c r="AI65" s="14" t="s">
        <v>307</v>
      </c>
      <c r="AJ65" s="17">
        <f>AJ62*AJ64</f>
        <v>61.545820765435053</v>
      </c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 spans="1:64" ht="12.75" customHeight="1" x14ac:dyDescent="0.2">
      <c r="A66" s="10"/>
      <c r="B66" s="14"/>
      <c r="C66" s="6"/>
      <c r="D66" s="14"/>
      <c r="E66" s="14"/>
      <c r="F66" s="14"/>
      <c r="G66" s="14"/>
      <c r="H66" s="14"/>
      <c r="I66" s="14"/>
      <c r="J66" s="14"/>
      <c r="K66" s="17"/>
      <c r="L66" s="14" t="s">
        <v>308</v>
      </c>
      <c r="M66" s="17">
        <f>10*M62</f>
        <v>19.086644545335879</v>
      </c>
      <c r="N66" s="14"/>
      <c r="O66" s="14"/>
      <c r="P66" s="14"/>
      <c r="Q66" s="14" t="s">
        <v>308</v>
      </c>
      <c r="R66" s="17">
        <f>10*R62</f>
        <v>164.25589791541734</v>
      </c>
      <c r="S66" s="6"/>
      <c r="T66" s="6"/>
      <c r="U66" s="6"/>
      <c r="V66" s="6"/>
      <c r="W66" s="6"/>
      <c r="X66" s="14" t="s">
        <v>308</v>
      </c>
      <c r="Y66" s="17">
        <f>10*Y62</f>
        <v>19.086644545335879</v>
      </c>
      <c r="Z66" s="6"/>
      <c r="AA66" s="6"/>
      <c r="AB66" s="6"/>
      <c r="AC66" s="6"/>
      <c r="AD66" s="6"/>
      <c r="AE66" s="6"/>
      <c r="AF66" s="6"/>
      <c r="AG66" s="6"/>
      <c r="AH66" s="6"/>
      <c r="AI66" s="14" t="s">
        <v>308</v>
      </c>
      <c r="AJ66" s="17">
        <f>10*AJ62</f>
        <v>164.25589791541734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1:64" ht="12.75" customHeight="1" x14ac:dyDescent="0.2">
      <c r="A67" s="10"/>
      <c r="B67" s="14"/>
      <c r="C67" s="6"/>
      <c r="D67" s="14"/>
      <c r="E67" s="14"/>
      <c r="F67" s="14"/>
      <c r="G67" s="14"/>
      <c r="H67" s="14"/>
      <c r="I67" s="14"/>
      <c r="J67" s="14"/>
      <c r="K67" s="17"/>
      <c r="L67" s="14" t="s">
        <v>309</v>
      </c>
      <c r="M67" s="17">
        <f>100*(M61-M60)/M60</f>
        <v>-22.755227552275542</v>
      </c>
      <c r="N67" s="14"/>
      <c r="O67" s="14"/>
      <c r="P67" s="14"/>
      <c r="Q67" s="14" t="s">
        <v>309</v>
      </c>
      <c r="R67" s="17">
        <f>100*(R61-R60)/R60</f>
        <v>3.1570315703156986</v>
      </c>
      <c r="S67" s="6"/>
      <c r="T67" s="6"/>
      <c r="U67" s="6"/>
      <c r="V67" s="6"/>
      <c r="W67" s="6"/>
      <c r="X67" s="14" t="s">
        <v>309</v>
      </c>
      <c r="Y67" s="17">
        <f>100*(Y61-Y60)/Y60</f>
        <v>-22.755227552275542</v>
      </c>
      <c r="Z67" s="6"/>
      <c r="AA67" s="6"/>
      <c r="AB67" s="6"/>
      <c r="AC67" s="6"/>
      <c r="AD67" s="6"/>
      <c r="AE67" s="6"/>
      <c r="AF67" s="6"/>
      <c r="AG67" s="6"/>
      <c r="AH67" s="6"/>
      <c r="AI67" s="14" t="s">
        <v>309</v>
      </c>
      <c r="AJ67" s="17">
        <f>100*(AJ61-AJ60)/AJ60</f>
        <v>3.1570315703156986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1:64" ht="12.75" customHeight="1" x14ac:dyDescent="0.2">
      <c r="A68" s="10"/>
      <c r="B68" s="14"/>
      <c r="C68" s="6"/>
      <c r="D68" s="14"/>
      <c r="E68" s="14"/>
      <c r="F68" s="14"/>
      <c r="G68" s="14"/>
      <c r="H68" s="14"/>
      <c r="I68" s="14"/>
      <c r="J68" s="14"/>
      <c r="K68" s="17"/>
      <c r="L68" s="14" t="s">
        <v>310</v>
      </c>
      <c r="M68" s="17"/>
      <c r="N68" s="14"/>
      <c r="O68" s="14"/>
      <c r="P68" s="14"/>
      <c r="Q68" s="14" t="s">
        <v>310</v>
      </c>
      <c r="R68" s="17"/>
      <c r="S68" s="6"/>
      <c r="T68" s="6"/>
      <c r="U68" s="6"/>
      <c r="V68" s="6"/>
      <c r="W68" s="6"/>
      <c r="X68" s="14" t="s">
        <v>310</v>
      </c>
      <c r="Y68" s="17"/>
      <c r="Z68" s="6"/>
      <c r="AA68" s="6"/>
      <c r="AB68" s="6"/>
      <c r="AC68" s="6"/>
      <c r="AD68" s="6"/>
      <c r="AE68" s="6"/>
      <c r="AF68" s="6"/>
      <c r="AG68" s="6"/>
      <c r="AH68" s="6"/>
      <c r="AI68" s="14" t="s">
        <v>310</v>
      </c>
      <c r="AJ68" s="17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64" ht="12.75" customHeight="1" x14ac:dyDescent="0.2">
      <c r="A69" s="10"/>
      <c r="B69" s="14"/>
      <c r="C69" s="6"/>
      <c r="D69" s="14"/>
      <c r="E69" s="14"/>
      <c r="F69" s="14"/>
      <c r="G69" s="14"/>
      <c r="H69" s="14"/>
      <c r="I69" s="14"/>
      <c r="J69" s="14"/>
      <c r="K69" s="17"/>
      <c r="L69" s="14" t="s">
        <v>311</v>
      </c>
      <c r="M69" s="17">
        <f>100*M61/M60</f>
        <v>77.244772447724458</v>
      </c>
      <c r="N69" s="14"/>
      <c r="O69" s="14"/>
      <c r="P69" s="14"/>
      <c r="Q69" s="14" t="s">
        <v>311</v>
      </c>
      <c r="R69" s="17">
        <f>100*R61/R60</f>
        <v>103.1570315703157</v>
      </c>
      <c r="S69" s="6"/>
      <c r="T69" s="6"/>
      <c r="U69" s="6"/>
      <c r="V69" s="6"/>
      <c r="W69" s="6"/>
      <c r="X69" s="14" t="s">
        <v>311</v>
      </c>
      <c r="Y69" s="17"/>
      <c r="Z69" s="6"/>
      <c r="AA69" s="6"/>
      <c r="AB69" s="6"/>
      <c r="AC69" s="6"/>
      <c r="AD69" s="6"/>
      <c r="AE69" s="6"/>
      <c r="AF69" s="6"/>
      <c r="AG69" s="6"/>
      <c r="AH69" s="6"/>
      <c r="AI69" s="14" t="s">
        <v>311</v>
      </c>
      <c r="AJ69" s="17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64" ht="12.75" customHeight="1" x14ac:dyDescent="0.2">
      <c r="A70" s="16"/>
      <c r="B70" s="6"/>
      <c r="C70" s="6"/>
      <c r="D70" s="6"/>
      <c r="E70" s="6"/>
      <c r="F70" s="6"/>
      <c r="G70" s="6"/>
      <c r="H70" s="6"/>
      <c r="I70" s="6"/>
      <c r="J70" s="14"/>
      <c r="K70" s="17"/>
      <c r="L70" s="14" t="s">
        <v>312</v>
      </c>
      <c r="M70" s="17">
        <f>M61/M62</f>
        <v>9.8707763720595132</v>
      </c>
      <c r="N70" s="6"/>
      <c r="O70" s="6"/>
      <c r="P70" s="6"/>
      <c r="Q70" s="14" t="s">
        <v>312</v>
      </c>
      <c r="R70" s="17">
        <f>R61/R62</f>
        <v>15.317562607679394</v>
      </c>
      <c r="S70" s="6"/>
      <c r="T70" s="6"/>
      <c r="U70" s="6"/>
      <c r="V70" s="6"/>
      <c r="W70" s="6"/>
      <c r="X70" s="14" t="s">
        <v>312</v>
      </c>
      <c r="Y70" s="17">
        <f>Y61/Y62</f>
        <v>9.8707763720595132</v>
      </c>
      <c r="Z70" s="6"/>
      <c r="AA70" s="6"/>
      <c r="AB70" s="6"/>
      <c r="AC70" s="6"/>
      <c r="AD70" s="6"/>
      <c r="AE70" s="6"/>
      <c r="AF70" s="6"/>
      <c r="AG70" s="6"/>
      <c r="AH70" s="6"/>
      <c r="AI70" s="14" t="s">
        <v>312</v>
      </c>
      <c r="AJ70" s="17">
        <f>AJ61/AJ62</f>
        <v>15.317562607679394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1:64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 spans="1:64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</row>
    <row r="73" spans="1:64" ht="12.75" customHeight="1" x14ac:dyDescent="0.2">
      <c r="A73" s="1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</row>
    <row r="74" spans="1:64" ht="12.75" customHeight="1" x14ac:dyDescent="0.2">
      <c r="A74" s="1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</row>
    <row r="75" spans="1:64" ht="12.75" customHeight="1" x14ac:dyDescent="0.2">
      <c r="A75" s="1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</row>
    <row r="76" spans="1:64" ht="12.75" customHeight="1" x14ac:dyDescent="0.2">
      <c r="A76" s="1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14"/>
      <c r="AC76" s="14"/>
      <c r="AD76" s="14"/>
      <c r="AE76" s="14"/>
      <c r="AF76" s="6"/>
      <c r="AG76" s="6"/>
      <c r="AH76" s="6"/>
      <c r="AI76" s="6"/>
      <c r="AJ76" s="6"/>
      <c r="AK76" s="6"/>
      <c r="AL76" s="6"/>
      <c r="AM76" s="6"/>
      <c r="AN76" s="6"/>
      <c r="AO76" s="14"/>
      <c r="AP76" s="14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</row>
    <row r="77" spans="1:64" ht="12.75" customHeight="1" x14ac:dyDescent="0.2">
      <c r="A77" s="1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14"/>
      <c r="AC77" s="14"/>
      <c r="AD77" s="14"/>
      <c r="AE77" s="14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</row>
    <row r="78" spans="1:64" ht="12.75" customHeight="1" x14ac:dyDescent="0.2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14"/>
      <c r="AC78" s="14"/>
      <c r="AD78" s="14"/>
      <c r="AE78" s="14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</row>
    <row r="79" spans="1:64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 spans="1:64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</row>
    <row r="81" spans="1:64" ht="12.75" customHeight="1" x14ac:dyDescent="0.2">
      <c r="A81" s="10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6"/>
      <c r="T81" s="6"/>
      <c r="U81" s="6"/>
      <c r="V81" s="6"/>
      <c r="W81" s="6"/>
      <c r="X81" s="14"/>
      <c r="Y81" s="14"/>
      <c r="Z81" s="6"/>
      <c r="AA81" s="6"/>
      <c r="AB81" s="6"/>
      <c r="AC81" s="6"/>
      <c r="AD81" s="6"/>
      <c r="AE81" s="6"/>
      <c r="AF81" s="6"/>
      <c r="AG81" s="6"/>
      <c r="AH81" s="6"/>
      <c r="AI81" s="14"/>
      <c r="AJ81" s="14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</row>
    <row r="82" spans="1:64" ht="12.75" customHeight="1" x14ac:dyDescent="0.2">
      <c r="A82" s="10"/>
      <c r="B82" s="14"/>
      <c r="C82" s="14"/>
      <c r="D82" s="14"/>
      <c r="E82" s="14"/>
      <c r="F82" s="14"/>
      <c r="G82" s="14"/>
      <c r="H82" s="14"/>
      <c r="I82" s="14"/>
      <c r="J82" s="17"/>
      <c r="K82" s="17"/>
      <c r="L82" s="14"/>
      <c r="M82" s="14"/>
      <c r="N82" s="14"/>
      <c r="O82" s="17"/>
      <c r="P82" s="17"/>
      <c r="Q82" s="17"/>
      <c r="R82" s="17"/>
      <c r="S82" s="6"/>
      <c r="T82" s="6"/>
      <c r="U82" s="6"/>
      <c r="V82" s="6"/>
      <c r="W82" s="6"/>
      <c r="X82" s="14"/>
      <c r="Y82" s="17"/>
      <c r="Z82" s="6"/>
      <c r="AA82" s="6"/>
      <c r="AB82" s="6"/>
      <c r="AC82" s="6"/>
      <c r="AD82" s="6"/>
      <c r="AE82" s="6"/>
      <c r="AF82" s="6"/>
      <c r="AG82" s="6"/>
      <c r="AH82" s="6"/>
      <c r="AI82" s="14"/>
      <c r="AJ82" s="17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</row>
    <row r="83" spans="1:64" ht="12.75" customHeight="1" x14ac:dyDescent="0.2">
      <c r="A83" s="10"/>
      <c r="B83" s="14"/>
      <c r="C83" s="6"/>
      <c r="D83" s="14"/>
      <c r="E83" s="14"/>
      <c r="F83" s="14"/>
      <c r="G83" s="14"/>
      <c r="H83" s="14"/>
      <c r="I83" s="14"/>
      <c r="J83" s="17"/>
      <c r="K83" s="17"/>
      <c r="L83" s="14"/>
      <c r="M83" s="14"/>
      <c r="N83" s="14"/>
      <c r="O83" s="17"/>
      <c r="P83" s="17"/>
      <c r="Q83" s="17"/>
      <c r="R83" s="17"/>
      <c r="S83" s="6"/>
      <c r="T83" s="6"/>
      <c r="U83" s="6"/>
      <c r="V83" s="6"/>
      <c r="W83" s="6"/>
      <c r="X83" s="14"/>
      <c r="Y83" s="17"/>
      <c r="Z83" s="6"/>
      <c r="AA83" s="6"/>
      <c r="AB83" s="6"/>
      <c r="AC83" s="6"/>
      <c r="AD83" s="6"/>
      <c r="AE83" s="6"/>
      <c r="AF83" s="6"/>
      <c r="AG83" s="6"/>
      <c r="AH83" s="6"/>
      <c r="AI83" s="14"/>
      <c r="AJ83" s="17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</row>
    <row r="84" spans="1:64" ht="12.75" customHeight="1" x14ac:dyDescent="0.2">
      <c r="A84" s="10"/>
      <c r="B84" s="14"/>
      <c r="C84" s="6"/>
      <c r="D84" s="14"/>
      <c r="E84" s="14"/>
      <c r="F84" s="14"/>
      <c r="G84" s="14"/>
      <c r="H84" s="14"/>
      <c r="I84" s="14"/>
      <c r="J84" s="17"/>
      <c r="K84" s="17"/>
      <c r="L84" s="14"/>
      <c r="M84" s="14"/>
      <c r="N84" s="14"/>
      <c r="O84" s="17"/>
      <c r="P84" s="17"/>
      <c r="Q84" s="17"/>
      <c r="R84" s="17"/>
      <c r="S84" s="6"/>
      <c r="T84" s="6"/>
      <c r="U84" s="6"/>
      <c r="V84" s="6"/>
      <c r="W84" s="6"/>
      <c r="X84" s="14"/>
      <c r="Y84" s="17"/>
      <c r="Z84" s="6"/>
      <c r="AA84" s="6"/>
      <c r="AB84" s="6"/>
      <c r="AC84" s="6"/>
      <c r="AD84" s="6"/>
      <c r="AE84" s="6"/>
      <c r="AF84" s="6"/>
      <c r="AG84" s="6"/>
      <c r="AH84" s="6"/>
      <c r="AI84" s="14"/>
      <c r="AJ84" s="17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</row>
    <row r="85" spans="1:64" ht="12.75" customHeight="1" x14ac:dyDescent="0.2">
      <c r="A85" s="10"/>
      <c r="B85" s="14"/>
      <c r="C85" s="6"/>
      <c r="D85" s="14"/>
      <c r="E85" s="14"/>
      <c r="F85" s="14"/>
      <c r="G85" s="14"/>
      <c r="H85" s="14"/>
      <c r="I85" s="14"/>
      <c r="J85" s="17"/>
      <c r="K85" s="17"/>
      <c r="L85" s="14"/>
      <c r="M85" s="14"/>
      <c r="N85" s="14"/>
      <c r="O85" s="17"/>
      <c r="P85" s="17"/>
      <c r="Q85" s="17"/>
      <c r="R85" s="17"/>
      <c r="S85" s="6"/>
      <c r="T85" s="6"/>
      <c r="U85" s="6"/>
      <c r="V85" s="6"/>
      <c r="W85" s="6"/>
      <c r="X85" s="14"/>
      <c r="Y85" s="17"/>
      <c r="Z85" s="6"/>
      <c r="AA85" s="6"/>
      <c r="AB85" s="6"/>
      <c r="AC85" s="6"/>
      <c r="AD85" s="6"/>
      <c r="AE85" s="6"/>
      <c r="AF85" s="6"/>
      <c r="AG85" s="6"/>
      <c r="AH85" s="6"/>
      <c r="AI85" s="14"/>
      <c r="AJ85" s="17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 spans="1:64" ht="12.75" customHeight="1" x14ac:dyDescent="0.2">
      <c r="A86" s="10"/>
      <c r="B86" s="14"/>
      <c r="C86" s="6"/>
      <c r="D86" s="14"/>
      <c r="E86" s="14"/>
      <c r="F86" s="14"/>
      <c r="G86" s="14"/>
      <c r="H86" s="14"/>
      <c r="I86" s="14"/>
      <c r="J86" s="17"/>
      <c r="K86" s="17"/>
      <c r="L86" s="14"/>
      <c r="M86" s="14"/>
      <c r="N86" s="14"/>
      <c r="O86" s="17"/>
      <c r="P86" s="17"/>
      <c r="Q86" s="17"/>
      <c r="R86" s="17"/>
      <c r="S86" s="6"/>
      <c r="T86" s="6"/>
      <c r="U86" s="6"/>
      <c r="V86" s="6"/>
      <c r="W86" s="6"/>
      <c r="X86" s="14"/>
      <c r="Y86" s="17"/>
      <c r="Z86" s="6"/>
      <c r="AA86" s="6"/>
      <c r="AB86" s="6"/>
      <c r="AC86" s="6"/>
      <c r="AD86" s="6"/>
      <c r="AE86" s="6"/>
      <c r="AF86" s="6"/>
      <c r="AG86" s="6"/>
      <c r="AH86" s="6"/>
      <c r="AI86" s="14"/>
      <c r="AJ86" s="17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</row>
    <row r="87" spans="1:64" ht="12.75" customHeight="1" x14ac:dyDescent="0.2">
      <c r="A87" s="10"/>
      <c r="B87" s="14"/>
      <c r="C87" s="6"/>
      <c r="D87" s="14"/>
      <c r="E87" s="14"/>
      <c r="F87" s="14"/>
      <c r="G87" s="14"/>
      <c r="H87" s="14"/>
      <c r="I87" s="14"/>
      <c r="J87" s="17"/>
      <c r="K87" s="17"/>
      <c r="L87" s="14"/>
      <c r="M87" s="14"/>
      <c r="N87" s="14"/>
      <c r="O87" s="17"/>
      <c r="P87" s="17"/>
      <c r="Q87" s="17"/>
      <c r="R87" s="17"/>
      <c r="S87" s="6"/>
      <c r="T87" s="6"/>
      <c r="U87" s="6"/>
      <c r="V87" s="6"/>
      <c r="W87" s="6"/>
      <c r="X87" s="14"/>
      <c r="Y87" s="17"/>
      <c r="Z87" s="6"/>
      <c r="AA87" s="6"/>
      <c r="AB87" s="6"/>
      <c r="AC87" s="6"/>
      <c r="AD87" s="6"/>
      <c r="AE87" s="6"/>
      <c r="AF87" s="6"/>
      <c r="AG87" s="6"/>
      <c r="AH87" s="6"/>
      <c r="AI87" s="14"/>
      <c r="AJ87" s="17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 spans="1:64" ht="12.75" customHeight="1" x14ac:dyDescent="0.2">
      <c r="A88" s="10"/>
      <c r="B88" s="14"/>
      <c r="C88" s="6"/>
      <c r="D88" s="14"/>
      <c r="E88" s="14"/>
      <c r="F88" s="14"/>
      <c r="G88" s="14"/>
      <c r="H88" s="14"/>
      <c r="I88" s="14"/>
      <c r="J88" s="17"/>
      <c r="K88" s="17"/>
      <c r="L88" s="14"/>
      <c r="M88" s="14"/>
      <c r="N88" s="14"/>
      <c r="O88" s="17"/>
      <c r="P88" s="17"/>
      <c r="Q88" s="17"/>
      <c r="R88" s="17"/>
      <c r="S88" s="6"/>
      <c r="T88" s="6"/>
      <c r="U88" s="6"/>
      <c r="V88" s="6"/>
      <c r="W88" s="6"/>
      <c r="X88" s="14"/>
      <c r="Y88" s="17"/>
      <c r="Z88" s="6"/>
      <c r="AA88" s="6"/>
      <c r="AB88" s="6"/>
      <c r="AC88" s="6"/>
      <c r="AD88" s="6"/>
      <c r="AE88" s="6"/>
      <c r="AF88" s="6"/>
      <c r="AG88" s="6"/>
      <c r="AH88" s="6"/>
      <c r="AI88" s="14"/>
      <c r="AJ88" s="17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 spans="1:64" ht="12.75" customHeight="1" x14ac:dyDescent="0.2">
      <c r="A89" s="10"/>
      <c r="B89" s="14"/>
      <c r="C89" s="6"/>
      <c r="D89" s="14"/>
      <c r="E89" s="14"/>
      <c r="F89" s="14"/>
      <c r="G89" s="14"/>
      <c r="H89" s="14"/>
      <c r="I89" s="14"/>
      <c r="J89" s="17"/>
      <c r="K89" s="17"/>
      <c r="L89" s="14"/>
      <c r="M89" s="14"/>
      <c r="N89" s="14"/>
      <c r="O89" s="17"/>
      <c r="P89" s="17"/>
      <c r="Q89" s="17"/>
      <c r="R89" s="17"/>
      <c r="S89" s="6"/>
      <c r="T89" s="6"/>
      <c r="U89" s="6"/>
      <c r="V89" s="6"/>
      <c r="W89" s="6"/>
      <c r="X89" s="14"/>
      <c r="Y89" s="17"/>
      <c r="Z89" s="6"/>
      <c r="AA89" s="6"/>
      <c r="AB89" s="6"/>
      <c r="AC89" s="6"/>
      <c r="AD89" s="6"/>
      <c r="AE89" s="6"/>
      <c r="AF89" s="6"/>
      <c r="AG89" s="6"/>
      <c r="AH89" s="6"/>
      <c r="AI89" s="14"/>
      <c r="AJ89" s="17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</row>
    <row r="90" spans="1:64" ht="12.75" customHeight="1" x14ac:dyDescent="0.2">
      <c r="A90" s="10"/>
      <c r="B90" s="14"/>
      <c r="C90" s="6"/>
      <c r="D90" s="14"/>
      <c r="E90" s="14"/>
      <c r="F90" s="14"/>
      <c r="G90" s="14"/>
      <c r="H90" s="14"/>
      <c r="I90" s="14"/>
      <c r="J90" s="17"/>
      <c r="K90" s="17"/>
      <c r="L90" s="14"/>
      <c r="M90" s="14"/>
      <c r="N90" s="14"/>
      <c r="O90" s="17"/>
      <c r="P90" s="17"/>
      <c r="Q90" s="17"/>
      <c r="R90" s="17"/>
      <c r="S90" s="6"/>
      <c r="T90" s="6"/>
      <c r="U90" s="6"/>
      <c r="V90" s="6"/>
      <c r="W90" s="6"/>
      <c r="X90" s="14"/>
      <c r="Y90" s="17"/>
      <c r="Z90" s="6"/>
      <c r="AA90" s="6"/>
      <c r="AB90" s="6"/>
      <c r="AC90" s="6"/>
      <c r="AD90" s="6"/>
      <c r="AE90" s="6"/>
      <c r="AF90" s="6"/>
      <c r="AG90" s="6"/>
      <c r="AH90" s="6"/>
      <c r="AI90" s="14"/>
      <c r="AJ90" s="17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 spans="1:64" ht="12.75" customHeight="1" x14ac:dyDescent="0.2">
      <c r="A91" s="16"/>
      <c r="B91" s="6"/>
      <c r="C91" s="6"/>
      <c r="D91" s="6"/>
      <c r="E91" s="6"/>
      <c r="F91" s="6"/>
      <c r="G91" s="6"/>
      <c r="H91" s="14"/>
      <c r="I91" s="6"/>
      <c r="J91" s="17"/>
      <c r="K91" s="17"/>
      <c r="L91" s="6"/>
      <c r="M91" s="14"/>
      <c r="N91" s="6"/>
      <c r="O91" s="17"/>
      <c r="P91" s="17"/>
      <c r="Q91" s="17"/>
      <c r="R91" s="17"/>
      <c r="S91" s="6"/>
      <c r="T91" s="6"/>
      <c r="U91" s="6"/>
      <c r="V91" s="6"/>
      <c r="W91" s="6"/>
      <c r="X91" s="14"/>
      <c r="Y91" s="17"/>
      <c r="Z91" s="6"/>
      <c r="AA91" s="6"/>
      <c r="AB91" s="6"/>
      <c r="AC91" s="6"/>
      <c r="AD91" s="6"/>
      <c r="AE91" s="6"/>
      <c r="AF91" s="6"/>
      <c r="AG91" s="6"/>
      <c r="AH91" s="6"/>
      <c r="AI91" s="14"/>
      <c r="AJ91" s="17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</row>
    <row r="92" spans="1:64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 spans="1:64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</row>
    <row r="94" spans="1:64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</row>
    <row r="95" spans="1:64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18"/>
      <c r="K95" s="6"/>
      <c r="L95" s="6"/>
      <c r="M95" s="6"/>
      <c r="N95" s="6"/>
      <c r="O95" s="1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</row>
    <row r="96" spans="1:64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</row>
    <row r="97" spans="1:64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</row>
    <row r="98" spans="1:64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</row>
    <row r="99" spans="1:64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</row>
    <row r="100" spans="1:64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</row>
    <row r="101" spans="1:64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</row>
    <row r="102" spans="1:64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</row>
    <row r="103" spans="1:64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</row>
    <row r="104" spans="1:64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</row>
    <row r="105" spans="1:64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</row>
    <row r="106" spans="1:64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</row>
    <row r="107" spans="1:64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</row>
    <row r="108" spans="1:64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</row>
    <row r="109" spans="1:64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</row>
    <row r="110" spans="1:64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</row>
    <row r="111" spans="1:64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</row>
    <row r="112" spans="1:64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</row>
    <row r="113" spans="1:64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</row>
    <row r="114" spans="1:64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</row>
    <row r="115" spans="1:64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</row>
    <row r="116" spans="1:64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</row>
    <row r="117" spans="1:64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</row>
    <row r="118" spans="1:64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</row>
    <row r="119" spans="1:64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</row>
    <row r="120" spans="1:64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</row>
    <row r="121" spans="1:64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</row>
    <row r="122" spans="1:64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</row>
    <row r="123" spans="1:64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</row>
    <row r="124" spans="1:64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</row>
    <row r="125" spans="1:64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</row>
    <row r="126" spans="1:64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</row>
    <row r="127" spans="1:64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</row>
    <row r="128" spans="1:64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</row>
    <row r="129" spans="1:64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</row>
    <row r="130" spans="1:64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</row>
    <row r="131" spans="1:64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</row>
    <row r="132" spans="1:64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</row>
    <row r="133" spans="1:64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</row>
    <row r="134" spans="1:64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</row>
    <row r="135" spans="1:64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</row>
    <row r="136" spans="1:64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</row>
    <row r="137" spans="1:64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</row>
    <row r="138" spans="1:64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</row>
    <row r="139" spans="1:64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</row>
    <row r="140" spans="1:64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</row>
    <row r="141" spans="1:64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</row>
    <row r="142" spans="1:64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</row>
    <row r="143" spans="1:64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</row>
    <row r="144" spans="1:64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</row>
    <row r="145" spans="1:64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</row>
    <row r="146" spans="1:64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</row>
    <row r="147" spans="1:64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</row>
    <row r="148" spans="1:64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</row>
    <row r="149" spans="1:64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</row>
    <row r="150" spans="1:64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</row>
    <row r="151" spans="1:64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</row>
    <row r="152" spans="1:64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</row>
    <row r="153" spans="1:64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</row>
    <row r="154" spans="1:64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</row>
    <row r="155" spans="1:64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</row>
    <row r="156" spans="1:64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</row>
    <row r="157" spans="1:64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</row>
    <row r="158" spans="1:64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</row>
    <row r="159" spans="1:64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</row>
    <row r="160" spans="1:64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</row>
    <row r="161" spans="1:64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</row>
    <row r="162" spans="1:64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</row>
    <row r="163" spans="1:64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</row>
    <row r="164" spans="1:64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</row>
    <row r="165" spans="1:64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</row>
    <row r="166" spans="1:64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</row>
    <row r="167" spans="1:64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</row>
    <row r="168" spans="1:64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</row>
    <row r="169" spans="1:64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</row>
    <row r="170" spans="1:64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</row>
    <row r="171" spans="1:64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</row>
    <row r="172" spans="1:64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</row>
    <row r="173" spans="1:64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</row>
    <row r="174" spans="1:64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</row>
    <row r="175" spans="1:64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</row>
    <row r="176" spans="1:64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</row>
    <row r="177" spans="1:64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</row>
    <row r="178" spans="1:64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</row>
    <row r="179" spans="1:64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</row>
    <row r="180" spans="1:64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</row>
    <row r="181" spans="1:64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</row>
    <row r="182" spans="1:64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</row>
    <row r="183" spans="1:64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</row>
    <row r="184" spans="1:64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</row>
    <row r="185" spans="1:64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</row>
    <row r="186" spans="1:64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</row>
    <row r="187" spans="1:64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</row>
    <row r="188" spans="1:64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</row>
    <row r="189" spans="1:64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</row>
    <row r="190" spans="1:64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</row>
    <row r="191" spans="1:64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</row>
    <row r="192" spans="1:64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</row>
    <row r="193" spans="1:64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</row>
    <row r="194" spans="1:64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</row>
    <row r="195" spans="1:64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</row>
    <row r="196" spans="1:64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</row>
    <row r="197" spans="1:64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</row>
    <row r="198" spans="1:64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</row>
    <row r="199" spans="1:64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</row>
    <row r="200" spans="1:64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</row>
    <row r="201" spans="1:64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</row>
    <row r="202" spans="1:64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</row>
    <row r="203" spans="1:64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</row>
    <row r="204" spans="1:64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</row>
    <row r="205" spans="1:64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</row>
    <row r="206" spans="1:64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</row>
    <row r="207" spans="1:64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</row>
    <row r="208" spans="1:64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</row>
    <row r="209" spans="1:64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</row>
    <row r="210" spans="1:64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</row>
    <row r="211" spans="1:64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</row>
    <row r="212" spans="1:64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</row>
    <row r="213" spans="1:64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</row>
    <row r="214" spans="1:64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</row>
    <row r="215" spans="1:64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</row>
    <row r="216" spans="1:64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</row>
    <row r="217" spans="1:64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</row>
    <row r="218" spans="1:64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</row>
    <row r="219" spans="1:64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</row>
    <row r="220" spans="1:64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</row>
    <row r="221" spans="1:64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</row>
    <row r="222" spans="1:64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</row>
    <row r="223" spans="1:64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</row>
    <row r="224" spans="1:64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</row>
    <row r="225" spans="1:64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</row>
    <row r="226" spans="1:64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</row>
    <row r="227" spans="1:64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</row>
    <row r="228" spans="1:64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</row>
    <row r="229" spans="1:64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</row>
    <row r="230" spans="1:64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</row>
    <row r="231" spans="1:64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</row>
    <row r="232" spans="1:64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</row>
    <row r="233" spans="1:64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</row>
    <row r="234" spans="1:64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</row>
    <row r="235" spans="1:64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</row>
    <row r="236" spans="1:64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</row>
    <row r="237" spans="1:64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</row>
    <row r="238" spans="1:64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</row>
    <row r="239" spans="1:64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</row>
    <row r="240" spans="1:64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</row>
    <row r="241" spans="1:64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</row>
    <row r="242" spans="1:64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</row>
    <row r="243" spans="1:64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</row>
    <row r="244" spans="1:64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</row>
    <row r="245" spans="1:64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</row>
    <row r="246" spans="1:64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</row>
    <row r="247" spans="1:64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</row>
    <row r="248" spans="1:64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</row>
    <row r="249" spans="1:64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</row>
    <row r="250" spans="1:64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</row>
    <row r="251" spans="1:64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</row>
    <row r="252" spans="1:64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</row>
    <row r="253" spans="1:64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</row>
    <row r="254" spans="1:64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</row>
    <row r="255" spans="1:64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</row>
    <row r="256" spans="1:64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</row>
    <row r="257" spans="1:64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</row>
    <row r="258" spans="1:64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</row>
    <row r="259" spans="1:64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</row>
    <row r="260" spans="1:64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</row>
    <row r="261" spans="1:64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</row>
    <row r="262" spans="1:64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</row>
    <row r="263" spans="1:64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</row>
    <row r="264" spans="1:64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</row>
    <row r="265" spans="1:64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</row>
    <row r="266" spans="1:64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</row>
    <row r="267" spans="1:64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</row>
    <row r="268" spans="1:64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</row>
    <row r="269" spans="1:64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</row>
    <row r="270" spans="1:64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</row>
    <row r="271" spans="1:64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</row>
    <row r="272" spans="1:64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</row>
    <row r="273" spans="1:64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</row>
    <row r="274" spans="1:64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</row>
    <row r="275" spans="1:64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</row>
    <row r="276" spans="1:64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</row>
    <row r="277" spans="1:64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</row>
    <row r="278" spans="1:64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</row>
    <row r="279" spans="1:64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</row>
    <row r="280" spans="1:64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</row>
    <row r="281" spans="1:64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</row>
    <row r="282" spans="1:64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</row>
    <row r="283" spans="1:64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</row>
    <row r="284" spans="1:64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</row>
    <row r="285" spans="1:64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</row>
    <row r="286" spans="1:64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</row>
    <row r="287" spans="1:64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</row>
    <row r="288" spans="1:64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</row>
    <row r="289" spans="1:64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</row>
    <row r="290" spans="1:64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</row>
    <row r="291" spans="1:64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</row>
    <row r="292" spans="1:64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</row>
    <row r="293" spans="1:64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</row>
    <row r="294" spans="1:64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</row>
    <row r="295" spans="1:64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</row>
    <row r="296" spans="1:64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</row>
    <row r="297" spans="1:64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</row>
    <row r="298" spans="1:64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</row>
    <row r="299" spans="1:64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</row>
    <row r="300" spans="1:64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</row>
    <row r="301" spans="1:64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</row>
    <row r="302" spans="1:64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</row>
    <row r="303" spans="1:64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</row>
    <row r="304" spans="1:64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</row>
    <row r="305" spans="1:64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</row>
    <row r="306" spans="1:64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</row>
    <row r="307" spans="1:64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</row>
    <row r="308" spans="1:64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</row>
    <row r="309" spans="1:64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</row>
    <row r="310" spans="1:64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</row>
    <row r="311" spans="1:64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</row>
    <row r="312" spans="1:64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</row>
    <row r="313" spans="1:64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</row>
    <row r="314" spans="1:64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</row>
    <row r="315" spans="1:64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</row>
    <row r="316" spans="1:64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</row>
    <row r="317" spans="1:64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</row>
    <row r="318" spans="1:64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</row>
    <row r="319" spans="1:64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</row>
    <row r="320" spans="1:64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</row>
    <row r="321" spans="1:64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</row>
    <row r="322" spans="1:64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</row>
    <row r="323" spans="1:64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</row>
    <row r="324" spans="1:64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</row>
    <row r="325" spans="1:64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</row>
    <row r="326" spans="1:64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</row>
    <row r="327" spans="1:64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</row>
    <row r="328" spans="1:64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</row>
    <row r="329" spans="1:64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</row>
    <row r="330" spans="1:64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</row>
    <row r="331" spans="1:64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</row>
    <row r="332" spans="1:64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</row>
    <row r="333" spans="1:64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</row>
    <row r="334" spans="1:64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</row>
    <row r="335" spans="1:64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</row>
    <row r="336" spans="1:64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</row>
    <row r="337" spans="1:64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</row>
    <row r="338" spans="1:64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</row>
    <row r="339" spans="1:64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</row>
    <row r="340" spans="1:64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</row>
    <row r="341" spans="1:64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</row>
    <row r="342" spans="1:64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</row>
    <row r="343" spans="1:64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</row>
    <row r="344" spans="1:64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</row>
    <row r="345" spans="1:64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</row>
    <row r="346" spans="1:64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</row>
    <row r="347" spans="1:64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</row>
    <row r="348" spans="1:64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</row>
    <row r="349" spans="1:64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</row>
    <row r="350" spans="1:64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</row>
    <row r="351" spans="1:64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</row>
    <row r="352" spans="1:64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</row>
    <row r="353" spans="1:64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</row>
    <row r="354" spans="1:64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</row>
    <row r="355" spans="1:64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</row>
    <row r="356" spans="1:64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</row>
    <row r="357" spans="1:64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</row>
    <row r="358" spans="1:64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</row>
    <row r="359" spans="1:64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</row>
    <row r="360" spans="1:64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</row>
    <row r="361" spans="1:64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</row>
    <row r="362" spans="1:64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</row>
    <row r="363" spans="1:64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</row>
    <row r="364" spans="1:64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</row>
    <row r="365" spans="1:64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</row>
    <row r="366" spans="1:64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</row>
    <row r="367" spans="1:64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</row>
    <row r="368" spans="1:64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</row>
    <row r="369" spans="1:64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</row>
    <row r="370" spans="1:64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</row>
    <row r="371" spans="1:64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</row>
    <row r="372" spans="1:64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</row>
    <row r="373" spans="1:64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</row>
    <row r="374" spans="1:64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</row>
    <row r="375" spans="1:64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</row>
    <row r="376" spans="1:64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</row>
    <row r="377" spans="1:64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</row>
    <row r="378" spans="1:64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</row>
    <row r="379" spans="1:64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</row>
    <row r="380" spans="1:64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</row>
    <row r="381" spans="1:64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</row>
    <row r="382" spans="1:64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</row>
    <row r="383" spans="1:64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</row>
    <row r="384" spans="1:64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</row>
    <row r="385" spans="1:64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</row>
    <row r="386" spans="1:64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</row>
    <row r="387" spans="1:64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</row>
    <row r="388" spans="1:64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</row>
    <row r="389" spans="1:64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</row>
    <row r="390" spans="1:64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</row>
    <row r="391" spans="1:64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</row>
    <row r="392" spans="1:64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</row>
    <row r="393" spans="1:64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</row>
    <row r="394" spans="1:64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</row>
    <row r="395" spans="1:64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</row>
    <row r="396" spans="1:64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</row>
    <row r="397" spans="1:64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</row>
    <row r="398" spans="1:64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</row>
    <row r="399" spans="1:64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</row>
    <row r="400" spans="1:64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</row>
    <row r="401" spans="1:64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</row>
    <row r="402" spans="1:64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</row>
    <row r="403" spans="1:64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</row>
    <row r="404" spans="1:64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</row>
    <row r="405" spans="1:64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</row>
    <row r="406" spans="1:64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</row>
    <row r="407" spans="1:64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</row>
    <row r="408" spans="1:64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</row>
    <row r="409" spans="1:64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</row>
    <row r="410" spans="1:64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</row>
    <row r="411" spans="1:64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</row>
    <row r="412" spans="1:64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</row>
    <row r="413" spans="1:64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</row>
    <row r="414" spans="1:64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</row>
    <row r="415" spans="1:64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</row>
    <row r="416" spans="1:64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</row>
    <row r="417" spans="1:64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</row>
    <row r="418" spans="1:64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</row>
    <row r="419" spans="1:64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</row>
    <row r="420" spans="1:64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</row>
    <row r="421" spans="1:64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</row>
    <row r="422" spans="1:64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</row>
    <row r="423" spans="1:64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</row>
    <row r="424" spans="1:64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</row>
    <row r="425" spans="1:64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</row>
    <row r="426" spans="1:64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</row>
    <row r="427" spans="1:64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</row>
    <row r="428" spans="1:64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</row>
    <row r="429" spans="1:64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</row>
    <row r="430" spans="1:64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</row>
    <row r="431" spans="1:64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</row>
    <row r="432" spans="1:64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</row>
    <row r="433" spans="1:64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</row>
    <row r="434" spans="1:64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</row>
    <row r="435" spans="1:64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</row>
    <row r="436" spans="1:64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</row>
    <row r="437" spans="1:64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</row>
    <row r="438" spans="1:64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</row>
    <row r="439" spans="1:64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</row>
    <row r="440" spans="1:64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</row>
    <row r="441" spans="1:64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</row>
    <row r="442" spans="1:64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</row>
    <row r="443" spans="1:64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</row>
    <row r="444" spans="1:64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</row>
    <row r="445" spans="1:64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</row>
    <row r="446" spans="1:64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</row>
    <row r="447" spans="1:64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</row>
    <row r="448" spans="1:64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</row>
    <row r="449" spans="1:64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</row>
    <row r="450" spans="1:64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</row>
    <row r="451" spans="1:64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</row>
    <row r="452" spans="1:64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</row>
    <row r="453" spans="1:64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</row>
    <row r="454" spans="1:64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</row>
    <row r="455" spans="1:64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</row>
    <row r="456" spans="1:64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</row>
    <row r="457" spans="1:64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</row>
    <row r="458" spans="1:64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</row>
    <row r="459" spans="1:64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</row>
    <row r="460" spans="1:64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</row>
    <row r="461" spans="1:64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</row>
    <row r="462" spans="1:64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</row>
    <row r="463" spans="1:64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</row>
    <row r="464" spans="1:64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</row>
    <row r="465" spans="1:64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</row>
    <row r="466" spans="1:64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</row>
    <row r="467" spans="1:64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</row>
    <row r="468" spans="1:64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</row>
    <row r="469" spans="1:64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</row>
    <row r="470" spans="1:64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</row>
    <row r="471" spans="1:64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</row>
    <row r="472" spans="1:64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</row>
    <row r="473" spans="1:64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</row>
    <row r="474" spans="1:64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</row>
    <row r="475" spans="1:64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</row>
    <row r="476" spans="1:64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</row>
    <row r="477" spans="1:64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</row>
    <row r="478" spans="1:64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</row>
    <row r="479" spans="1:64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</row>
    <row r="480" spans="1:64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</row>
    <row r="481" spans="1:64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</row>
    <row r="482" spans="1:64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</row>
    <row r="483" spans="1:64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</row>
    <row r="484" spans="1:64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</row>
    <row r="485" spans="1:64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</row>
    <row r="486" spans="1:64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</row>
    <row r="487" spans="1:64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</row>
    <row r="488" spans="1:64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</row>
    <row r="489" spans="1:64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</row>
    <row r="490" spans="1:64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</row>
    <row r="491" spans="1:64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</row>
    <row r="492" spans="1:64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</row>
    <row r="493" spans="1:64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</row>
    <row r="494" spans="1:64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</row>
    <row r="495" spans="1:64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</row>
    <row r="496" spans="1:64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</row>
    <row r="497" spans="1:64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</row>
    <row r="498" spans="1:64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</row>
    <row r="499" spans="1:64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</row>
    <row r="500" spans="1:64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</row>
    <row r="501" spans="1:64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</row>
    <row r="502" spans="1:64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</row>
    <row r="503" spans="1:64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</row>
    <row r="504" spans="1:64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</row>
    <row r="505" spans="1:64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</row>
    <row r="506" spans="1:64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</row>
    <row r="507" spans="1:64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</row>
    <row r="508" spans="1:64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</row>
    <row r="509" spans="1:64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</row>
    <row r="510" spans="1:64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</row>
    <row r="511" spans="1:64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</row>
    <row r="512" spans="1:64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</row>
    <row r="513" spans="1:64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</row>
    <row r="514" spans="1:64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</row>
    <row r="515" spans="1:64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</row>
    <row r="516" spans="1:64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</row>
    <row r="517" spans="1:64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</row>
    <row r="518" spans="1:64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</row>
    <row r="519" spans="1:64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</row>
    <row r="520" spans="1:64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</row>
    <row r="521" spans="1:64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</row>
    <row r="522" spans="1:64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</row>
    <row r="523" spans="1:64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</row>
    <row r="524" spans="1:64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</row>
    <row r="525" spans="1:64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</row>
    <row r="526" spans="1:64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</row>
    <row r="527" spans="1:64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</row>
    <row r="528" spans="1:64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</row>
    <row r="529" spans="1:64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</row>
    <row r="530" spans="1:64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</row>
    <row r="531" spans="1:64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</row>
    <row r="532" spans="1:64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</row>
    <row r="533" spans="1:64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</row>
    <row r="534" spans="1:64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</row>
    <row r="535" spans="1:64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</row>
    <row r="536" spans="1:64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</row>
    <row r="537" spans="1:64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</row>
    <row r="538" spans="1:64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</row>
    <row r="539" spans="1:64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</row>
    <row r="540" spans="1:64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</row>
    <row r="541" spans="1:64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</row>
    <row r="542" spans="1:64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</row>
    <row r="543" spans="1:64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</row>
    <row r="544" spans="1:64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</row>
    <row r="545" spans="1:64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</row>
    <row r="546" spans="1:64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</row>
    <row r="547" spans="1:64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</row>
    <row r="548" spans="1:64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</row>
    <row r="549" spans="1:64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</row>
    <row r="550" spans="1:64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</row>
    <row r="551" spans="1:64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</row>
    <row r="552" spans="1:64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</row>
    <row r="553" spans="1:64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</row>
    <row r="554" spans="1:64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</row>
    <row r="555" spans="1:64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</row>
    <row r="556" spans="1:64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</row>
    <row r="557" spans="1:64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</row>
    <row r="558" spans="1:64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</row>
    <row r="559" spans="1:64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</row>
    <row r="560" spans="1:64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</row>
    <row r="561" spans="1:64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</row>
    <row r="562" spans="1:64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</row>
    <row r="563" spans="1:64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</row>
    <row r="564" spans="1:64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</row>
    <row r="565" spans="1:64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</row>
    <row r="566" spans="1:64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</row>
    <row r="567" spans="1:64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</row>
    <row r="568" spans="1:64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</row>
    <row r="569" spans="1:64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</row>
    <row r="570" spans="1:64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</row>
    <row r="571" spans="1:64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</row>
    <row r="572" spans="1:64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</row>
    <row r="573" spans="1:64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</row>
    <row r="574" spans="1:64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</row>
    <row r="575" spans="1:64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</row>
    <row r="576" spans="1:64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</row>
    <row r="577" spans="1:64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</row>
    <row r="578" spans="1:64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</row>
    <row r="579" spans="1:64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</row>
    <row r="580" spans="1:64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</row>
    <row r="581" spans="1:64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</row>
    <row r="582" spans="1:64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</row>
    <row r="583" spans="1:64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</row>
    <row r="584" spans="1:64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</row>
    <row r="585" spans="1:64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</row>
    <row r="586" spans="1:64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</row>
    <row r="587" spans="1:64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</row>
    <row r="588" spans="1:64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</row>
    <row r="589" spans="1:64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</row>
    <row r="590" spans="1:64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</row>
    <row r="591" spans="1:64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</row>
    <row r="592" spans="1:64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</row>
    <row r="593" spans="1:64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</row>
    <row r="594" spans="1:64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</row>
    <row r="595" spans="1:64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</row>
    <row r="596" spans="1:64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</row>
    <row r="597" spans="1:64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</row>
    <row r="598" spans="1:64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</row>
    <row r="599" spans="1:64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</row>
    <row r="600" spans="1:64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</row>
    <row r="601" spans="1:64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</row>
    <row r="602" spans="1:64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</row>
    <row r="603" spans="1:64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</row>
    <row r="604" spans="1:64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</row>
    <row r="605" spans="1:64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</row>
    <row r="606" spans="1:64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</row>
    <row r="607" spans="1:64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</row>
    <row r="608" spans="1:64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</row>
    <row r="609" spans="1:64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</row>
    <row r="610" spans="1:64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</row>
    <row r="611" spans="1:64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</row>
    <row r="612" spans="1:64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</row>
    <row r="613" spans="1:64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</row>
    <row r="614" spans="1:64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</row>
    <row r="615" spans="1:64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</row>
    <row r="616" spans="1:64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</row>
    <row r="617" spans="1:64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</row>
    <row r="618" spans="1:64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</row>
    <row r="619" spans="1:64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</row>
    <row r="620" spans="1:64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</row>
    <row r="621" spans="1:64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</row>
    <row r="622" spans="1:64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</row>
    <row r="623" spans="1:64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</row>
    <row r="624" spans="1:64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</row>
    <row r="625" spans="1:64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</row>
    <row r="626" spans="1:64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</row>
    <row r="627" spans="1:64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</row>
    <row r="628" spans="1:64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</row>
    <row r="629" spans="1:64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</row>
    <row r="630" spans="1:64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</row>
    <row r="631" spans="1:64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</row>
    <row r="632" spans="1:64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</row>
    <row r="633" spans="1:64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</row>
    <row r="634" spans="1:64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</row>
    <row r="635" spans="1:64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</row>
    <row r="636" spans="1:64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</row>
    <row r="637" spans="1:64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</row>
    <row r="638" spans="1:64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</row>
    <row r="639" spans="1:64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</row>
    <row r="640" spans="1:64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</row>
    <row r="641" spans="1:64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</row>
    <row r="642" spans="1:64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</row>
    <row r="643" spans="1:64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</row>
    <row r="644" spans="1:64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</row>
    <row r="645" spans="1:64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</row>
    <row r="646" spans="1:64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</row>
    <row r="647" spans="1:64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</row>
    <row r="648" spans="1:64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</row>
    <row r="649" spans="1:64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</row>
    <row r="650" spans="1:64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</row>
    <row r="651" spans="1:64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</row>
    <row r="652" spans="1:64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</row>
    <row r="653" spans="1:64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</row>
    <row r="654" spans="1:64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</row>
    <row r="655" spans="1:64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</row>
    <row r="656" spans="1:64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</row>
    <row r="657" spans="1:64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</row>
    <row r="658" spans="1:64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</row>
    <row r="659" spans="1:64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</row>
    <row r="660" spans="1:64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</row>
    <row r="661" spans="1:64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</row>
    <row r="662" spans="1:64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</row>
    <row r="663" spans="1:64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</row>
    <row r="664" spans="1:64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</row>
    <row r="665" spans="1:64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</row>
    <row r="666" spans="1:64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</row>
    <row r="667" spans="1:64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</row>
    <row r="668" spans="1:64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</row>
    <row r="669" spans="1:64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</row>
    <row r="670" spans="1:64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</row>
    <row r="671" spans="1:64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</row>
    <row r="672" spans="1:64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</row>
    <row r="673" spans="1:64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</row>
    <row r="674" spans="1:64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</row>
    <row r="675" spans="1:64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</row>
    <row r="676" spans="1:64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</row>
    <row r="677" spans="1:64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</row>
    <row r="678" spans="1:64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</row>
    <row r="679" spans="1:64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</row>
    <row r="680" spans="1:64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</row>
    <row r="681" spans="1:64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</row>
    <row r="682" spans="1:64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</row>
    <row r="683" spans="1:64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</row>
    <row r="684" spans="1:64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</row>
    <row r="685" spans="1:64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</row>
    <row r="686" spans="1:64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</row>
    <row r="687" spans="1:64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</row>
    <row r="688" spans="1:64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</row>
    <row r="689" spans="1:64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</row>
    <row r="690" spans="1:64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</row>
    <row r="691" spans="1:64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</row>
    <row r="692" spans="1:64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</row>
    <row r="693" spans="1:64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</row>
    <row r="694" spans="1:64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</row>
    <row r="695" spans="1:64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</row>
    <row r="696" spans="1:64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</row>
    <row r="697" spans="1:64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</row>
    <row r="698" spans="1:64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</row>
    <row r="699" spans="1:64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</row>
    <row r="700" spans="1:64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</row>
    <row r="701" spans="1:64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</row>
    <row r="702" spans="1:64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</row>
    <row r="703" spans="1:64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</row>
    <row r="704" spans="1:64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</row>
    <row r="705" spans="1:64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</row>
    <row r="706" spans="1:64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</row>
    <row r="707" spans="1:64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</row>
    <row r="708" spans="1:64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</row>
    <row r="709" spans="1:64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</row>
    <row r="710" spans="1:64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</row>
    <row r="711" spans="1:64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</row>
    <row r="712" spans="1:64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</row>
    <row r="713" spans="1:64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</row>
    <row r="714" spans="1:64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</row>
    <row r="715" spans="1:64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</row>
    <row r="716" spans="1:64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</row>
    <row r="717" spans="1:64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</row>
    <row r="718" spans="1:64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</row>
    <row r="719" spans="1:64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</row>
    <row r="720" spans="1:64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</row>
    <row r="721" spans="1:64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</row>
    <row r="722" spans="1:64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</row>
    <row r="723" spans="1:64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</row>
    <row r="724" spans="1:64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</row>
    <row r="725" spans="1:64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</row>
    <row r="726" spans="1:64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</row>
    <row r="727" spans="1:64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</row>
    <row r="728" spans="1:64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</row>
    <row r="729" spans="1:64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</row>
    <row r="730" spans="1:64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</row>
    <row r="731" spans="1:64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</row>
    <row r="732" spans="1:64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</row>
    <row r="733" spans="1:64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</row>
    <row r="734" spans="1:64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</row>
    <row r="735" spans="1:64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</row>
    <row r="736" spans="1:64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</row>
    <row r="737" spans="1:64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</row>
    <row r="738" spans="1:64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</row>
    <row r="739" spans="1:64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</row>
    <row r="740" spans="1:64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</row>
    <row r="741" spans="1:64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</row>
    <row r="742" spans="1:64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</row>
    <row r="743" spans="1:64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</row>
    <row r="744" spans="1:64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</row>
    <row r="745" spans="1:64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</row>
    <row r="746" spans="1:64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</row>
    <row r="747" spans="1:64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</row>
    <row r="748" spans="1:64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</row>
    <row r="749" spans="1:64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</row>
    <row r="750" spans="1:64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</row>
    <row r="751" spans="1:64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</row>
    <row r="752" spans="1:64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</row>
    <row r="753" spans="1:64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</row>
    <row r="754" spans="1:64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</row>
    <row r="755" spans="1:64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</row>
    <row r="756" spans="1:64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</row>
    <row r="757" spans="1:64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</row>
    <row r="758" spans="1:64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</row>
    <row r="759" spans="1:64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</row>
    <row r="760" spans="1:64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</row>
    <row r="761" spans="1:64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</row>
    <row r="762" spans="1:64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</row>
    <row r="763" spans="1:64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</row>
    <row r="764" spans="1:64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</row>
    <row r="765" spans="1:64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</row>
    <row r="766" spans="1:64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</row>
    <row r="767" spans="1:64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</row>
    <row r="768" spans="1:64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</row>
    <row r="769" spans="1:64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</row>
    <row r="770" spans="1:64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</row>
    <row r="771" spans="1:64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</row>
    <row r="772" spans="1:64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</row>
    <row r="773" spans="1:64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</row>
    <row r="774" spans="1:64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</row>
    <row r="775" spans="1:64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</row>
    <row r="776" spans="1:64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</row>
    <row r="777" spans="1:64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</row>
    <row r="778" spans="1:64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</row>
    <row r="779" spans="1:64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</row>
    <row r="780" spans="1:64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</row>
    <row r="781" spans="1:64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</row>
    <row r="782" spans="1:64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</row>
    <row r="783" spans="1:64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</row>
    <row r="784" spans="1:64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</row>
    <row r="785" spans="1:64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</row>
    <row r="786" spans="1:64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</row>
    <row r="787" spans="1:64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</row>
    <row r="788" spans="1:64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</row>
    <row r="789" spans="1:64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</row>
    <row r="790" spans="1:64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</row>
    <row r="791" spans="1:64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</row>
    <row r="792" spans="1:64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</row>
    <row r="793" spans="1:64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</row>
    <row r="794" spans="1:64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</row>
    <row r="795" spans="1:64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</row>
    <row r="796" spans="1:64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</row>
    <row r="797" spans="1:64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</row>
    <row r="798" spans="1:64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</row>
    <row r="799" spans="1:64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</row>
    <row r="800" spans="1:64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</row>
    <row r="801" spans="1:64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</row>
    <row r="802" spans="1:64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</row>
    <row r="803" spans="1:64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</row>
    <row r="804" spans="1:64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</row>
    <row r="805" spans="1:64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</row>
    <row r="806" spans="1:64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</row>
    <row r="807" spans="1:64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</row>
    <row r="808" spans="1:64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</row>
    <row r="809" spans="1:64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</row>
    <row r="810" spans="1:64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</row>
    <row r="811" spans="1:64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</row>
    <row r="812" spans="1:64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</row>
    <row r="813" spans="1:64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</row>
    <row r="814" spans="1:64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</row>
    <row r="815" spans="1:64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</row>
    <row r="816" spans="1:64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</row>
    <row r="817" spans="1:64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</row>
    <row r="818" spans="1:64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</row>
    <row r="819" spans="1:64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</row>
    <row r="820" spans="1:64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</row>
    <row r="821" spans="1:64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</row>
    <row r="822" spans="1:64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</row>
    <row r="823" spans="1:64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</row>
    <row r="824" spans="1:64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</row>
    <row r="825" spans="1:64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</row>
    <row r="826" spans="1:64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</row>
    <row r="827" spans="1:64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</row>
    <row r="828" spans="1:64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</row>
    <row r="829" spans="1:64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</row>
    <row r="830" spans="1:64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</row>
    <row r="831" spans="1:64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</row>
    <row r="832" spans="1:64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</row>
    <row r="833" spans="1:64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</row>
    <row r="834" spans="1:64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</row>
    <row r="835" spans="1:64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</row>
    <row r="836" spans="1:64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</row>
    <row r="837" spans="1:64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</row>
    <row r="838" spans="1:64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</row>
    <row r="839" spans="1:64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</row>
    <row r="840" spans="1:64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</row>
    <row r="841" spans="1:64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</row>
    <row r="842" spans="1:64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</row>
    <row r="843" spans="1:64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</row>
    <row r="844" spans="1:64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</row>
    <row r="845" spans="1:64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</row>
    <row r="846" spans="1:64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</row>
    <row r="847" spans="1:64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</row>
    <row r="848" spans="1:64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</row>
    <row r="849" spans="1:64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</row>
    <row r="850" spans="1:64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</row>
    <row r="851" spans="1:64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</row>
    <row r="852" spans="1:64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</row>
    <row r="853" spans="1:64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</row>
    <row r="854" spans="1:64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</row>
    <row r="855" spans="1:64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</row>
    <row r="856" spans="1:64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</row>
    <row r="857" spans="1:64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</row>
    <row r="858" spans="1:64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</row>
    <row r="859" spans="1:64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</row>
    <row r="860" spans="1:64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</row>
    <row r="861" spans="1:64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</row>
    <row r="862" spans="1:64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</row>
    <row r="863" spans="1:64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</row>
    <row r="864" spans="1:64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</row>
    <row r="865" spans="1:64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</row>
    <row r="866" spans="1:64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</row>
    <row r="867" spans="1:64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</row>
    <row r="868" spans="1:64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</row>
    <row r="869" spans="1:64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</row>
    <row r="870" spans="1:64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</row>
    <row r="871" spans="1:64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</row>
    <row r="872" spans="1:64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</row>
    <row r="873" spans="1:64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</row>
    <row r="874" spans="1:64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</row>
    <row r="875" spans="1:64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</row>
    <row r="876" spans="1:64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</row>
    <row r="877" spans="1:64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</row>
    <row r="878" spans="1:64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</row>
    <row r="879" spans="1:64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</row>
    <row r="880" spans="1:64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</row>
    <row r="881" spans="1:64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</row>
    <row r="882" spans="1:64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</row>
    <row r="883" spans="1:64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</row>
    <row r="884" spans="1:64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</row>
    <row r="885" spans="1:64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</row>
    <row r="886" spans="1:64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</row>
    <row r="887" spans="1:64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</row>
    <row r="888" spans="1:64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</row>
    <row r="889" spans="1:64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</row>
    <row r="890" spans="1:64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</row>
    <row r="891" spans="1:64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</row>
    <row r="892" spans="1:64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</row>
    <row r="893" spans="1:64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</row>
    <row r="894" spans="1:64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</row>
    <row r="895" spans="1:64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</row>
    <row r="896" spans="1:64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</row>
    <row r="897" spans="1:64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</row>
    <row r="898" spans="1:64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</row>
    <row r="899" spans="1:64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</row>
    <row r="900" spans="1:64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</row>
    <row r="901" spans="1:64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</row>
    <row r="902" spans="1:64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</row>
    <row r="903" spans="1:64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</row>
    <row r="904" spans="1:64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</row>
    <row r="905" spans="1:64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</row>
    <row r="906" spans="1:64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</row>
    <row r="907" spans="1:64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</row>
    <row r="908" spans="1:64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</row>
    <row r="909" spans="1:64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</row>
    <row r="910" spans="1:64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</row>
    <row r="911" spans="1:64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</row>
    <row r="912" spans="1:64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</row>
    <row r="913" spans="1:64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</row>
    <row r="914" spans="1:64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</row>
    <row r="915" spans="1:64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</row>
    <row r="916" spans="1:64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</row>
    <row r="917" spans="1:64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</row>
    <row r="918" spans="1:64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</row>
    <row r="919" spans="1:64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</row>
    <row r="920" spans="1:64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</row>
    <row r="921" spans="1:64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</row>
    <row r="922" spans="1:64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</row>
    <row r="923" spans="1:64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</row>
    <row r="924" spans="1:64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</row>
    <row r="925" spans="1:64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</row>
    <row r="926" spans="1:64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</row>
    <row r="927" spans="1:64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</row>
    <row r="928" spans="1:64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</row>
    <row r="929" spans="1:64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</row>
    <row r="930" spans="1:64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</row>
    <row r="931" spans="1:64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</row>
    <row r="932" spans="1:64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</row>
    <row r="933" spans="1:64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</row>
    <row r="934" spans="1:64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</row>
    <row r="935" spans="1:64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</row>
    <row r="936" spans="1:64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</row>
    <row r="937" spans="1:64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</row>
    <row r="938" spans="1:64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</row>
    <row r="939" spans="1:64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</row>
    <row r="940" spans="1:64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</row>
    <row r="941" spans="1:64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</row>
    <row r="942" spans="1:64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</row>
    <row r="943" spans="1:64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</row>
    <row r="944" spans="1:64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</row>
    <row r="945" spans="1:64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</row>
    <row r="946" spans="1:64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</row>
    <row r="947" spans="1:64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</row>
    <row r="948" spans="1:64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</row>
    <row r="949" spans="1:64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</row>
    <row r="950" spans="1:64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</row>
    <row r="951" spans="1:64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</row>
    <row r="952" spans="1:64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</row>
    <row r="953" spans="1:64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</row>
    <row r="954" spans="1:64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</row>
    <row r="955" spans="1:64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</row>
    <row r="956" spans="1:64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</row>
    <row r="957" spans="1:64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</row>
    <row r="958" spans="1:64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</row>
    <row r="959" spans="1:64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</row>
    <row r="960" spans="1:64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</row>
    <row r="961" spans="1:64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</row>
    <row r="962" spans="1:64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</row>
    <row r="963" spans="1:64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</row>
    <row r="964" spans="1:64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</row>
    <row r="965" spans="1:64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</row>
    <row r="966" spans="1:64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</row>
    <row r="967" spans="1:64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</row>
    <row r="968" spans="1:64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</row>
    <row r="969" spans="1:64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</row>
    <row r="970" spans="1:64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</row>
    <row r="971" spans="1:64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</row>
    <row r="972" spans="1:64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</row>
    <row r="973" spans="1:64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</row>
    <row r="974" spans="1:64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</row>
    <row r="975" spans="1:64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</row>
    <row r="976" spans="1:64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</row>
    <row r="977" spans="1:64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</row>
    <row r="978" spans="1:64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</row>
    <row r="979" spans="1:64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</row>
    <row r="980" spans="1:64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</row>
    <row r="981" spans="1:64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</row>
    <row r="982" spans="1:64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</row>
    <row r="983" spans="1:64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</row>
    <row r="984" spans="1:64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</row>
    <row r="985" spans="1:64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</row>
    <row r="986" spans="1:64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</row>
    <row r="987" spans="1:64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</row>
    <row r="988" spans="1:64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</row>
    <row r="989" spans="1:64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</row>
    <row r="990" spans="1:64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</row>
    <row r="991" spans="1:64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</row>
    <row r="992" spans="1:64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</row>
    <row r="993" spans="1:64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</row>
    <row r="994" spans="1:64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</row>
    <row r="995" spans="1:64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</row>
    <row r="996" spans="1:64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</row>
    <row r="997" spans="1:64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</row>
    <row r="998" spans="1:64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</row>
    <row r="999" spans="1:64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</row>
    <row r="1000" spans="1:64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</row>
  </sheetData>
  <printOptions gridLines="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topLeftCell="A51" workbookViewId="0">
      <selection activeCell="E65" sqref="E65"/>
    </sheetView>
  </sheetViews>
  <sheetFormatPr baseColWidth="10" defaultColWidth="14.5" defaultRowHeight="15" customHeight="1" x14ac:dyDescent="0.2"/>
  <cols>
    <col min="1" max="27" width="8.6640625" customWidth="1"/>
  </cols>
  <sheetData>
    <row r="1" spans="1:19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351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3" spans="1:19" x14ac:dyDescent="0.2">
      <c r="A3" s="10">
        <v>46085</v>
      </c>
      <c r="B3" s="11">
        <v>0.43225694444444446</v>
      </c>
      <c r="C3" s="1" t="s">
        <v>43</v>
      </c>
      <c r="D3" s="1" t="s">
        <v>44</v>
      </c>
      <c r="E3" s="1"/>
      <c r="F3" s="1" t="s">
        <v>45</v>
      </c>
      <c r="G3" s="1" t="s">
        <v>46</v>
      </c>
      <c r="H3" s="1">
        <v>1</v>
      </c>
      <c r="I3" s="1">
        <v>1</v>
      </c>
      <c r="J3" s="1" t="s">
        <v>47</v>
      </c>
      <c r="K3" s="1" t="s">
        <v>48</v>
      </c>
      <c r="L3" s="1">
        <v>0.17199999999999999</v>
      </c>
      <c r="M3" s="1">
        <v>1.79</v>
      </c>
      <c r="N3" s="1">
        <v>34.200000000000003</v>
      </c>
      <c r="O3" s="1" t="s">
        <v>49</v>
      </c>
      <c r="P3" s="1" t="s">
        <v>50</v>
      </c>
      <c r="Q3" s="1">
        <v>-1.0699999999999999E-2</v>
      </c>
      <c r="R3" s="1">
        <v>-0.121</v>
      </c>
      <c r="S3" s="1">
        <v>-116</v>
      </c>
    </row>
    <row r="4" spans="1:19" x14ac:dyDescent="0.2">
      <c r="A4" s="10">
        <v>46085</v>
      </c>
      <c r="B4" s="11">
        <v>0.43318287037037034</v>
      </c>
      <c r="C4" s="1" t="s">
        <v>43</v>
      </c>
      <c r="D4" s="1" t="s">
        <v>44</v>
      </c>
      <c r="E4" s="1"/>
      <c r="F4" s="1" t="s">
        <v>45</v>
      </c>
      <c r="G4" s="1" t="s">
        <v>46</v>
      </c>
      <c r="H4" s="1">
        <v>1</v>
      </c>
      <c r="I4" s="1">
        <v>1</v>
      </c>
      <c r="J4" s="1" t="s">
        <v>47</v>
      </c>
      <c r="K4" s="1" t="s">
        <v>48</v>
      </c>
      <c r="L4" s="1">
        <v>0.13500000000000001</v>
      </c>
      <c r="M4" s="1">
        <v>1.37</v>
      </c>
      <c r="N4" s="1">
        <v>21.6</v>
      </c>
      <c r="O4" s="1" t="s">
        <v>49</v>
      </c>
      <c r="P4" s="1" t="s">
        <v>50</v>
      </c>
      <c r="Q4" s="1">
        <v>2.5100000000000001E-2</v>
      </c>
      <c r="R4" s="1">
        <v>3.2599999999999997E-2</v>
      </c>
      <c r="S4" s="1">
        <v>-100</v>
      </c>
    </row>
    <row r="5" spans="1:19" x14ac:dyDescent="0.2">
      <c r="A5" s="10">
        <v>46085</v>
      </c>
      <c r="B5" s="11">
        <v>0.43407407407407406</v>
      </c>
      <c r="C5" s="1" t="s">
        <v>43</v>
      </c>
      <c r="D5" s="1" t="s">
        <v>51</v>
      </c>
      <c r="E5" s="1"/>
      <c r="F5" s="1" t="s">
        <v>52</v>
      </c>
      <c r="G5" s="1" t="s">
        <v>46</v>
      </c>
      <c r="H5" s="1">
        <v>1</v>
      </c>
      <c r="I5" s="1">
        <v>1</v>
      </c>
      <c r="J5" s="1" t="s">
        <v>47</v>
      </c>
      <c r="K5" s="1" t="s">
        <v>48</v>
      </c>
      <c r="L5" s="1">
        <v>0.14000000000000001</v>
      </c>
      <c r="M5" s="1">
        <v>1.41</v>
      </c>
      <c r="N5" s="1">
        <v>22.8</v>
      </c>
      <c r="O5" s="1" t="s">
        <v>49</v>
      </c>
      <c r="P5" s="1" t="s">
        <v>50</v>
      </c>
      <c r="Q5" s="1">
        <v>1.89</v>
      </c>
      <c r="R5" s="1">
        <v>20.6</v>
      </c>
      <c r="S5" s="1">
        <v>2030</v>
      </c>
    </row>
    <row r="6" spans="1:19" x14ac:dyDescent="0.2">
      <c r="A6" s="10">
        <v>46085</v>
      </c>
      <c r="B6" s="11">
        <v>0.43495370370370373</v>
      </c>
      <c r="C6" s="1" t="s">
        <v>43</v>
      </c>
      <c r="D6" s="1" t="s">
        <v>53</v>
      </c>
      <c r="E6" s="1"/>
      <c r="F6" s="1" t="s">
        <v>54</v>
      </c>
      <c r="G6" s="1" t="s">
        <v>46</v>
      </c>
      <c r="H6" s="1">
        <v>1</v>
      </c>
      <c r="I6" s="1">
        <v>1</v>
      </c>
      <c r="J6" s="1" t="s">
        <v>47</v>
      </c>
      <c r="K6" s="1" t="s">
        <v>48</v>
      </c>
      <c r="L6" s="1">
        <v>0.13900000000000001</v>
      </c>
      <c r="M6" s="1">
        <v>1.39</v>
      </c>
      <c r="N6" s="1">
        <v>22.1</v>
      </c>
      <c r="O6" s="1" t="s">
        <v>49</v>
      </c>
      <c r="P6" s="1" t="s">
        <v>50</v>
      </c>
      <c r="Q6" s="1">
        <v>1.92</v>
      </c>
      <c r="R6" s="1">
        <v>20.5</v>
      </c>
      <c r="S6" s="1">
        <v>2030</v>
      </c>
    </row>
    <row r="7" spans="1:19" x14ac:dyDescent="0.2">
      <c r="A7" s="10">
        <v>46085</v>
      </c>
      <c r="B7" s="11">
        <v>0.43583333333333335</v>
      </c>
      <c r="C7" s="1" t="s">
        <v>43</v>
      </c>
      <c r="D7" s="1" t="s">
        <v>51</v>
      </c>
      <c r="E7" s="1"/>
      <c r="F7" s="1" t="s">
        <v>52</v>
      </c>
      <c r="G7" s="1" t="s">
        <v>46</v>
      </c>
      <c r="H7" s="1">
        <v>1</v>
      </c>
      <c r="I7" s="1">
        <v>1</v>
      </c>
      <c r="J7" s="1" t="s">
        <v>47</v>
      </c>
      <c r="K7" s="1" t="s">
        <v>48</v>
      </c>
      <c r="L7" s="1">
        <v>0.13800000000000001</v>
      </c>
      <c r="M7" s="1">
        <v>1.4</v>
      </c>
      <c r="N7" s="1">
        <v>22.6</v>
      </c>
      <c r="O7" s="1" t="s">
        <v>49</v>
      </c>
      <c r="P7" s="1" t="s">
        <v>50</v>
      </c>
      <c r="Q7" s="1">
        <v>1.83</v>
      </c>
      <c r="R7" s="1">
        <v>20</v>
      </c>
      <c r="S7" s="1">
        <v>1970</v>
      </c>
    </row>
    <row r="8" spans="1:19" x14ac:dyDescent="0.2">
      <c r="A8" s="10">
        <v>46085</v>
      </c>
      <c r="B8" s="11">
        <v>0.43671296296296297</v>
      </c>
      <c r="C8" s="1" t="s">
        <v>43</v>
      </c>
      <c r="D8" s="1" t="s">
        <v>53</v>
      </c>
      <c r="E8" s="1"/>
      <c r="F8" s="1" t="s">
        <v>54</v>
      </c>
      <c r="G8" s="1" t="s">
        <v>46</v>
      </c>
      <c r="H8" s="1">
        <v>1</v>
      </c>
      <c r="I8" s="1">
        <v>1</v>
      </c>
      <c r="J8" s="1" t="s">
        <v>47</v>
      </c>
      <c r="K8" s="1" t="s">
        <v>48</v>
      </c>
      <c r="L8" s="1">
        <v>0.14299999999999999</v>
      </c>
      <c r="M8" s="1">
        <v>1.49</v>
      </c>
      <c r="N8" s="1">
        <v>25.1</v>
      </c>
      <c r="O8" s="1" t="s">
        <v>49</v>
      </c>
      <c r="P8" s="1" t="s">
        <v>50</v>
      </c>
      <c r="Q8" s="1">
        <v>1.98</v>
      </c>
      <c r="R8" s="1">
        <v>21.1</v>
      </c>
      <c r="S8" s="1">
        <v>2090</v>
      </c>
    </row>
    <row r="9" spans="1:19" x14ac:dyDescent="0.2">
      <c r="A9" s="10">
        <v>46085</v>
      </c>
      <c r="B9" s="11">
        <v>0.43760416666666668</v>
      </c>
      <c r="C9" s="1" t="s">
        <v>43</v>
      </c>
      <c r="D9" s="1" t="s">
        <v>55</v>
      </c>
      <c r="E9" s="1"/>
      <c r="F9" s="1" t="s">
        <v>56</v>
      </c>
      <c r="G9" s="1" t="s">
        <v>46</v>
      </c>
      <c r="H9" s="1">
        <v>1</v>
      </c>
      <c r="I9" s="1">
        <v>1</v>
      </c>
      <c r="J9" s="1" t="s">
        <v>47</v>
      </c>
      <c r="K9" s="1" t="s">
        <v>48</v>
      </c>
      <c r="L9" s="1">
        <v>0.14099999999999999</v>
      </c>
      <c r="M9" s="1">
        <v>1.43</v>
      </c>
      <c r="N9" s="1">
        <v>23.2</v>
      </c>
      <c r="O9" s="1" t="s">
        <v>49</v>
      </c>
      <c r="P9" s="1" t="s">
        <v>50</v>
      </c>
      <c r="Q9" s="1">
        <v>1.12E-2</v>
      </c>
      <c r="R9" s="1">
        <v>0.35499999999999998</v>
      </c>
      <c r="S9" s="1">
        <v>-66</v>
      </c>
    </row>
    <row r="10" spans="1:19" x14ac:dyDescent="0.2">
      <c r="A10" s="10">
        <v>46085</v>
      </c>
      <c r="B10" s="11">
        <v>0.4384953703703704</v>
      </c>
      <c r="C10" s="1" t="s">
        <v>43</v>
      </c>
      <c r="D10" s="1" t="s">
        <v>55</v>
      </c>
      <c r="E10" s="1"/>
      <c r="F10" s="1" t="s">
        <v>56</v>
      </c>
      <c r="G10" s="1" t="s">
        <v>46</v>
      </c>
      <c r="H10" s="1">
        <v>1</v>
      </c>
      <c r="I10" s="1">
        <v>1</v>
      </c>
      <c r="J10" s="1" t="s">
        <v>47</v>
      </c>
      <c r="K10" s="1" t="s">
        <v>48</v>
      </c>
      <c r="L10" s="1">
        <v>0.14099999999999999</v>
      </c>
      <c r="M10" s="1">
        <v>1.46</v>
      </c>
      <c r="N10" s="1">
        <v>24.4</v>
      </c>
      <c r="O10" s="1" t="s">
        <v>49</v>
      </c>
      <c r="P10" s="1" t="s">
        <v>50</v>
      </c>
      <c r="Q10" s="1">
        <v>3.0599999999999999E-2</v>
      </c>
      <c r="R10" s="1">
        <v>5.1999999999999998E-2</v>
      </c>
      <c r="S10" s="1">
        <v>-98</v>
      </c>
    </row>
    <row r="11" spans="1:19" x14ac:dyDescent="0.2">
      <c r="A11" s="10">
        <v>46085</v>
      </c>
      <c r="B11" s="11">
        <v>0.43939814814814815</v>
      </c>
      <c r="C11" s="1" t="s">
        <v>43</v>
      </c>
      <c r="D11" s="1" t="s">
        <v>57</v>
      </c>
      <c r="E11" s="1"/>
      <c r="F11" s="1" t="s">
        <v>58</v>
      </c>
      <c r="G11" s="1" t="s">
        <v>46</v>
      </c>
      <c r="H11" s="1">
        <v>1</v>
      </c>
      <c r="I11" s="1">
        <v>1</v>
      </c>
      <c r="J11" s="1" t="s">
        <v>47</v>
      </c>
      <c r="K11" s="1" t="s">
        <v>48</v>
      </c>
      <c r="L11" s="1">
        <v>1.04E-2</v>
      </c>
      <c r="M11" s="1">
        <v>9.7799999999999998E-2</v>
      </c>
      <c r="N11" s="1">
        <v>-16.899999999999999</v>
      </c>
      <c r="O11" s="1" t="s">
        <v>49</v>
      </c>
      <c r="P11" s="1" t="s">
        <v>50</v>
      </c>
      <c r="Q11" s="1">
        <v>-2.8000000000000001E-2</v>
      </c>
      <c r="R11" s="1">
        <v>-0.17799999999999999</v>
      </c>
      <c r="S11" s="1">
        <v>-122</v>
      </c>
    </row>
    <row r="12" spans="1:19" x14ac:dyDescent="0.2">
      <c r="A12" s="10">
        <v>46085</v>
      </c>
      <c r="B12" s="11">
        <v>0.44027777777777777</v>
      </c>
      <c r="C12" s="1" t="s">
        <v>43</v>
      </c>
      <c r="D12" s="1" t="s">
        <v>57</v>
      </c>
      <c r="E12" s="1"/>
      <c r="F12" s="1" t="s">
        <v>58</v>
      </c>
      <c r="G12" s="1" t="s">
        <v>46</v>
      </c>
      <c r="H12" s="1">
        <v>1</v>
      </c>
      <c r="I12" s="1">
        <v>1</v>
      </c>
      <c r="J12" s="1" t="s">
        <v>47</v>
      </c>
      <c r="K12" s="1" t="s">
        <v>48</v>
      </c>
      <c r="L12" s="1">
        <v>1.1299999999999999E-2</v>
      </c>
      <c r="M12" s="1">
        <v>0.11</v>
      </c>
      <c r="N12" s="1">
        <v>-16.600000000000001</v>
      </c>
      <c r="O12" s="1" t="s">
        <v>49</v>
      </c>
      <c r="P12" s="1" t="s">
        <v>50</v>
      </c>
      <c r="Q12" s="1">
        <v>-2.1600000000000001E-2</v>
      </c>
      <c r="R12" s="1">
        <v>-0.16500000000000001</v>
      </c>
      <c r="S12" s="1">
        <v>-121</v>
      </c>
    </row>
    <row r="13" spans="1:19" x14ac:dyDescent="0.2">
      <c r="A13" s="10">
        <v>46085</v>
      </c>
      <c r="B13" s="11">
        <v>0.44118055555555558</v>
      </c>
      <c r="C13" s="1" t="s">
        <v>43</v>
      </c>
      <c r="D13" s="1" t="s">
        <v>59</v>
      </c>
      <c r="E13" s="1"/>
      <c r="F13" s="1">
        <v>1</v>
      </c>
      <c r="G13" s="1" t="s">
        <v>60</v>
      </c>
      <c r="H13" s="1">
        <v>1</v>
      </c>
      <c r="I13" s="1">
        <v>1</v>
      </c>
      <c r="J13" s="1" t="s">
        <v>47</v>
      </c>
      <c r="K13" s="1" t="s">
        <v>48</v>
      </c>
      <c r="L13" s="1">
        <v>0.29399999999999998</v>
      </c>
      <c r="M13" s="1">
        <v>4.7300000000000004</v>
      </c>
      <c r="N13" s="1">
        <v>150</v>
      </c>
      <c r="O13" s="1" t="s">
        <v>49</v>
      </c>
      <c r="P13" s="1" t="s">
        <v>50</v>
      </c>
      <c r="Q13" s="1">
        <v>1.93</v>
      </c>
      <c r="R13" s="1">
        <v>20.2</v>
      </c>
      <c r="S13" s="1">
        <v>1500</v>
      </c>
    </row>
    <row r="14" spans="1:19" x14ac:dyDescent="0.2">
      <c r="A14" s="10">
        <v>46085</v>
      </c>
      <c r="B14" s="11">
        <v>0.44208333333333333</v>
      </c>
      <c r="C14" s="1" t="s">
        <v>43</v>
      </c>
      <c r="D14" s="1" t="s">
        <v>59</v>
      </c>
      <c r="E14" s="1"/>
      <c r="F14" s="1">
        <v>1</v>
      </c>
      <c r="G14" s="1" t="s">
        <v>60</v>
      </c>
      <c r="H14" s="1">
        <v>1</v>
      </c>
      <c r="I14" s="1">
        <v>1</v>
      </c>
      <c r="J14" s="1" t="s">
        <v>47</v>
      </c>
      <c r="K14" s="1" t="s">
        <v>48</v>
      </c>
      <c r="L14" s="1">
        <v>0.29399999999999998</v>
      </c>
      <c r="M14" s="1">
        <v>4.68</v>
      </c>
      <c r="N14" s="1">
        <v>150</v>
      </c>
      <c r="O14" s="1" t="s">
        <v>49</v>
      </c>
      <c r="P14" s="1" t="s">
        <v>50</v>
      </c>
      <c r="Q14" s="1">
        <v>1.96</v>
      </c>
      <c r="R14" s="1">
        <v>20.6</v>
      </c>
      <c r="S14" s="1">
        <v>1500</v>
      </c>
    </row>
    <row r="15" spans="1:19" x14ac:dyDescent="0.2">
      <c r="A15" s="10">
        <v>46085</v>
      </c>
      <c r="B15" s="11">
        <v>0.44297453703703704</v>
      </c>
      <c r="C15" s="1" t="s">
        <v>43</v>
      </c>
      <c r="D15" s="1" t="s">
        <v>61</v>
      </c>
      <c r="E15" s="1"/>
      <c r="F15" s="1">
        <v>3</v>
      </c>
      <c r="G15" s="1" t="s">
        <v>60</v>
      </c>
      <c r="H15" s="1">
        <v>1</v>
      </c>
      <c r="I15" s="1">
        <v>1</v>
      </c>
      <c r="J15" s="1" t="s">
        <v>47</v>
      </c>
      <c r="K15" s="1" t="s">
        <v>48</v>
      </c>
      <c r="L15" s="1">
        <v>0.20200000000000001</v>
      </c>
      <c r="M15" s="1">
        <v>3.3</v>
      </c>
      <c r="N15" s="1">
        <v>100</v>
      </c>
      <c r="O15" s="1" t="s">
        <v>49</v>
      </c>
      <c r="P15" s="1" t="s">
        <v>50</v>
      </c>
      <c r="Q15" s="1">
        <v>1.32</v>
      </c>
      <c r="R15" s="1">
        <v>14</v>
      </c>
      <c r="S15" s="1">
        <v>1000</v>
      </c>
    </row>
    <row r="16" spans="1:19" x14ac:dyDescent="0.2">
      <c r="A16" s="10">
        <v>46085</v>
      </c>
      <c r="B16" s="11">
        <v>0.44386574074074076</v>
      </c>
      <c r="C16" s="1" t="s">
        <v>43</v>
      </c>
      <c r="D16" s="1" t="s">
        <v>61</v>
      </c>
      <c r="E16" s="1"/>
      <c r="F16" s="1">
        <v>3</v>
      </c>
      <c r="G16" s="1" t="s">
        <v>60</v>
      </c>
      <c r="H16" s="1">
        <v>1</v>
      </c>
      <c r="I16" s="1">
        <v>1</v>
      </c>
      <c r="J16" s="1" t="s">
        <v>47</v>
      </c>
      <c r="K16" s="1" t="s">
        <v>48</v>
      </c>
      <c r="L16" s="1">
        <v>0.20200000000000001</v>
      </c>
      <c r="M16" s="1">
        <v>3.32</v>
      </c>
      <c r="N16" s="1">
        <v>100</v>
      </c>
      <c r="O16" s="1" t="s">
        <v>49</v>
      </c>
      <c r="P16" s="1" t="s">
        <v>50</v>
      </c>
      <c r="Q16" s="1">
        <v>1.3</v>
      </c>
      <c r="R16" s="1">
        <v>13.8</v>
      </c>
      <c r="S16" s="1">
        <v>1000</v>
      </c>
    </row>
    <row r="17" spans="1:19" x14ac:dyDescent="0.2">
      <c r="A17" s="10">
        <v>46085</v>
      </c>
      <c r="B17" s="11">
        <v>0.44475694444444447</v>
      </c>
      <c r="C17" s="1" t="s">
        <v>43</v>
      </c>
      <c r="D17" s="1" t="s">
        <v>62</v>
      </c>
      <c r="E17" s="1"/>
      <c r="F17" s="1">
        <v>5</v>
      </c>
      <c r="G17" s="1" t="s">
        <v>60</v>
      </c>
      <c r="H17" s="1">
        <v>1</v>
      </c>
      <c r="I17" s="1">
        <v>1</v>
      </c>
      <c r="J17" s="1" t="s">
        <v>47</v>
      </c>
      <c r="K17" s="1" t="s">
        <v>48</v>
      </c>
      <c r="L17" s="1">
        <v>0.10199999999999999</v>
      </c>
      <c r="M17" s="1">
        <v>1.79</v>
      </c>
      <c r="N17" s="1">
        <v>50</v>
      </c>
      <c r="O17" s="1" t="s">
        <v>49</v>
      </c>
      <c r="P17" s="1" t="s">
        <v>50</v>
      </c>
      <c r="Q17" s="1">
        <v>0.65</v>
      </c>
      <c r="R17" s="1">
        <v>7.12</v>
      </c>
      <c r="S17" s="1">
        <v>500</v>
      </c>
    </row>
    <row r="18" spans="1:19" x14ac:dyDescent="0.2">
      <c r="A18" s="10">
        <v>46085</v>
      </c>
      <c r="B18" s="11">
        <v>0.44564814814814813</v>
      </c>
      <c r="C18" s="1" t="s">
        <v>43</v>
      </c>
      <c r="D18" s="1" t="s">
        <v>62</v>
      </c>
      <c r="E18" s="1"/>
      <c r="F18" s="1">
        <v>5</v>
      </c>
      <c r="G18" s="1" t="s">
        <v>60</v>
      </c>
      <c r="H18" s="1">
        <v>1</v>
      </c>
      <c r="I18" s="1">
        <v>1</v>
      </c>
      <c r="J18" s="1" t="s">
        <v>47</v>
      </c>
      <c r="K18" s="1" t="s">
        <v>48</v>
      </c>
      <c r="L18" s="1">
        <v>0.10100000000000001</v>
      </c>
      <c r="M18" s="1">
        <v>1.83</v>
      </c>
      <c r="N18" s="1">
        <v>50</v>
      </c>
      <c r="O18" s="1" t="s">
        <v>49</v>
      </c>
      <c r="P18" s="1" t="s">
        <v>50</v>
      </c>
      <c r="Q18" s="1">
        <v>0.69</v>
      </c>
      <c r="R18" s="1">
        <v>7.41</v>
      </c>
      <c r="S18" s="1">
        <v>500</v>
      </c>
    </row>
    <row r="19" spans="1:19" x14ac:dyDescent="0.2">
      <c r="A19" s="10">
        <v>46085</v>
      </c>
      <c r="B19" s="11">
        <v>0.4465277777777778</v>
      </c>
      <c r="C19" s="1" t="s">
        <v>43</v>
      </c>
      <c r="D19" s="1" t="s">
        <v>63</v>
      </c>
      <c r="E19" s="1"/>
      <c r="F19" s="1">
        <v>7</v>
      </c>
      <c r="G19" s="1" t="s">
        <v>60</v>
      </c>
      <c r="H19" s="1">
        <v>1</v>
      </c>
      <c r="I19" s="1">
        <v>1</v>
      </c>
      <c r="J19" s="1" t="s">
        <v>47</v>
      </c>
      <c r="K19" s="1" t="s">
        <v>48</v>
      </c>
      <c r="L19" s="1">
        <v>5.4100000000000002E-2</v>
      </c>
      <c r="M19" s="1">
        <v>1.1499999999999999</v>
      </c>
      <c r="N19" s="1">
        <v>25</v>
      </c>
      <c r="O19" s="1" t="s">
        <v>49</v>
      </c>
      <c r="P19" s="1" t="s">
        <v>50</v>
      </c>
      <c r="Q19" s="1">
        <v>0.38800000000000001</v>
      </c>
      <c r="R19" s="1">
        <v>4.24</v>
      </c>
      <c r="S19" s="1">
        <v>250</v>
      </c>
    </row>
    <row r="20" spans="1:19" x14ac:dyDescent="0.2">
      <c r="A20" s="10">
        <v>46085</v>
      </c>
      <c r="B20" s="11">
        <v>0.44741898148148146</v>
      </c>
      <c r="C20" s="1" t="s">
        <v>43</v>
      </c>
      <c r="D20" s="1" t="s">
        <v>63</v>
      </c>
      <c r="E20" s="1"/>
      <c r="F20" s="1">
        <v>7</v>
      </c>
      <c r="G20" s="1" t="s">
        <v>60</v>
      </c>
      <c r="H20" s="1">
        <v>1</v>
      </c>
      <c r="I20" s="1">
        <v>1</v>
      </c>
      <c r="J20" s="1" t="s">
        <v>47</v>
      </c>
      <c r="K20" s="1" t="s">
        <v>48</v>
      </c>
      <c r="L20" s="1">
        <v>5.4399999999999997E-2</v>
      </c>
      <c r="M20" s="1">
        <v>1.1100000000000001</v>
      </c>
      <c r="N20" s="1">
        <v>25</v>
      </c>
      <c r="O20" s="1" t="s">
        <v>49</v>
      </c>
      <c r="P20" s="1" t="s">
        <v>50</v>
      </c>
      <c r="Q20" s="1">
        <v>0.40899999999999997</v>
      </c>
      <c r="R20" s="1">
        <v>4.3499999999999996</v>
      </c>
      <c r="S20" s="1">
        <v>250</v>
      </c>
    </row>
    <row r="21" spans="1:19" ht="15.75" customHeight="1" x14ac:dyDescent="0.2">
      <c r="A21" s="10">
        <v>46085</v>
      </c>
      <c r="B21" s="11">
        <v>0.44829861111111113</v>
      </c>
      <c r="C21" s="1" t="s">
        <v>43</v>
      </c>
      <c r="D21" s="1" t="s">
        <v>64</v>
      </c>
      <c r="E21" s="1"/>
      <c r="F21" s="1">
        <v>9</v>
      </c>
      <c r="G21" s="1" t="s">
        <v>60</v>
      </c>
      <c r="H21" s="1">
        <v>1</v>
      </c>
      <c r="I21" s="1">
        <v>1</v>
      </c>
      <c r="J21" s="1" t="s">
        <v>47</v>
      </c>
      <c r="K21" s="1" t="s">
        <v>48</v>
      </c>
      <c r="L21" s="1">
        <v>3.0099999999999998E-2</v>
      </c>
      <c r="M21" s="1">
        <v>0.73399999999999999</v>
      </c>
      <c r="N21" s="1">
        <v>10</v>
      </c>
      <c r="O21" s="1" t="s">
        <v>49</v>
      </c>
      <c r="P21" s="1" t="s">
        <v>50</v>
      </c>
      <c r="Q21" s="1">
        <v>0.21099999999999999</v>
      </c>
      <c r="R21" s="1">
        <v>2.38</v>
      </c>
      <c r="S21" s="1">
        <v>100</v>
      </c>
    </row>
    <row r="22" spans="1:19" ht="15.75" customHeight="1" x14ac:dyDescent="0.2">
      <c r="A22" s="10">
        <v>46085</v>
      </c>
      <c r="B22" s="11">
        <v>0.44918981481481479</v>
      </c>
      <c r="C22" s="1" t="s">
        <v>43</v>
      </c>
      <c r="D22" s="1" t="s">
        <v>64</v>
      </c>
      <c r="E22" s="1"/>
      <c r="F22" s="1">
        <v>9</v>
      </c>
      <c r="G22" s="1" t="s">
        <v>60</v>
      </c>
      <c r="H22" s="1">
        <v>1</v>
      </c>
      <c r="I22" s="1">
        <v>1</v>
      </c>
      <c r="J22" s="1" t="s">
        <v>47</v>
      </c>
      <c r="K22" s="1" t="s">
        <v>48</v>
      </c>
      <c r="L22" s="1">
        <v>2.9399999999999999E-2</v>
      </c>
      <c r="M22" s="1">
        <v>0.74099999999999999</v>
      </c>
      <c r="N22" s="1">
        <v>10</v>
      </c>
      <c r="O22" s="1" t="s">
        <v>49</v>
      </c>
      <c r="P22" s="1" t="s">
        <v>50</v>
      </c>
      <c r="Q22" s="1">
        <v>0.21099999999999999</v>
      </c>
      <c r="R22" s="1">
        <v>2.54</v>
      </c>
      <c r="S22" s="1">
        <v>100</v>
      </c>
    </row>
    <row r="23" spans="1:19" ht="15.75" customHeight="1" x14ac:dyDescent="0.2">
      <c r="A23" s="10">
        <v>46085</v>
      </c>
      <c r="B23" s="11">
        <v>0.45006944444444447</v>
      </c>
      <c r="C23" s="1" t="s">
        <v>43</v>
      </c>
      <c r="D23" s="1" t="s">
        <v>65</v>
      </c>
      <c r="E23" s="1"/>
      <c r="F23" s="1">
        <v>11</v>
      </c>
      <c r="G23" s="1" t="s">
        <v>60</v>
      </c>
      <c r="H23" s="1">
        <v>1</v>
      </c>
      <c r="I23" s="1">
        <v>1</v>
      </c>
      <c r="J23" s="1" t="s">
        <v>47</v>
      </c>
      <c r="K23" s="1" t="s">
        <v>48</v>
      </c>
      <c r="L23" s="1">
        <v>2.75E-2</v>
      </c>
      <c r="M23" s="1">
        <v>0.72799999999999998</v>
      </c>
      <c r="N23" s="1">
        <v>5</v>
      </c>
      <c r="O23" s="1" t="s">
        <v>49</v>
      </c>
      <c r="P23" s="1" t="s">
        <v>50</v>
      </c>
      <c r="Q23" s="1">
        <v>0.155</v>
      </c>
      <c r="R23" s="1">
        <v>1.8</v>
      </c>
      <c r="S23" s="1">
        <v>50</v>
      </c>
    </row>
    <row r="24" spans="1:19" ht="15.75" customHeight="1" x14ac:dyDescent="0.2">
      <c r="A24" s="10">
        <v>46085</v>
      </c>
      <c r="B24" s="11">
        <v>0.45096064814814812</v>
      </c>
      <c r="C24" s="1" t="s">
        <v>43</v>
      </c>
      <c r="D24" s="1" t="s">
        <v>65</v>
      </c>
      <c r="E24" s="1"/>
      <c r="F24" s="1">
        <v>11</v>
      </c>
      <c r="G24" s="1" t="s">
        <v>60</v>
      </c>
      <c r="H24" s="1">
        <v>1</v>
      </c>
      <c r="I24" s="1">
        <v>1</v>
      </c>
      <c r="J24" s="1" t="s">
        <v>47</v>
      </c>
      <c r="K24" s="1" t="s">
        <v>48</v>
      </c>
      <c r="L24" s="1">
        <v>2.6100000000000002E-2</v>
      </c>
      <c r="M24" s="1">
        <v>0.65400000000000003</v>
      </c>
      <c r="N24" s="1">
        <v>5</v>
      </c>
      <c r="O24" s="1" t="s">
        <v>49</v>
      </c>
      <c r="P24" s="1" t="s">
        <v>50</v>
      </c>
      <c r="Q24" s="1">
        <v>0.14799999999999999</v>
      </c>
      <c r="R24" s="1">
        <v>1.71</v>
      </c>
      <c r="S24" s="1">
        <v>50</v>
      </c>
    </row>
    <row r="25" spans="1:19" ht="15.75" customHeight="1" x14ac:dyDescent="0.2">
      <c r="A25" s="10">
        <v>46085</v>
      </c>
      <c r="B25" s="11">
        <v>0.4518402777777778</v>
      </c>
      <c r="C25" s="1" t="s">
        <v>43</v>
      </c>
      <c r="D25" s="1" t="s">
        <v>67</v>
      </c>
      <c r="E25" s="1"/>
      <c r="F25" s="1">
        <v>13</v>
      </c>
      <c r="G25" s="1" t="s">
        <v>60</v>
      </c>
      <c r="H25" s="1">
        <v>1</v>
      </c>
      <c r="I25" s="1">
        <v>1</v>
      </c>
      <c r="J25" s="1" t="s">
        <v>47</v>
      </c>
      <c r="K25" s="1" t="s">
        <v>48</v>
      </c>
      <c r="L25" s="1">
        <v>1.8599999999999998E-2</v>
      </c>
      <c r="M25" s="1">
        <v>0.40899999999999997</v>
      </c>
      <c r="N25" s="1">
        <v>0</v>
      </c>
      <c r="O25" s="1" t="s">
        <v>49</v>
      </c>
      <c r="P25" s="1" t="s">
        <v>50</v>
      </c>
      <c r="Q25" s="1">
        <v>7.7899999999999997E-2</v>
      </c>
      <c r="R25" s="1">
        <v>1.04</v>
      </c>
      <c r="S25" s="1">
        <v>0</v>
      </c>
    </row>
    <row r="26" spans="1:19" ht="15.75" customHeight="1" x14ac:dyDescent="0.2">
      <c r="A26" s="10">
        <v>46085</v>
      </c>
      <c r="B26" s="11">
        <v>0.45271990740740742</v>
      </c>
      <c r="C26" s="1" t="s">
        <v>43</v>
      </c>
      <c r="D26" s="1" t="s">
        <v>67</v>
      </c>
      <c r="E26" s="1"/>
      <c r="F26" s="1">
        <v>13</v>
      </c>
      <c r="G26" s="1" t="s">
        <v>60</v>
      </c>
      <c r="H26" s="1">
        <v>1</v>
      </c>
      <c r="I26" s="1">
        <v>1</v>
      </c>
      <c r="J26" s="1" t="s">
        <v>47</v>
      </c>
      <c r="K26" s="1" t="s">
        <v>48</v>
      </c>
      <c r="L26" s="1">
        <v>1.8200000000000001E-2</v>
      </c>
      <c r="M26" s="1">
        <v>0.42</v>
      </c>
      <c r="N26" s="1">
        <v>0</v>
      </c>
      <c r="O26" s="1" t="s">
        <v>49</v>
      </c>
      <c r="P26" s="1" t="s">
        <v>50</v>
      </c>
      <c r="Q26" s="1">
        <v>7.4499999999999997E-2</v>
      </c>
      <c r="R26" s="1">
        <v>0.96399999999999997</v>
      </c>
      <c r="S26" s="1">
        <v>0</v>
      </c>
    </row>
    <row r="27" spans="1:19" ht="15.75" customHeight="1" x14ac:dyDescent="0.2">
      <c r="A27" s="10">
        <v>46085</v>
      </c>
      <c r="B27" s="11">
        <v>0.45358796296296294</v>
      </c>
      <c r="C27" s="1" t="s">
        <v>43</v>
      </c>
      <c r="D27" s="1" t="s">
        <v>51</v>
      </c>
      <c r="E27" s="1"/>
      <c r="F27" s="1" t="s">
        <v>52</v>
      </c>
      <c r="G27" s="1" t="s">
        <v>46</v>
      </c>
      <c r="H27" s="1">
        <v>1</v>
      </c>
      <c r="I27" s="1">
        <v>1</v>
      </c>
      <c r="J27" s="1" t="s">
        <v>47</v>
      </c>
      <c r="K27" s="1" t="s">
        <v>48</v>
      </c>
      <c r="L27" s="1">
        <v>0.13800000000000001</v>
      </c>
      <c r="M27" s="1">
        <v>1.38</v>
      </c>
      <c r="N27" s="1">
        <v>31.1</v>
      </c>
      <c r="O27" s="1" t="s">
        <v>49</v>
      </c>
      <c r="P27" s="1" t="s">
        <v>50</v>
      </c>
      <c r="Q27" s="1">
        <v>1.88</v>
      </c>
      <c r="R27" s="1">
        <v>20.3</v>
      </c>
      <c r="S27" s="1">
        <v>1500</v>
      </c>
    </row>
    <row r="28" spans="1:19" ht="15.75" customHeight="1" x14ac:dyDescent="0.2">
      <c r="A28" s="10">
        <v>46085</v>
      </c>
      <c r="B28" s="11">
        <v>0.45447916666666666</v>
      </c>
      <c r="C28" s="1" t="s">
        <v>43</v>
      </c>
      <c r="D28" s="1" t="s">
        <v>53</v>
      </c>
      <c r="E28" s="1"/>
      <c r="F28" s="1" t="s">
        <v>54</v>
      </c>
      <c r="G28" s="1" t="s">
        <v>46</v>
      </c>
      <c r="H28" s="1">
        <v>1</v>
      </c>
      <c r="I28" s="1">
        <v>1</v>
      </c>
      <c r="J28" s="1" t="s">
        <v>47</v>
      </c>
      <c r="K28" s="1" t="s">
        <v>48</v>
      </c>
      <c r="L28" s="1">
        <v>0.14099999999999999</v>
      </c>
      <c r="M28" s="1">
        <v>1.46</v>
      </c>
      <c r="N28" s="1">
        <v>34</v>
      </c>
      <c r="O28" s="1" t="s">
        <v>49</v>
      </c>
      <c r="P28" s="1" t="s">
        <v>50</v>
      </c>
      <c r="Q28" s="1">
        <v>1.92</v>
      </c>
      <c r="R28" s="1">
        <v>20.399999999999999</v>
      </c>
      <c r="S28" s="1">
        <v>1510</v>
      </c>
    </row>
    <row r="29" spans="1:19" ht="15.75" customHeight="1" x14ac:dyDescent="0.2">
      <c r="A29" s="10">
        <v>46085</v>
      </c>
      <c r="B29" s="11">
        <v>0.45537037037037037</v>
      </c>
      <c r="C29" s="1" t="s">
        <v>43</v>
      </c>
      <c r="D29" s="1" t="s">
        <v>55</v>
      </c>
      <c r="E29" s="1"/>
      <c r="F29" s="1" t="s">
        <v>56</v>
      </c>
      <c r="G29" s="1" t="s">
        <v>46</v>
      </c>
      <c r="H29" s="1">
        <v>1</v>
      </c>
      <c r="I29" s="1">
        <v>1</v>
      </c>
      <c r="J29" s="1" t="s">
        <v>47</v>
      </c>
      <c r="K29" s="1" t="s">
        <v>48</v>
      </c>
      <c r="L29" s="1">
        <v>0.13700000000000001</v>
      </c>
      <c r="M29" s="1">
        <v>1.37</v>
      </c>
      <c r="N29" s="1">
        <v>31</v>
      </c>
      <c r="O29" s="1" t="s">
        <v>49</v>
      </c>
      <c r="P29" s="1" t="s">
        <v>50</v>
      </c>
      <c r="Q29" s="1">
        <v>-3.2399999999999998E-3</v>
      </c>
      <c r="R29" s="1">
        <v>-1.9800000000000002E-2</v>
      </c>
      <c r="S29" s="1">
        <v>-85</v>
      </c>
    </row>
    <row r="30" spans="1:19" ht="15.75" customHeight="1" x14ac:dyDescent="0.2">
      <c r="A30" s="10">
        <v>46085</v>
      </c>
      <c r="B30" s="11">
        <v>0.45626157407407408</v>
      </c>
      <c r="C30" s="1" t="s">
        <v>43</v>
      </c>
      <c r="D30" s="1" t="s">
        <v>69</v>
      </c>
      <c r="E30" s="1"/>
      <c r="F30" s="1">
        <v>19</v>
      </c>
      <c r="G30" s="1" t="s">
        <v>46</v>
      </c>
      <c r="H30" s="1">
        <v>1</v>
      </c>
      <c r="I30" s="1">
        <v>1</v>
      </c>
      <c r="J30" s="1" t="s">
        <v>47</v>
      </c>
      <c r="K30" s="1" t="s">
        <v>48</v>
      </c>
      <c r="L30" s="1">
        <v>1.89E-2</v>
      </c>
      <c r="M30" s="1">
        <v>0.41</v>
      </c>
      <c r="N30" s="1">
        <v>-1.72</v>
      </c>
      <c r="O30" s="1" t="s">
        <v>49</v>
      </c>
      <c r="P30" s="1" t="s">
        <v>50</v>
      </c>
      <c r="Q30" s="1">
        <v>7.5200000000000003E-2</v>
      </c>
      <c r="R30" s="1">
        <v>0.97099999999999997</v>
      </c>
      <c r="S30" s="1">
        <v>-7.82</v>
      </c>
    </row>
    <row r="31" spans="1:19" ht="15.75" customHeight="1" x14ac:dyDescent="0.2">
      <c r="A31" s="10">
        <v>46085</v>
      </c>
      <c r="B31" s="11">
        <v>0.4571527777777778</v>
      </c>
      <c r="C31" s="1" t="s">
        <v>43</v>
      </c>
      <c r="D31" s="1" t="s">
        <v>69</v>
      </c>
      <c r="E31" s="1"/>
      <c r="F31" s="1">
        <v>20</v>
      </c>
      <c r="G31" s="1" t="s">
        <v>46</v>
      </c>
      <c r="H31" s="1">
        <v>1</v>
      </c>
      <c r="I31" s="1">
        <v>1</v>
      </c>
      <c r="J31" s="1" t="s">
        <v>47</v>
      </c>
      <c r="K31" s="1" t="s">
        <v>48</v>
      </c>
      <c r="L31" s="1">
        <v>1.9599999999999999E-2</v>
      </c>
      <c r="M31" s="1">
        <v>0.39500000000000002</v>
      </c>
      <c r="N31" s="1">
        <v>-2.2200000000000002</v>
      </c>
      <c r="O31" s="1" t="s">
        <v>49</v>
      </c>
      <c r="P31" s="1" t="s">
        <v>50</v>
      </c>
      <c r="Q31" s="1">
        <v>8.8300000000000003E-2</v>
      </c>
      <c r="R31" s="1">
        <v>1.1200000000000001</v>
      </c>
      <c r="S31" s="1">
        <v>3.67</v>
      </c>
    </row>
    <row r="32" spans="1:19" ht="15.75" customHeight="1" x14ac:dyDescent="0.2">
      <c r="A32" s="10">
        <v>46085</v>
      </c>
      <c r="B32" s="11">
        <v>0.45804398148148145</v>
      </c>
      <c r="C32" s="1" t="s">
        <v>43</v>
      </c>
      <c r="D32" s="1" t="s">
        <v>69</v>
      </c>
      <c r="E32" s="1"/>
      <c r="F32" s="1">
        <v>21</v>
      </c>
      <c r="G32" s="1" t="s">
        <v>46</v>
      </c>
      <c r="H32" s="1">
        <v>1</v>
      </c>
      <c r="I32" s="1">
        <v>1</v>
      </c>
      <c r="J32" s="1" t="s">
        <v>47</v>
      </c>
      <c r="K32" s="1" t="s">
        <v>48</v>
      </c>
      <c r="L32" s="1">
        <v>1.7399999999999999E-2</v>
      </c>
      <c r="M32" s="1">
        <v>0.41499999999999998</v>
      </c>
      <c r="N32" s="1">
        <v>-1.56</v>
      </c>
      <c r="O32" s="1" t="s">
        <v>49</v>
      </c>
      <c r="P32" s="1" t="s">
        <v>50</v>
      </c>
      <c r="Q32" s="1">
        <v>7.3599999999999999E-2</v>
      </c>
      <c r="R32" s="1">
        <v>0.97799999999999998</v>
      </c>
      <c r="S32" s="1">
        <v>-7.26</v>
      </c>
    </row>
    <row r="33" spans="1:19" ht="15.75" customHeight="1" x14ac:dyDescent="0.2">
      <c r="A33" s="10">
        <v>46085</v>
      </c>
      <c r="B33" s="11">
        <v>0.45893518518518517</v>
      </c>
      <c r="C33" s="1" t="s">
        <v>43</v>
      </c>
      <c r="D33" s="1" t="s">
        <v>69</v>
      </c>
      <c r="E33" s="1"/>
      <c r="F33" s="1">
        <v>22</v>
      </c>
      <c r="G33" s="1" t="s">
        <v>46</v>
      </c>
      <c r="H33" s="1">
        <v>1</v>
      </c>
      <c r="I33" s="1">
        <v>1</v>
      </c>
      <c r="J33" s="1" t="s">
        <v>47</v>
      </c>
      <c r="K33" s="1" t="s">
        <v>48</v>
      </c>
      <c r="L33" s="1">
        <v>2.12E-2</v>
      </c>
      <c r="M33" s="1">
        <v>0.48599999999999999</v>
      </c>
      <c r="N33" s="1">
        <v>0.81100000000000005</v>
      </c>
      <c r="O33" s="1" t="s">
        <v>49</v>
      </c>
      <c r="P33" s="1" t="s">
        <v>50</v>
      </c>
      <c r="Q33" s="1">
        <v>7.51E-2</v>
      </c>
      <c r="R33" s="1">
        <v>0.94399999999999995</v>
      </c>
      <c r="S33" s="1">
        <v>-9.93</v>
      </c>
    </row>
    <row r="34" spans="1:19" ht="15.75" customHeight="1" x14ac:dyDescent="0.2">
      <c r="A34" s="10">
        <v>46085</v>
      </c>
      <c r="B34" s="11">
        <v>0.45981481481481479</v>
      </c>
      <c r="C34" s="1" t="s">
        <v>43</v>
      </c>
      <c r="D34" s="1" t="s">
        <v>69</v>
      </c>
      <c r="E34" s="1"/>
      <c r="F34" s="1">
        <v>23</v>
      </c>
      <c r="G34" s="1" t="s">
        <v>46</v>
      </c>
      <c r="H34" s="1">
        <v>1</v>
      </c>
      <c r="I34" s="1">
        <v>1</v>
      </c>
      <c r="J34" s="1" t="s">
        <v>47</v>
      </c>
      <c r="K34" s="1" t="s">
        <v>48</v>
      </c>
      <c r="L34" s="1">
        <v>2.0199999999999999E-2</v>
      </c>
      <c r="M34" s="1">
        <v>0.44600000000000001</v>
      </c>
      <c r="N34" s="1">
        <v>-0.53300000000000003</v>
      </c>
      <c r="O34" s="1" t="s">
        <v>49</v>
      </c>
      <c r="P34" s="1" t="s">
        <v>50</v>
      </c>
      <c r="Q34" s="1">
        <v>7.9799999999999996E-2</v>
      </c>
      <c r="R34" s="1">
        <v>1.1200000000000001</v>
      </c>
      <c r="S34" s="1">
        <v>3.8</v>
      </c>
    </row>
    <row r="35" spans="1:19" ht="15.75" customHeight="1" x14ac:dyDescent="0.2">
      <c r="A35" s="10">
        <v>46085</v>
      </c>
      <c r="B35" s="11">
        <v>0.46069444444444446</v>
      </c>
      <c r="C35" s="1" t="s">
        <v>43</v>
      </c>
      <c r="D35" s="1" t="s">
        <v>70</v>
      </c>
      <c r="E35" s="1"/>
      <c r="F35" s="1">
        <v>24</v>
      </c>
      <c r="G35" s="1" t="s">
        <v>46</v>
      </c>
      <c r="H35" s="1">
        <v>1</v>
      </c>
      <c r="I35" s="1">
        <v>1</v>
      </c>
      <c r="J35" s="1" t="s">
        <v>47</v>
      </c>
      <c r="K35" s="1" t="s">
        <v>48</v>
      </c>
      <c r="L35" s="1">
        <v>8.5599999999999996E-2</v>
      </c>
      <c r="M35" s="1">
        <v>1.64</v>
      </c>
      <c r="N35" s="1">
        <v>40.4</v>
      </c>
      <c r="O35" s="1" t="s">
        <v>49</v>
      </c>
      <c r="P35" s="1" t="s">
        <v>50</v>
      </c>
      <c r="Q35" s="1">
        <v>0.56399999999999995</v>
      </c>
      <c r="R35" s="1">
        <v>6.09</v>
      </c>
      <c r="S35" s="1">
        <v>391</v>
      </c>
    </row>
    <row r="36" spans="1:19" ht="15.75" customHeight="1" x14ac:dyDescent="0.2">
      <c r="A36" s="10">
        <v>46085</v>
      </c>
      <c r="B36" s="11">
        <v>0.46158564814814818</v>
      </c>
      <c r="C36" s="1" t="s">
        <v>43</v>
      </c>
      <c r="D36" s="1" t="s">
        <v>70</v>
      </c>
      <c r="E36" s="1"/>
      <c r="F36" s="1">
        <v>25</v>
      </c>
      <c r="G36" s="1" t="s">
        <v>46</v>
      </c>
      <c r="H36" s="1">
        <v>1</v>
      </c>
      <c r="I36" s="1">
        <v>1</v>
      </c>
      <c r="J36" s="1" t="s">
        <v>47</v>
      </c>
      <c r="K36" s="1" t="s">
        <v>48</v>
      </c>
      <c r="L36" s="1">
        <v>8.5800000000000001E-2</v>
      </c>
      <c r="M36" s="1">
        <v>1.59</v>
      </c>
      <c r="N36" s="1">
        <v>38.5</v>
      </c>
      <c r="O36" s="1" t="s">
        <v>49</v>
      </c>
      <c r="P36" s="1" t="s">
        <v>50</v>
      </c>
      <c r="Q36" s="1">
        <v>0.58599999999999997</v>
      </c>
      <c r="R36" s="1">
        <v>6.32</v>
      </c>
      <c r="S36" s="1">
        <v>409</v>
      </c>
    </row>
    <row r="37" spans="1:19" ht="15.75" customHeight="1" x14ac:dyDescent="0.2">
      <c r="A37" s="10">
        <v>46085</v>
      </c>
      <c r="B37" s="11">
        <v>0.46246527777777779</v>
      </c>
      <c r="C37" s="1" t="s">
        <v>43</v>
      </c>
      <c r="D37" s="1" t="s">
        <v>70</v>
      </c>
      <c r="E37" s="1"/>
      <c r="F37" s="1">
        <v>26</v>
      </c>
      <c r="G37" s="1" t="s">
        <v>46</v>
      </c>
      <c r="H37" s="1">
        <v>1</v>
      </c>
      <c r="I37" s="1">
        <v>1</v>
      </c>
      <c r="J37" s="1" t="s">
        <v>47</v>
      </c>
      <c r="K37" s="1" t="s">
        <v>48</v>
      </c>
      <c r="L37" s="1">
        <v>8.5400000000000004E-2</v>
      </c>
      <c r="M37" s="1">
        <v>1.62</v>
      </c>
      <c r="N37" s="1">
        <v>39.5</v>
      </c>
      <c r="O37" s="1" t="s">
        <v>49</v>
      </c>
      <c r="P37" s="1" t="s">
        <v>50</v>
      </c>
      <c r="Q37" s="1">
        <v>0.53800000000000003</v>
      </c>
      <c r="R37" s="1">
        <v>5.85</v>
      </c>
      <c r="S37" s="1">
        <v>372</v>
      </c>
    </row>
    <row r="38" spans="1:19" ht="15.75" customHeight="1" x14ac:dyDescent="0.2">
      <c r="A38" s="10">
        <v>46085</v>
      </c>
      <c r="B38" s="11">
        <v>0.46334490740740741</v>
      </c>
      <c r="C38" s="1" t="s">
        <v>43</v>
      </c>
      <c r="D38" s="1" t="s">
        <v>70</v>
      </c>
      <c r="E38" s="1"/>
      <c r="F38" s="1">
        <v>27</v>
      </c>
      <c r="G38" s="1" t="s">
        <v>46</v>
      </c>
      <c r="H38" s="1">
        <v>1</v>
      </c>
      <c r="I38" s="1">
        <v>1</v>
      </c>
      <c r="J38" s="1" t="s">
        <v>47</v>
      </c>
      <c r="K38" s="1" t="s">
        <v>48</v>
      </c>
      <c r="L38" s="1">
        <v>8.2400000000000001E-2</v>
      </c>
      <c r="M38" s="1">
        <v>1.56</v>
      </c>
      <c r="N38" s="1">
        <v>37.5</v>
      </c>
      <c r="O38" s="1" t="s">
        <v>49</v>
      </c>
      <c r="P38" s="1" t="s">
        <v>50</v>
      </c>
      <c r="Q38" s="1">
        <v>0.55700000000000005</v>
      </c>
      <c r="R38" s="1">
        <v>6.13</v>
      </c>
      <c r="S38" s="1">
        <v>394</v>
      </c>
    </row>
    <row r="39" spans="1:19" ht="15.75" customHeight="1" x14ac:dyDescent="0.2">
      <c r="A39" s="10">
        <v>46085</v>
      </c>
      <c r="B39" s="11">
        <v>0.46422453703703703</v>
      </c>
      <c r="C39" s="1" t="s">
        <v>43</v>
      </c>
      <c r="D39" s="1" t="s">
        <v>70</v>
      </c>
      <c r="E39" s="1"/>
      <c r="F39" s="1">
        <v>28</v>
      </c>
      <c r="G39" s="1" t="s">
        <v>46</v>
      </c>
      <c r="H39" s="1">
        <v>1</v>
      </c>
      <c r="I39" s="1">
        <v>1</v>
      </c>
      <c r="J39" s="1" t="s">
        <v>47</v>
      </c>
      <c r="K39" s="1" t="s">
        <v>48</v>
      </c>
      <c r="L39" s="1">
        <v>8.4500000000000006E-2</v>
      </c>
      <c r="M39" s="1">
        <v>1.67</v>
      </c>
      <c r="N39" s="1">
        <v>41.4</v>
      </c>
      <c r="O39" s="1" t="s">
        <v>49</v>
      </c>
      <c r="P39" s="1" t="s">
        <v>50</v>
      </c>
      <c r="Q39" s="1">
        <v>0.59899999999999998</v>
      </c>
      <c r="R39" s="1">
        <v>6.45</v>
      </c>
      <c r="S39" s="1">
        <v>418</v>
      </c>
    </row>
    <row r="40" spans="1:19" ht="15.75" customHeight="1" x14ac:dyDescent="0.2">
      <c r="A40" s="10">
        <v>46085</v>
      </c>
      <c r="B40" s="11">
        <v>0.46510416666666665</v>
      </c>
      <c r="C40" s="1" t="s">
        <v>43</v>
      </c>
      <c r="D40" s="1" t="s">
        <v>71</v>
      </c>
      <c r="E40" s="1"/>
      <c r="F40" s="1">
        <v>29</v>
      </c>
      <c r="G40" s="1" t="s">
        <v>46</v>
      </c>
      <c r="H40" s="1">
        <v>1</v>
      </c>
      <c r="I40" s="1">
        <v>1</v>
      </c>
      <c r="J40" s="1" t="s">
        <v>47</v>
      </c>
      <c r="K40" s="1" t="s">
        <v>48</v>
      </c>
      <c r="L40" s="1">
        <v>7.2099999999999997E-2</v>
      </c>
      <c r="M40" s="1">
        <v>1.05</v>
      </c>
      <c r="N40" s="1">
        <v>20</v>
      </c>
      <c r="O40" s="1" t="s">
        <v>49</v>
      </c>
      <c r="P40" s="1" t="s">
        <v>50</v>
      </c>
      <c r="Q40" s="1">
        <v>0.39200000000000002</v>
      </c>
      <c r="R40" s="1">
        <v>4.3</v>
      </c>
      <c r="S40" s="1">
        <v>251</v>
      </c>
    </row>
    <row r="41" spans="1:19" ht="15.75" customHeight="1" x14ac:dyDescent="0.2">
      <c r="A41" s="10">
        <v>46085</v>
      </c>
      <c r="B41" s="11">
        <v>0.46598379629629627</v>
      </c>
      <c r="C41" s="1" t="s">
        <v>43</v>
      </c>
      <c r="D41" s="1" t="s">
        <v>71</v>
      </c>
      <c r="E41" s="1"/>
      <c r="F41" s="1">
        <v>30</v>
      </c>
      <c r="G41" s="1" t="s">
        <v>46</v>
      </c>
      <c r="H41" s="1">
        <v>1</v>
      </c>
      <c r="I41" s="1">
        <v>1</v>
      </c>
      <c r="J41" s="1" t="s">
        <v>47</v>
      </c>
      <c r="K41" s="1" t="s">
        <v>48</v>
      </c>
      <c r="L41" s="1">
        <v>5.3100000000000001E-2</v>
      </c>
      <c r="M41" s="1">
        <v>0.93</v>
      </c>
      <c r="N41" s="1">
        <v>15.8</v>
      </c>
      <c r="O41" s="1" t="s">
        <v>49</v>
      </c>
      <c r="P41" s="1" t="s">
        <v>50</v>
      </c>
      <c r="Q41" s="1">
        <v>0.42199999999999999</v>
      </c>
      <c r="R41" s="1">
        <v>4.66</v>
      </c>
      <c r="S41" s="1">
        <v>279</v>
      </c>
    </row>
    <row r="42" spans="1:19" ht="15.75" customHeight="1" x14ac:dyDescent="0.2">
      <c r="A42" s="10">
        <v>46085</v>
      </c>
      <c r="B42" s="11">
        <v>0.46687499999999998</v>
      </c>
      <c r="C42" s="1" t="s">
        <v>43</v>
      </c>
      <c r="D42" s="1" t="s">
        <v>71</v>
      </c>
      <c r="E42" s="1"/>
      <c r="F42" s="1">
        <v>31</v>
      </c>
      <c r="G42" s="1" t="s">
        <v>46</v>
      </c>
      <c r="H42" s="1">
        <v>1</v>
      </c>
      <c r="I42" s="1">
        <v>1</v>
      </c>
      <c r="J42" s="1" t="s">
        <v>47</v>
      </c>
      <c r="K42" s="1" t="s">
        <v>48</v>
      </c>
      <c r="L42" s="1">
        <v>5.3999999999999999E-2</v>
      </c>
      <c r="M42" s="1">
        <v>1.05</v>
      </c>
      <c r="N42" s="1">
        <v>20.100000000000001</v>
      </c>
      <c r="O42" s="1" t="s">
        <v>49</v>
      </c>
      <c r="P42" s="1" t="s">
        <v>50</v>
      </c>
      <c r="Q42" s="1">
        <v>0.376</v>
      </c>
      <c r="R42" s="1">
        <v>4.09</v>
      </c>
      <c r="S42" s="1">
        <v>235</v>
      </c>
    </row>
    <row r="43" spans="1:19" ht="15.75" customHeight="1" x14ac:dyDescent="0.2">
      <c r="A43" s="10">
        <v>46085</v>
      </c>
      <c r="B43" s="11">
        <v>0.46777777777777779</v>
      </c>
      <c r="C43" s="1" t="s">
        <v>43</v>
      </c>
      <c r="D43" s="1" t="s">
        <v>71</v>
      </c>
      <c r="E43" s="1"/>
      <c r="F43" s="1">
        <v>32</v>
      </c>
      <c r="G43" s="1" t="s">
        <v>46</v>
      </c>
      <c r="H43" s="1">
        <v>1</v>
      </c>
      <c r="I43" s="1">
        <v>1</v>
      </c>
      <c r="J43" s="1" t="s">
        <v>47</v>
      </c>
      <c r="K43" s="1" t="s">
        <v>48</v>
      </c>
      <c r="L43" s="1">
        <v>6.0299999999999999E-2</v>
      </c>
      <c r="M43" s="1">
        <v>1.06</v>
      </c>
      <c r="N43" s="1">
        <v>20.2</v>
      </c>
      <c r="O43" s="1" t="s">
        <v>49</v>
      </c>
      <c r="P43" s="1" t="s">
        <v>50</v>
      </c>
      <c r="Q43" s="1">
        <v>0.38800000000000001</v>
      </c>
      <c r="R43" s="1">
        <v>4.25</v>
      </c>
      <c r="S43" s="1">
        <v>247</v>
      </c>
    </row>
    <row r="44" spans="1:19" ht="15.75" customHeight="1" x14ac:dyDescent="0.2">
      <c r="A44" s="10">
        <v>46085</v>
      </c>
      <c r="B44" s="11">
        <v>0.46866898148148151</v>
      </c>
      <c r="C44" s="1" t="s">
        <v>43</v>
      </c>
      <c r="D44" s="1" t="s">
        <v>71</v>
      </c>
      <c r="E44" s="1"/>
      <c r="F44" s="1">
        <v>33</v>
      </c>
      <c r="G44" s="1" t="s">
        <v>46</v>
      </c>
      <c r="H44" s="1">
        <v>1</v>
      </c>
      <c r="I44" s="1">
        <v>1</v>
      </c>
      <c r="J44" s="1" t="s">
        <v>47</v>
      </c>
      <c r="K44" s="1" t="s">
        <v>48</v>
      </c>
      <c r="L44" s="1">
        <v>5.7099999999999998E-2</v>
      </c>
      <c r="M44" s="1">
        <v>0.997</v>
      </c>
      <c r="N44" s="1">
        <v>18.100000000000001</v>
      </c>
      <c r="O44" s="1" t="s">
        <v>49</v>
      </c>
      <c r="P44" s="1" t="s">
        <v>50</v>
      </c>
      <c r="Q44" s="1">
        <v>0.38200000000000001</v>
      </c>
      <c r="R44" s="1">
        <v>4.2300000000000004</v>
      </c>
      <c r="S44" s="1">
        <v>246</v>
      </c>
    </row>
    <row r="45" spans="1:19" ht="15.75" customHeight="1" x14ac:dyDescent="0.2">
      <c r="A45" s="10">
        <v>46085</v>
      </c>
      <c r="B45" s="11">
        <v>0.46956018518518516</v>
      </c>
      <c r="C45" s="1" t="s">
        <v>43</v>
      </c>
      <c r="D45" s="1" t="s">
        <v>52</v>
      </c>
      <c r="E45" s="1" t="s">
        <v>352</v>
      </c>
      <c r="F45" s="1">
        <v>34</v>
      </c>
      <c r="G45" s="1" t="s">
        <v>46</v>
      </c>
      <c r="H45" s="1">
        <v>1</v>
      </c>
      <c r="I45" s="1">
        <v>1</v>
      </c>
      <c r="J45" s="1" t="s">
        <v>47</v>
      </c>
      <c r="K45" s="1" t="s">
        <v>48</v>
      </c>
      <c r="L45" s="1">
        <v>0.218</v>
      </c>
      <c r="M45" s="1">
        <v>3.56</v>
      </c>
      <c r="N45" s="1">
        <v>109</v>
      </c>
      <c r="O45" s="1" t="s">
        <v>49</v>
      </c>
      <c r="P45" s="1" t="s">
        <v>50</v>
      </c>
      <c r="Q45" s="1">
        <v>0.84199999999999997</v>
      </c>
      <c r="R45" s="1">
        <v>8.85</v>
      </c>
      <c r="S45" s="1">
        <v>606</v>
      </c>
    </row>
    <row r="46" spans="1:19" ht="15.75" customHeight="1" x14ac:dyDescent="0.2">
      <c r="A46" s="10">
        <v>46085</v>
      </c>
      <c r="B46" s="11">
        <v>0.47045138888888888</v>
      </c>
      <c r="C46" s="1" t="s">
        <v>43</v>
      </c>
      <c r="D46" s="1" t="s">
        <v>54</v>
      </c>
      <c r="E46" s="1" t="s">
        <v>353</v>
      </c>
      <c r="F46" s="1">
        <v>35</v>
      </c>
      <c r="G46" s="1" t="s">
        <v>46</v>
      </c>
      <c r="H46" s="1">
        <v>1</v>
      </c>
      <c r="I46" s="1">
        <v>1</v>
      </c>
      <c r="J46" s="1" t="s">
        <v>47</v>
      </c>
      <c r="K46" s="1" t="s">
        <v>48</v>
      </c>
      <c r="L46" s="1">
        <v>0.28999999999999998</v>
      </c>
      <c r="M46" s="1">
        <v>4.13</v>
      </c>
      <c r="N46" s="1">
        <v>130</v>
      </c>
      <c r="O46" s="1" t="s">
        <v>49</v>
      </c>
      <c r="P46" s="1" t="s">
        <v>50</v>
      </c>
      <c r="Q46" s="1">
        <v>0.72599999999999998</v>
      </c>
      <c r="R46" s="1">
        <v>7.8</v>
      </c>
      <c r="S46" s="1">
        <v>524</v>
      </c>
    </row>
    <row r="47" spans="1:19" ht="15.75" customHeight="1" x14ac:dyDescent="0.2">
      <c r="A47" s="10">
        <v>46085</v>
      </c>
      <c r="B47" s="11">
        <v>0.47134259259259259</v>
      </c>
      <c r="C47" s="1" t="s">
        <v>43</v>
      </c>
      <c r="D47" s="1" t="s">
        <v>56</v>
      </c>
      <c r="E47" s="1" t="s">
        <v>354</v>
      </c>
      <c r="F47" s="1">
        <v>36</v>
      </c>
      <c r="G47" s="1" t="s">
        <v>46</v>
      </c>
      <c r="H47" s="1">
        <v>1</v>
      </c>
      <c r="I47" s="1">
        <v>1</v>
      </c>
      <c r="J47" s="1" t="s">
        <v>47</v>
      </c>
      <c r="K47" s="1" t="s">
        <v>48</v>
      </c>
      <c r="L47" s="1">
        <v>0.23699999999999999</v>
      </c>
      <c r="M47" s="1">
        <v>3.72</v>
      </c>
      <c r="N47" s="1">
        <v>115</v>
      </c>
      <c r="O47" s="1" t="s">
        <v>49</v>
      </c>
      <c r="P47" s="1" t="s">
        <v>50</v>
      </c>
      <c r="Q47" s="1">
        <v>0.99099999999999999</v>
      </c>
      <c r="R47" s="1">
        <v>10.7</v>
      </c>
      <c r="S47" s="1">
        <v>749</v>
      </c>
    </row>
    <row r="48" spans="1:19" ht="15.75" customHeight="1" x14ac:dyDescent="0.2">
      <c r="A48" s="10">
        <v>46085</v>
      </c>
      <c r="B48" s="11">
        <v>0.47222222222222221</v>
      </c>
      <c r="C48" s="1" t="s">
        <v>43</v>
      </c>
      <c r="D48" s="1" t="s">
        <v>58</v>
      </c>
      <c r="E48" s="1" t="s">
        <v>355</v>
      </c>
      <c r="F48" s="1">
        <v>37</v>
      </c>
      <c r="G48" s="1" t="s">
        <v>46</v>
      </c>
      <c r="H48" s="1">
        <v>1</v>
      </c>
      <c r="I48" s="1">
        <v>1</v>
      </c>
      <c r="J48" s="1" t="s">
        <v>47</v>
      </c>
      <c r="K48" s="1" t="s">
        <v>48</v>
      </c>
      <c r="L48" s="1">
        <v>8.8599999999999998E-2</v>
      </c>
      <c r="M48" s="1">
        <v>1.55</v>
      </c>
      <c r="N48" s="1">
        <v>37.299999999999997</v>
      </c>
      <c r="O48" s="1" t="s">
        <v>49</v>
      </c>
      <c r="P48" s="1" t="s">
        <v>50</v>
      </c>
      <c r="Q48" s="1">
        <v>0.98</v>
      </c>
      <c r="R48" s="1">
        <v>10.4</v>
      </c>
      <c r="S48" s="1">
        <v>726</v>
      </c>
    </row>
    <row r="49" spans="1:19" ht="15.75" customHeight="1" x14ac:dyDescent="0.2">
      <c r="A49" s="10">
        <v>46085</v>
      </c>
      <c r="B49" s="11">
        <v>0.47311342592592592</v>
      </c>
      <c r="C49" s="1" t="s">
        <v>43</v>
      </c>
      <c r="D49" s="1" t="s">
        <v>74</v>
      </c>
      <c r="E49" s="1" t="s">
        <v>356</v>
      </c>
      <c r="F49" s="1">
        <v>38</v>
      </c>
      <c r="G49" s="1" t="s">
        <v>75</v>
      </c>
      <c r="H49" s="1">
        <v>1</v>
      </c>
      <c r="I49" s="1">
        <v>1</v>
      </c>
      <c r="J49" s="1" t="s">
        <v>47</v>
      </c>
      <c r="K49" s="1" t="s">
        <v>48</v>
      </c>
      <c r="L49" s="1">
        <v>0.18</v>
      </c>
      <c r="M49" s="1">
        <v>2.96</v>
      </c>
      <c r="N49" s="1">
        <v>87</v>
      </c>
      <c r="O49" s="1" t="s">
        <v>49</v>
      </c>
      <c r="P49" s="1" t="s">
        <v>50</v>
      </c>
      <c r="Q49" s="1">
        <v>1.01</v>
      </c>
      <c r="R49" s="1">
        <v>10.7</v>
      </c>
      <c r="S49" s="1">
        <v>751</v>
      </c>
    </row>
    <row r="50" spans="1:19" ht="15.75" customHeight="1" x14ac:dyDescent="0.2">
      <c r="A50" s="10">
        <v>46085</v>
      </c>
      <c r="B50" s="11">
        <v>0.47399305555555554</v>
      </c>
      <c r="C50" s="1" t="s">
        <v>43</v>
      </c>
      <c r="D50" s="1" t="s">
        <v>76</v>
      </c>
      <c r="F50" s="1">
        <v>44</v>
      </c>
      <c r="G50" s="1" t="s">
        <v>75</v>
      </c>
      <c r="H50" s="1">
        <v>1</v>
      </c>
      <c r="I50" s="1">
        <v>1</v>
      </c>
      <c r="J50" s="1" t="s">
        <v>47</v>
      </c>
      <c r="K50" s="1" t="s">
        <v>48</v>
      </c>
      <c r="L50" s="1">
        <v>0.187</v>
      </c>
      <c r="M50" s="1">
        <v>2.78</v>
      </c>
      <c r="N50" s="1">
        <v>80.5</v>
      </c>
      <c r="O50" s="1" t="s">
        <v>49</v>
      </c>
      <c r="P50" s="1" t="s">
        <v>50</v>
      </c>
      <c r="Q50" s="1">
        <v>0.98599999999999999</v>
      </c>
      <c r="R50" s="1">
        <v>10.4</v>
      </c>
      <c r="S50" s="1">
        <v>727</v>
      </c>
    </row>
    <row r="51" spans="1:19" ht="15.75" customHeight="1" x14ac:dyDescent="0.2">
      <c r="A51" s="10">
        <v>46085</v>
      </c>
      <c r="B51" s="11">
        <v>0.47487268518518516</v>
      </c>
      <c r="C51" s="1" t="s">
        <v>43</v>
      </c>
      <c r="D51" s="1" t="s">
        <v>78</v>
      </c>
      <c r="E51" s="1" t="s">
        <v>357</v>
      </c>
      <c r="F51" s="1">
        <v>39</v>
      </c>
      <c r="G51" s="1" t="s">
        <v>46</v>
      </c>
      <c r="H51" s="1">
        <v>1</v>
      </c>
      <c r="I51" s="1">
        <v>1</v>
      </c>
      <c r="J51" s="1" t="s">
        <v>47</v>
      </c>
      <c r="K51" s="1" t="s">
        <v>48</v>
      </c>
      <c r="L51" s="1">
        <v>0.28499999999999998</v>
      </c>
      <c r="M51" s="1">
        <v>4.41</v>
      </c>
      <c r="N51" s="1">
        <v>140</v>
      </c>
      <c r="O51" s="1" t="s">
        <v>49</v>
      </c>
      <c r="P51" s="1" t="s">
        <v>50</v>
      </c>
      <c r="Q51" s="1">
        <v>0.39600000000000002</v>
      </c>
      <c r="R51" s="1">
        <v>4.2699999999999996</v>
      </c>
      <c r="S51" s="1">
        <v>249</v>
      </c>
    </row>
    <row r="52" spans="1:19" ht="15.75" customHeight="1" x14ac:dyDescent="0.2">
      <c r="A52" s="10">
        <v>46085</v>
      </c>
      <c r="B52" s="11">
        <v>0.47575231481481484</v>
      </c>
      <c r="C52" s="1" t="s">
        <v>43</v>
      </c>
      <c r="D52" s="1" t="s">
        <v>79</v>
      </c>
      <c r="E52" s="1" t="s">
        <v>358</v>
      </c>
      <c r="F52" s="1">
        <v>40</v>
      </c>
      <c r="G52" s="1" t="s">
        <v>46</v>
      </c>
      <c r="H52" s="1">
        <v>1</v>
      </c>
      <c r="I52" s="1">
        <v>1</v>
      </c>
      <c r="J52" s="1" t="s">
        <v>47</v>
      </c>
      <c r="K52" s="1" t="s">
        <v>48</v>
      </c>
      <c r="L52" s="1">
        <v>0.16900000000000001</v>
      </c>
      <c r="M52" s="1">
        <v>2.83</v>
      </c>
      <c r="N52" s="1">
        <v>82.4</v>
      </c>
      <c r="O52" s="1" t="s">
        <v>49</v>
      </c>
      <c r="P52" s="1" t="s">
        <v>50</v>
      </c>
      <c r="Q52" s="1">
        <v>1.06</v>
      </c>
      <c r="R52" s="1">
        <v>11.2</v>
      </c>
      <c r="S52" s="1">
        <v>789</v>
      </c>
    </row>
    <row r="53" spans="1:19" ht="15.75" customHeight="1" x14ac:dyDescent="0.2">
      <c r="A53" s="10">
        <v>46085</v>
      </c>
      <c r="B53" s="11">
        <v>0.47664351851851849</v>
      </c>
      <c r="C53" s="1" t="s">
        <v>43</v>
      </c>
      <c r="D53" s="1" t="s">
        <v>80</v>
      </c>
      <c r="E53" s="1" t="s">
        <v>359</v>
      </c>
      <c r="F53" s="1">
        <v>41</v>
      </c>
      <c r="G53" s="1" t="s">
        <v>46</v>
      </c>
      <c r="H53" s="1">
        <v>1</v>
      </c>
      <c r="I53" s="1">
        <v>1</v>
      </c>
      <c r="J53" s="1" t="s">
        <v>47</v>
      </c>
      <c r="K53" s="1" t="s">
        <v>48</v>
      </c>
      <c r="L53" s="1">
        <v>5.7599999999999998E-2</v>
      </c>
      <c r="M53" s="1">
        <v>1.1599999999999999</v>
      </c>
      <c r="N53" s="1">
        <v>23.7</v>
      </c>
      <c r="O53" s="1" t="s">
        <v>49</v>
      </c>
      <c r="P53" s="1" t="s">
        <v>50</v>
      </c>
      <c r="Q53" s="1">
        <v>0.67600000000000005</v>
      </c>
      <c r="R53" s="1">
        <v>7.26</v>
      </c>
      <c r="S53" s="1">
        <v>482</v>
      </c>
    </row>
    <row r="54" spans="1:19" ht="15.75" customHeight="1" x14ac:dyDescent="0.2">
      <c r="A54" s="10">
        <v>46085</v>
      </c>
      <c r="B54" s="11">
        <v>0.47752314814814817</v>
      </c>
      <c r="C54" s="1" t="s">
        <v>43</v>
      </c>
      <c r="D54" s="1" t="s">
        <v>81</v>
      </c>
      <c r="E54" s="1" t="s">
        <v>360</v>
      </c>
      <c r="F54" s="1">
        <v>42</v>
      </c>
      <c r="G54" s="1" t="s">
        <v>46</v>
      </c>
      <c r="H54" s="1">
        <v>1</v>
      </c>
      <c r="I54" s="1">
        <v>1</v>
      </c>
      <c r="J54" s="1" t="s">
        <v>47</v>
      </c>
      <c r="K54" s="1" t="s">
        <v>48</v>
      </c>
      <c r="L54" s="1">
        <v>0.214</v>
      </c>
      <c r="M54" s="1">
        <v>3.53</v>
      </c>
      <c r="N54" s="1">
        <v>108</v>
      </c>
      <c r="O54" s="1" t="s">
        <v>49</v>
      </c>
      <c r="P54" s="1" t="s">
        <v>50</v>
      </c>
      <c r="Q54" s="1">
        <v>0.65900000000000003</v>
      </c>
      <c r="R54" s="1">
        <v>7.52</v>
      </c>
      <c r="S54" s="1">
        <v>502</v>
      </c>
    </row>
    <row r="55" spans="1:19" ht="15.75" customHeight="1" x14ac:dyDescent="0.2">
      <c r="A55" s="10">
        <v>46085</v>
      </c>
      <c r="B55" s="11">
        <v>0.47840277777777779</v>
      </c>
      <c r="C55" s="1" t="s">
        <v>43</v>
      </c>
      <c r="D55" s="1" t="s">
        <v>83</v>
      </c>
      <c r="E55" s="1" t="s">
        <v>361</v>
      </c>
      <c r="F55" s="1">
        <v>43</v>
      </c>
      <c r="G55" s="1" t="s">
        <v>84</v>
      </c>
      <c r="H55" s="1">
        <v>1</v>
      </c>
      <c r="I55" s="1">
        <v>1</v>
      </c>
      <c r="J55" s="1" t="s">
        <v>47</v>
      </c>
      <c r="K55" s="1" t="s">
        <v>48</v>
      </c>
      <c r="L55" s="1">
        <v>0.105</v>
      </c>
      <c r="M55" s="1">
        <v>1.94</v>
      </c>
      <c r="N55" s="1">
        <v>50.8</v>
      </c>
      <c r="O55" s="1" t="s">
        <v>49</v>
      </c>
      <c r="P55" s="1" t="s">
        <v>50</v>
      </c>
      <c r="Q55" s="1">
        <v>1.07</v>
      </c>
      <c r="R55" s="1">
        <v>11.3</v>
      </c>
      <c r="S55" s="1">
        <v>795</v>
      </c>
    </row>
    <row r="56" spans="1:19" ht="15.75" customHeight="1" x14ac:dyDescent="0.2">
      <c r="A56" s="10">
        <v>46085</v>
      </c>
      <c r="B56" s="11">
        <v>0.47928240740740741</v>
      </c>
      <c r="C56" s="1" t="s">
        <v>43</v>
      </c>
      <c r="D56" s="1" t="s">
        <v>85</v>
      </c>
      <c r="E56" s="1"/>
      <c r="F56" s="1">
        <v>45</v>
      </c>
      <c r="G56" s="1" t="s">
        <v>84</v>
      </c>
      <c r="H56" s="1">
        <v>1</v>
      </c>
      <c r="I56" s="1">
        <v>1</v>
      </c>
      <c r="J56" s="1" t="s">
        <v>47</v>
      </c>
      <c r="K56" s="1" t="s">
        <v>48</v>
      </c>
      <c r="L56" s="1">
        <v>3.09</v>
      </c>
      <c r="M56" s="1">
        <v>15.6</v>
      </c>
      <c r="N56" s="1">
        <v>621</v>
      </c>
      <c r="O56" s="1" t="s">
        <v>49</v>
      </c>
      <c r="P56" s="1" t="s">
        <v>50</v>
      </c>
      <c r="Q56" s="1">
        <v>9.1000000000000004E-3</v>
      </c>
      <c r="R56" s="1">
        <v>-9.7299999999999998E-2</v>
      </c>
      <c r="S56" s="1">
        <v>-91</v>
      </c>
    </row>
    <row r="57" spans="1:19" ht="15.75" customHeight="1" x14ac:dyDescent="0.2">
      <c r="A57" s="10">
        <v>46085</v>
      </c>
      <c r="B57" s="11">
        <v>0.48017361111111112</v>
      </c>
      <c r="C57" s="1" t="s">
        <v>43</v>
      </c>
      <c r="D57" s="1" t="s">
        <v>55</v>
      </c>
      <c r="E57" s="1"/>
      <c r="F57" s="1" t="s">
        <v>56</v>
      </c>
      <c r="G57" s="1" t="s">
        <v>46</v>
      </c>
      <c r="H57" s="1">
        <v>1</v>
      </c>
      <c r="I57" s="1">
        <v>1</v>
      </c>
      <c r="J57" s="1" t="s">
        <v>47</v>
      </c>
      <c r="K57" s="1" t="s">
        <v>48</v>
      </c>
      <c r="L57" s="1">
        <v>0.13900000000000001</v>
      </c>
      <c r="M57" s="1">
        <v>1.32</v>
      </c>
      <c r="N57" s="1">
        <v>29.3</v>
      </c>
      <c r="O57" s="1" t="s">
        <v>49</v>
      </c>
      <c r="P57" s="1" t="s">
        <v>50</v>
      </c>
      <c r="Q57" s="1">
        <v>-7.1399999999999996E-3</v>
      </c>
      <c r="R57" s="1">
        <v>-6.4799999999999996E-2</v>
      </c>
      <c r="S57" s="1">
        <v>-88.5</v>
      </c>
    </row>
    <row r="58" spans="1:19" ht="15.75" customHeight="1" x14ac:dyDescent="0.2">
      <c r="A58" s="10">
        <v>46085</v>
      </c>
      <c r="B58" s="11">
        <v>0.48104166666666665</v>
      </c>
      <c r="C58" s="1" t="s">
        <v>43</v>
      </c>
      <c r="D58" s="1" t="s">
        <v>87</v>
      </c>
      <c r="E58" s="1"/>
      <c r="F58" s="1">
        <v>15</v>
      </c>
      <c r="G58" s="1" t="s">
        <v>88</v>
      </c>
      <c r="H58" s="1">
        <v>1</v>
      </c>
      <c r="I58" s="1">
        <v>1</v>
      </c>
      <c r="J58" s="1" t="s">
        <v>47</v>
      </c>
      <c r="K58" s="1" t="s">
        <v>48</v>
      </c>
      <c r="L58" s="1">
        <v>5.57E-2</v>
      </c>
      <c r="M58" s="1">
        <v>1.1200000000000001</v>
      </c>
      <c r="N58" s="1">
        <v>22.2</v>
      </c>
      <c r="O58" s="1" t="s">
        <v>49</v>
      </c>
      <c r="P58" s="1" t="s">
        <v>50</v>
      </c>
      <c r="Q58" s="1">
        <v>0.33300000000000002</v>
      </c>
      <c r="R58" s="1">
        <v>3.79</v>
      </c>
      <c r="S58" s="1">
        <v>211</v>
      </c>
    </row>
    <row r="59" spans="1:19" ht="15.75" customHeight="1" x14ac:dyDescent="0.2">
      <c r="A59" s="10">
        <v>46085</v>
      </c>
      <c r="B59" s="11">
        <v>0.48193287037037036</v>
      </c>
      <c r="C59" s="1" t="s">
        <v>43</v>
      </c>
      <c r="D59" s="1" t="s">
        <v>89</v>
      </c>
      <c r="E59" s="1" t="s">
        <v>362</v>
      </c>
      <c r="F59" s="1">
        <v>46</v>
      </c>
      <c r="G59" s="1" t="s">
        <v>46</v>
      </c>
      <c r="H59" s="1">
        <v>1</v>
      </c>
      <c r="I59" s="1">
        <v>1</v>
      </c>
      <c r="J59" s="1" t="s">
        <v>47</v>
      </c>
      <c r="K59" s="1" t="s">
        <v>48</v>
      </c>
      <c r="L59" s="1">
        <v>0.29099999999999998</v>
      </c>
      <c r="M59" s="1">
        <v>4.51</v>
      </c>
      <c r="N59" s="1">
        <v>144</v>
      </c>
      <c r="O59" s="1" t="s">
        <v>49</v>
      </c>
      <c r="P59" s="1" t="s">
        <v>50</v>
      </c>
      <c r="Q59" s="1">
        <v>0.68700000000000006</v>
      </c>
      <c r="R59" s="1">
        <v>7.43</v>
      </c>
      <c r="S59" s="1">
        <v>495</v>
      </c>
    </row>
    <row r="60" spans="1:19" ht="15.75" customHeight="1" x14ac:dyDescent="0.2">
      <c r="A60" s="10">
        <v>46085</v>
      </c>
      <c r="B60" s="11">
        <v>0.48284722222222221</v>
      </c>
      <c r="C60" s="1" t="s">
        <v>43</v>
      </c>
      <c r="D60" s="1" t="s">
        <v>90</v>
      </c>
      <c r="E60" s="1" t="s">
        <v>363</v>
      </c>
      <c r="F60" s="1">
        <v>47</v>
      </c>
      <c r="G60" s="1" t="s">
        <v>46</v>
      </c>
      <c r="H60" s="1">
        <v>1</v>
      </c>
      <c r="I60" s="1">
        <v>1</v>
      </c>
      <c r="J60" s="1" t="s">
        <v>47</v>
      </c>
      <c r="K60" s="1" t="s">
        <v>48</v>
      </c>
      <c r="L60" s="1">
        <v>6.5000000000000002E-2</v>
      </c>
      <c r="M60" s="1">
        <v>1.18</v>
      </c>
      <c r="N60" s="1">
        <v>24.3</v>
      </c>
      <c r="O60" s="1" t="s">
        <v>49</v>
      </c>
      <c r="P60" s="1" t="s">
        <v>50</v>
      </c>
      <c r="Q60" s="1">
        <v>0.48199999999999998</v>
      </c>
      <c r="R60" s="1">
        <v>5.25</v>
      </c>
      <c r="S60" s="1">
        <v>325</v>
      </c>
    </row>
    <row r="61" spans="1:19" ht="15.75" customHeight="1" x14ac:dyDescent="0.2">
      <c r="A61" s="10">
        <v>46085</v>
      </c>
      <c r="B61" s="11">
        <v>0.48373842592592592</v>
      </c>
      <c r="C61" s="1" t="s">
        <v>43</v>
      </c>
      <c r="D61" s="1" t="s">
        <v>91</v>
      </c>
      <c r="E61" s="1" t="s">
        <v>364</v>
      </c>
      <c r="F61" s="1">
        <v>48</v>
      </c>
      <c r="G61" s="1" t="s">
        <v>46</v>
      </c>
      <c r="H61" s="1">
        <v>1</v>
      </c>
      <c r="I61" s="1">
        <v>1</v>
      </c>
      <c r="J61" s="1" t="s">
        <v>47</v>
      </c>
      <c r="K61" s="1" t="s">
        <v>48</v>
      </c>
      <c r="L61" s="1">
        <v>0.214</v>
      </c>
      <c r="M61" s="1">
        <v>3.55</v>
      </c>
      <c r="N61" s="1">
        <v>109</v>
      </c>
      <c r="O61" s="1" t="s">
        <v>49</v>
      </c>
      <c r="P61" s="1" t="s">
        <v>50</v>
      </c>
      <c r="Q61" s="1">
        <v>0.34100000000000003</v>
      </c>
      <c r="R61" s="1">
        <v>3.95</v>
      </c>
      <c r="S61" s="1">
        <v>224</v>
      </c>
    </row>
    <row r="62" spans="1:19" ht="15.75" customHeight="1" x14ac:dyDescent="0.2">
      <c r="A62" s="10">
        <v>46085</v>
      </c>
      <c r="B62" s="11">
        <v>0.48462962962962963</v>
      </c>
      <c r="C62" s="1" t="s">
        <v>43</v>
      </c>
      <c r="D62" s="1" t="s">
        <v>92</v>
      </c>
      <c r="E62" s="1" t="s">
        <v>365</v>
      </c>
      <c r="F62" s="1">
        <v>49</v>
      </c>
      <c r="G62" s="1" t="s">
        <v>46</v>
      </c>
      <c r="H62" s="1">
        <v>1</v>
      </c>
      <c r="I62" s="1">
        <v>1</v>
      </c>
      <c r="J62" s="1" t="s">
        <v>47</v>
      </c>
      <c r="K62" s="1" t="s">
        <v>48</v>
      </c>
      <c r="L62" s="1">
        <v>0.11600000000000001</v>
      </c>
      <c r="M62" s="1">
        <v>2.0699999999999998</v>
      </c>
      <c r="N62" s="1">
        <v>55.2</v>
      </c>
      <c r="O62" s="1" t="s">
        <v>49</v>
      </c>
      <c r="P62" s="1" t="s">
        <v>50</v>
      </c>
      <c r="Q62" s="1">
        <v>0.75800000000000001</v>
      </c>
      <c r="R62" s="1">
        <v>7.9</v>
      </c>
      <c r="S62" s="1">
        <v>531</v>
      </c>
    </row>
    <row r="63" spans="1:19" ht="15.75" customHeight="1" x14ac:dyDescent="0.2">
      <c r="A63" s="10">
        <v>46085</v>
      </c>
      <c r="B63" s="11">
        <v>0.48552083333333335</v>
      </c>
      <c r="C63" s="1" t="s">
        <v>43</v>
      </c>
      <c r="D63" s="1" t="s">
        <v>93</v>
      </c>
      <c r="E63" s="1" t="s">
        <v>366</v>
      </c>
      <c r="F63" s="1">
        <v>50</v>
      </c>
      <c r="G63" s="1" t="s">
        <v>75</v>
      </c>
      <c r="H63" s="1">
        <v>1</v>
      </c>
      <c r="I63" s="1">
        <v>1</v>
      </c>
      <c r="J63" s="1" t="s">
        <v>47</v>
      </c>
      <c r="K63" s="1" t="s">
        <v>48</v>
      </c>
      <c r="L63" s="1">
        <v>0.21</v>
      </c>
      <c r="M63" s="1">
        <v>3.42</v>
      </c>
      <c r="N63" s="1">
        <v>104</v>
      </c>
      <c r="O63" s="1" t="s">
        <v>49</v>
      </c>
      <c r="P63" s="1" t="s">
        <v>50</v>
      </c>
      <c r="Q63" s="1">
        <v>0.74399999999999999</v>
      </c>
      <c r="R63" s="1">
        <v>7.93</v>
      </c>
      <c r="S63" s="1">
        <v>534</v>
      </c>
    </row>
    <row r="64" spans="1:19" ht="15.75" customHeight="1" x14ac:dyDescent="0.2">
      <c r="A64" s="10">
        <v>46085</v>
      </c>
      <c r="B64" s="11">
        <v>0.48640046296296297</v>
      </c>
      <c r="C64" s="1" t="s">
        <v>43</v>
      </c>
      <c r="D64" s="1" t="s">
        <v>94</v>
      </c>
      <c r="E64" s="1"/>
      <c r="F64" s="1">
        <v>56</v>
      </c>
      <c r="G64" s="1" t="s">
        <v>75</v>
      </c>
      <c r="H64" s="1">
        <v>1</v>
      </c>
      <c r="I64" s="1">
        <v>1</v>
      </c>
      <c r="J64" s="1" t="s">
        <v>47</v>
      </c>
      <c r="K64" s="1" t="s">
        <v>48</v>
      </c>
      <c r="L64" s="1">
        <v>0.23599999999999999</v>
      </c>
      <c r="M64" s="1">
        <v>3.73</v>
      </c>
      <c r="N64" s="1">
        <v>115</v>
      </c>
      <c r="O64" s="1" t="s">
        <v>49</v>
      </c>
      <c r="P64" s="1" t="s">
        <v>50</v>
      </c>
      <c r="Q64" s="1">
        <v>0.80100000000000005</v>
      </c>
      <c r="R64" s="1">
        <v>8.5</v>
      </c>
      <c r="S64" s="1">
        <v>578</v>
      </c>
    </row>
    <row r="65" spans="1:19" ht="15.75" customHeight="1" x14ac:dyDescent="0.2">
      <c r="A65" s="10">
        <v>46085</v>
      </c>
      <c r="B65" s="11">
        <v>0.48729166666666668</v>
      </c>
      <c r="C65" s="1" t="s">
        <v>43</v>
      </c>
      <c r="D65" s="1" t="s">
        <v>45</v>
      </c>
      <c r="E65" s="1" t="s">
        <v>367</v>
      </c>
      <c r="F65" s="1">
        <v>51</v>
      </c>
      <c r="G65" s="1" t="s">
        <v>46</v>
      </c>
      <c r="H65" s="1">
        <v>1</v>
      </c>
      <c r="I65" s="1">
        <v>1</v>
      </c>
      <c r="J65" s="1" t="s">
        <v>47</v>
      </c>
      <c r="K65" s="1" t="s">
        <v>48</v>
      </c>
      <c r="L65" s="1">
        <v>0.25900000000000001</v>
      </c>
      <c r="M65" s="1">
        <v>4.09</v>
      </c>
      <c r="N65" s="1">
        <v>128</v>
      </c>
      <c r="O65" s="1" t="s">
        <v>49</v>
      </c>
      <c r="P65" s="1" t="s">
        <v>50</v>
      </c>
      <c r="Q65" s="1">
        <v>0.83099999999999996</v>
      </c>
      <c r="R65" s="1">
        <v>8.6300000000000008</v>
      </c>
      <c r="S65" s="1">
        <v>588</v>
      </c>
    </row>
    <row r="66" spans="1:19" ht="15.75" customHeight="1" x14ac:dyDescent="0.2">
      <c r="A66" s="10">
        <v>46085</v>
      </c>
      <c r="B66" s="11">
        <v>0.48818287037037039</v>
      </c>
      <c r="C66" s="1" t="s">
        <v>43</v>
      </c>
      <c r="D66" s="1" t="s">
        <v>95</v>
      </c>
      <c r="E66" s="1" t="s">
        <v>368</v>
      </c>
      <c r="F66" s="1">
        <v>52</v>
      </c>
      <c r="G66" s="1" t="s">
        <v>46</v>
      </c>
      <c r="H66" s="1">
        <v>1</v>
      </c>
      <c r="I66" s="1">
        <v>1</v>
      </c>
      <c r="J66" s="1" t="s">
        <v>47</v>
      </c>
      <c r="K66" s="1" t="s">
        <v>48</v>
      </c>
      <c r="L66" s="1">
        <v>0.123</v>
      </c>
      <c r="M66" s="1">
        <v>1.93</v>
      </c>
      <c r="N66" s="1">
        <v>50.3</v>
      </c>
      <c r="O66" s="1" t="s">
        <v>49</v>
      </c>
      <c r="P66" s="1" t="s">
        <v>50</v>
      </c>
      <c r="Q66" s="1">
        <v>0.98099999999999998</v>
      </c>
      <c r="R66" s="1">
        <v>10.3</v>
      </c>
      <c r="S66" s="1">
        <v>721</v>
      </c>
    </row>
    <row r="67" spans="1:19" ht="15.75" customHeight="1" x14ac:dyDescent="0.2">
      <c r="A67" s="10">
        <v>46085</v>
      </c>
      <c r="B67" s="11">
        <v>0.48907407407407405</v>
      </c>
      <c r="C67" s="1" t="s">
        <v>43</v>
      </c>
      <c r="D67" s="1" t="s">
        <v>96</v>
      </c>
      <c r="E67" s="1" t="s">
        <v>369</v>
      </c>
      <c r="F67" s="1">
        <v>53</v>
      </c>
      <c r="G67" s="1" t="s">
        <v>46</v>
      </c>
      <c r="H67" s="1">
        <v>1</v>
      </c>
      <c r="I67" s="1">
        <v>1</v>
      </c>
      <c r="J67" s="1" t="s">
        <v>47</v>
      </c>
      <c r="K67" s="1" t="s">
        <v>48</v>
      </c>
      <c r="L67" s="1">
        <v>0.193</v>
      </c>
      <c r="M67" s="1">
        <v>3.16</v>
      </c>
      <c r="N67" s="1">
        <v>94.4</v>
      </c>
      <c r="O67" s="1" t="s">
        <v>49</v>
      </c>
      <c r="P67" s="1" t="s">
        <v>50</v>
      </c>
      <c r="Q67" s="1">
        <v>0.65</v>
      </c>
      <c r="R67" s="1">
        <v>7.02</v>
      </c>
      <c r="S67" s="1">
        <v>463</v>
      </c>
    </row>
    <row r="68" spans="1:19" ht="15.75" customHeight="1" x14ac:dyDescent="0.2">
      <c r="A68" s="10">
        <v>46085</v>
      </c>
      <c r="B68" s="11">
        <v>0.48995370370370372</v>
      </c>
      <c r="C68" s="1" t="s">
        <v>43</v>
      </c>
      <c r="D68" s="1" t="s">
        <v>97</v>
      </c>
      <c r="E68" s="1" t="s">
        <v>370</v>
      </c>
      <c r="F68" s="1">
        <v>54</v>
      </c>
      <c r="G68" s="1" t="s">
        <v>46</v>
      </c>
      <c r="H68" s="1">
        <v>1</v>
      </c>
      <c r="I68" s="1">
        <v>1</v>
      </c>
      <c r="J68" s="1" t="s">
        <v>47</v>
      </c>
      <c r="K68" s="1" t="s">
        <v>48</v>
      </c>
      <c r="L68" s="1">
        <v>0.23100000000000001</v>
      </c>
      <c r="M68" s="1">
        <v>3.74</v>
      </c>
      <c r="N68" s="1">
        <v>116</v>
      </c>
      <c r="O68" s="1" t="s">
        <v>49</v>
      </c>
      <c r="P68" s="1" t="s">
        <v>50</v>
      </c>
      <c r="Q68" s="1">
        <v>0.72199999999999998</v>
      </c>
      <c r="R68" s="1">
        <v>7.94</v>
      </c>
      <c r="S68" s="1">
        <v>535</v>
      </c>
    </row>
    <row r="69" spans="1:19" ht="15.75" customHeight="1" x14ac:dyDescent="0.2">
      <c r="A69" s="10">
        <v>46085</v>
      </c>
      <c r="B69" s="11">
        <v>0.49084490740740738</v>
      </c>
      <c r="C69" s="1" t="s">
        <v>43</v>
      </c>
      <c r="D69" s="1" t="s">
        <v>98</v>
      </c>
      <c r="E69" s="1" t="s">
        <v>371</v>
      </c>
      <c r="F69" s="1">
        <v>55</v>
      </c>
      <c r="G69" s="1" t="s">
        <v>46</v>
      </c>
      <c r="H69" s="1">
        <v>1</v>
      </c>
      <c r="I69" s="1">
        <v>1</v>
      </c>
      <c r="J69" s="1" t="s">
        <v>47</v>
      </c>
      <c r="K69" s="1" t="s">
        <v>48</v>
      </c>
      <c r="L69" s="1">
        <v>0.14299999999999999</v>
      </c>
      <c r="M69" s="1">
        <v>2.4500000000000002</v>
      </c>
      <c r="N69" s="1">
        <v>68.900000000000006</v>
      </c>
      <c r="O69" s="1" t="s">
        <v>49</v>
      </c>
      <c r="P69" s="1" t="s">
        <v>50</v>
      </c>
      <c r="Q69" s="1">
        <v>0.77900000000000003</v>
      </c>
      <c r="R69" s="1">
        <v>8.42</v>
      </c>
      <c r="S69" s="1">
        <v>572</v>
      </c>
    </row>
    <row r="70" spans="1:19" ht="15.75" customHeight="1" x14ac:dyDescent="0.2">
      <c r="A70" s="10">
        <v>46085</v>
      </c>
      <c r="B70" s="11">
        <v>0.4917361111111111</v>
      </c>
      <c r="C70" s="1" t="s">
        <v>43</v>
      </c>
      <c r="D70" s="1" t="s">
        <v>99</v>
      </c>
      <c r="E70" s="1"/>
      <c r="F70" s="1" t="s">
        <v>58</v>
      </c>
      <c r="G70" s="1" t="s">
        <v>46</v>
      </c>
      <c r="H70" s="1">
        <v>1</v>
      </c>
      <c r="I70" s="1">
        <v>1</v>
      </c>
      <c r="J70" s="1" t="s">
        <v>47</v>
      </c>
      <c r="K70" s="1" t="s">
        <v>48</v>
      </c>
      <c r="L70" s="1">
        <v>1.12E-2</v>
      </c>
      <c r="M70" s="1">
        <v>0.10299999999999999</v>
      </c>
      <c r="N70" s="1">
        <v>-12</v>
      </c>
      <c r="O70" s="1" t="s">
        <v>49</v>
      </c>
      <c r="P70" s="1" t="s">
        <v>50</v>
      </c>
      <c r="Q70" s="1">
        <v>-4.1200000000000001E-2</v>
      </c>
      <c r="R70" s="1">
        <v>-0.58599999999999997</v>
      </c>
      <c r="S70" s="1">
        <v>-129</v>
      </c>
    </row>
    <row r="71" spans="1:19" ht="15.75" customHeight="1" x14ac:dyDescent="0.2">
      <c r="A71" s="10">
        <v>46085</v>
      </c>
      <c r="B71" s="11">
        <v>0.49262731481481481</v>
      </c>
      <c r="C71" s="1" t="s">
        <v>43</v>
      </c>
      <c r="D71" s="1" t="s">
        <v>87</v>
      </c>
      <c r="E71" s="1"/>
      <c r="F71" s="1">
        <v>16</v>
      </c>
      <c r="G71" s="1" t="s">
        <v>88</v>
      </c>
      <c r="H71" s="1">
        <v>1</v>
      </c>
      <c r="I71" s="1">
        <v>1</v>
      </c>
      <c r="J71" s="1" t="s">
        <v>47</v>
      </c>
      <c r="K71" s="1" t="s">
        <v>48</v>
      </c>
      <c r="L71" s="1">
        <v>5.6599999999999998E-2</v>
      </c>
      <c r="M71" s="1">
        <v>1.1499999999999999</v>
      </c>
      <c r="N71" s="1">
        <v>23.5</v>
      </c>
      <c r="O71" s="1" t="s">
        <v>49</v>
      </c>
      <c r="P71" s="1" t="s">
        <v>50</v>
      </c>
      <c r="Q71" s="1">
        <v>0.371</v>
      </c>
      <c r="R71" s="1">
        <v>4.0199999999999996</v>
      </c>
      <c r="S71" s="1">
        <v>230</v>
      </c>
    </row>
    <row r="72" spans="1:19" ht="15.75" customHeight="1" x14ac:dyDescent="0.2">
      <c r="A72" s="10">
        <v>46085</v>
      </c>
      <c r="B72" s="11">
        <v>0.49350694444444443</v>
      </c>
      <c r="C72" s="1" t="s">
        <v>43</v>
      </c>
      <c r="D72" s="1" t="s">
        <v>51</v>
      </c>
      <c r="E72" s="1"/>
      <c r="F72" s="1" t="s">
        <v>52</v>
      </c>
      <c r="G72" s="1" t="s">
        <v>46</v>
      </c>
      <c r="H72" s="1">
        <v>1</v>
      </c>
      <c r="I72" s="1">
        <v>1</v>
      </c>
      <c r="J72" s="1" t="s">
        <v>47</v>
      </c>
      <c r="K72" s="1" t="s">
        <v>48</v>
      </c>
      <c r="L72" s="1">
        <v>0.13500000000000001</v>
      </c>
      <c r="M72" s="1">
        <v>1.37</v>
      </c>
      <c r="N72" s="1">
        <v>30.8</v>
      </c>
      <c r="O72" s="1" t="s">
        <v>49</v>
      </c>
      <c r="P72" s="1" t="s">
        <v>50</v>
      </c>
      <c r="Q72" s="1">
        <v>1.82</v>
      </c>
      <c r="R72" s="1">
        <v>19.7</v>
      </c>
      <c r="S72" s="1">
        <v>1450</v>
      </c>
    </row>
    <row r="73" spans="1:19" ht="15.75" customHeight="1" x14ac:dyDescent="0.2">
      <c r="A73" s="10">
        <v>46085</v>
      </c>
      <c r="B73" s="11">
        <v>0.49438657407407405</v>
      </c>
      <c r="C73" s="1" t="s">
        <v>43</v>
      </c>
      <c r="D73" s="1" t="s">
        <v>53</v>
      </c>
      <c r="E73" s="1"/>
      <c r="F73" s="1" t="s">
        <v>54</v>
      </c>
      <c r="G73" s="1" t="s">
        <v>46</v>
      </c>
      <c r="H73" s="1">
        <v>1</v>
      </c>
      <c r="I73" s="1">
        <v>1</v>
      </c>
      <c r="J73" s="1" t="s">
        <v>47</v>
      </c>
      <c r="K73" s="1" t="s">
        <v>48</v>
      </c>
      <c r="L73" s="1">
        <v>0.13800000000000001</v>
      </c>
      <c r="M73" s="1">
        <v>1.38</v>
      </c>
      <c r="N73" s="1">
        <v>31.4</v>
      </c>
      <c r="O73" s="1" t="s">
        <v>49</v>
      </c>
      <c r="P73" s="1" t="s">
        <v>50</v>
      </c>
      <c r="Q73" s="1">
        <v>1.92</v>
      </c>
      <c r="R73" s="1">
        <v>20.3</v>
      </c>
      <c r="S73" s="1">
        <v>1500</v>
      </c>
    </row>
    <row r="74" spans="1:19" ht="15.75" customHeight="1" x14ac:dyDescent="0.2">
      <c r="A74" s="10">
        <v>46085</v>
      </c>
      <c r="B74" s="11">
        <v>0.49527777777777776</v>
      </c>
      <c r="C74" s="1" t="s">
        <v>43</v>
      </c>
      <c r="D74" s="1" t="s">
        <v>100</v>
      </c>
      <c r="E74" s="1" t="s">
        <v>372</v>
      </c>
      <c r="F74" s="1">
        <v>58</v>
      </c>
      <c r="G74" s="1" t="s">
        <v>46</v>
      </c>
      <c r="H74" s="1">
        <v>1</v>
      </c>
      <c r="I74" s="1">
        <v>1</v>
      </c>
      <c r="J74" s="1" t="s">
        <v>47</v>
      </c>
      <c r="K74" s="1" t="s">
        <v>48</v>
      </c>
      <c r="L74" s="1">
        <v>0.16600000000000001</v>
      </c>
      <c r="M74" s="1">
        <v>2.8</v>
      </c>
      <c r="N74" s="1">
        <v>81.2</v>
      </c>
      <c r="O74" s="1" t="s">
        <v>49</v>
      </c>
      <c r="P74" s="1" t="s">
        <v>50</v>
      </c>
      <c r="Q74" s="1">
        <v>0.78500000000000003</v>
      </c>
      <c r="R74" s="1">
        <v>8.2200000000000006</v>
      </c>
      <c r="S74" s="1">
        <v>556</v>
      </c>
    </row>
    <row r="75" spans="1:19" ht="15.75" customHeight="1" x14ac:dyDescent="0.2">
      <c r="A75" s="10">
        <v>46085</v>
      </c>
      <c r="B75" s="11">
        <v>0.49615740740740738</v>
      </c>
      <c r="C75" s="1" t="s">
        <v>43</v>
      </c>
      <c r="D75" s="1" t="s">
        <v>101</v>
      </c>
      <c r="E75" s="1" t="s">
        <v>373</v>
      </c>
      <c r="F75" s="1">
        <v>59</v>
      </c>
      <c r="G75" s="1" t="s">
        <v>46</v>
      </c>
      <c r="H75" s="1">
        <v>1</v>
      </c>
      <c r="I75" s="1">
        <v>1</v>
      </c>
      <c r="J75" s="1" t="s">
        <v>47</v>
      </c>
      <c r="K75" s="1" t="s">
        <v>48</v>
      </c>
      <c r="L75" s="1">
        <v>0.17199999999999999</v>
      </c>
      <c r="M75" s="1">
        <v>2.89</v>
      </c>
      <c r="N75" s="1">
        <v>84.4</v>
      </c>
      <c r="O75" s="1" t="s">
        <v>49</v>
      </c>
      <c r="P75" s="1" t="s">
        <v>50</v>
      </c>
      <c r="Q75" s="1">
        <v>0.71599999999999997</v>
      </c>
      <c r="R75" s="1">
        <v>7.61</v>
      </c>
      <c r="S75" s="1">
        <v>509</v>
      </c>
    </row>
    <row r="76" spans="1:19" ht="15.75" customHeight="1" x14ac:dyDescent="0.2">
      <c r="A76" s="10">
        <v>46085</v>
      </c>
      <c r="B76" s="11">
        <v>0.49702546296296296</v>
      </c>
      <c r="C76" s="1" t="s">
        <v>43</v>
      </c>
      <c r="D76" s="1" t="s">
        <v>102</v>
      </c>
      <c r="E76" s="1" t="s">
        <v>374</v>
      </c>
      <c r="F76" s="1">
        <v>60</v>
      </c>
      <c r="G76" s="1" t="s">
        <v>46</v>
      </c>
      <c r="H76" s="1">
        <v>1</v>
      </c>
      <c r="I76" s="1">
        <v>1</v>
      </c>
      <c r="J76" s="1" t="s">
        <v>47</v>
      </c>
      <c r="K76" s="1" t="s">
        <v>48</v>
      </c>
      <c r="L76" s="1">
        <v>0.12</v>
      </c>
      <c r="M76" s="1">
        <v>2.1</v>
      </c>
      <c r="N76" s="1">
        <v>56.4</v>
      </c>
      <c r="O76" s="1" t="s">
        <v>49</v>
      </c>
      <c r="P76" s="1" t="s">
        <v>50</v>
      </c>
      <c r="Q76" s="1">
        <v>0.753</v>
      </c>
      <c r="R76" s="1">
        <v>8.1300000000000008</v>
      </c>
      <c r="S76" s="1">
        <v>550</v>
      </c>
    </row>
    <row r="77" spans="1:19" ht="15.75" customHeight="1" x14ac:dyDescent="0.2">
      <c r="A77" s="10">
        <v>46085</v>
      </c>
      <c r="B77" s="11">
        <v>0.49792824074074077</v>
      </c>
      <c r="C77" s="1" t="s">
        <v>43</v>
      </c>
      <c r="D77" s="1" t="s">
        <v>103</v>
      </c>
      <c r="E77" s="1" t="s">
        <v>375</v>
      </c>
      <c r="F77" s="1">
        <v>61</v>
      </c>
      <c r="G77" s="1" t="s">
        <v>46</v>
      </c>
      <c r="H77" s="1">
        <v>1</v>
      </c>
      <c r="I77" s="1">
        <v>1</v>
      </c>
      <c r="J77" s="1" t="s">
        <v>47</v>
      </c>
      <c r="K77" s="1" t="s">
        <v>48</v>
      </c>
      <c r="L77" s="1">
        <v>0.14199999999999999</v>
      </c>
      <c r="M77" s="1">
        <v>2.17</v>
      </c>
      <c r="N77" s="1">
        <v>58.7</v>
      </c>
      <c r="O77" s="1" t="s">
        <v>49</v>
      </c>
      <c r="P77" s="1" t="s">
        <v>50</v>
      </c>
      <c r="Q77" s="1">
        <v>0.21199999999999999</v>
      </c>
      <c r="R77" s="1">
        <v>2.37</v>
      </c>
      <c r="S77" s="1">
        <v>101</v>
      </c>
    </row>
    <row r="78" spans="1:19" ht="15.75" customHeight="1" x14ac:dyDescent="0.2">
      <c r="A78" s="10">
        <v>46085</v>
      </c>
      <c r="B78" s="11">
        <v>0.49881944444444443</v>
      </c>
      <c r="C78" s="1" t="s">
        <v>43</v>
      </c>
      <c r="D78" s="1" t="s">
        <v>104</v>
      </c>
      <c r="E78" s="1" t="s">
        <v>376</v>
      </c>
      <c r="F78" s="1">
        <v>62</v>
      </c>
      <c r="G78" s="1" t="s">
        <v>75</v>
      </c>
      <c r="H78" s="1">
        <v>1</v>
      </c>
      <c r="I78" s="1">
        <v>1</v>
      </c>
      <c r="J78" s="1" t="s">
        <v>47</v>
      </c>
      <c r="K78" s="1" t="s">
        <v>48</v>
      </c>
      <c r="L78" s="1">
        <v>0.155</v>
      </c>
      <c r="M78" s="1">
        <v>2.6</v>
      </c>
      <c r="N78" s="1">
        <v>74.3</v>
      </c>
      <c r="O78" s="1" t="s">
        <v>49</v>
      </c>
      <c r="P78" s="1" t="s">
        <v>50</v>
      </c>
      <c r="Q78" s="1">
        <v>0.86</v>
      </c>
      <c r="R78" s="1">
        <v>9.08</v>
      </c>
      <c r="S78" s="1">
        <v>624</v>
      </c>
    </row>
    <row r="79" spans="1:19" ht="15.75" customHeight="1" x14ac:dyDescent="0.2">
      <c r="A79" s="10">
        <v>46085</v>
      </c>
      <c r="B79" s="11">
        <v>0.49971064814814814</v>
      </c>
      <c r="C79" s="1" t="s">
        <v>43</v>
      </c>
      <c r="D79" s="1" t="s">
        <v>105</v>
      </c>
      <c r="E79" s="1"/>
      <c r="F79" s="1">
        <v>68</v>
      </c>
      <c r="G79" s="1" t="s">
        <v>75</v>
      </c>
      <c r="H79" s="1">
        <v>1</v>
      </c>
      <c r="I79" s="1">
        <v>1</v>
      </c>
      <c r="J79" s="1" t="s">
        <v>47</v>
      </c>
      <c r="K79" s="1" t="s">
        <v>48</v>
      </c>
      <c r="L79" s="1">
        <v>0.109</v>
      </c>
      <c r="M79" s="1">
        <v>1.96</v>
      </c>
      <c r="N79" s="1">
        <v>51.5</v>
      </c>
      <c r="O79" s="1" t="s">
        <v>49</v>
      </c>
      <c r="P79" s="1" t="s">
        <v>50</v>
      </c>
      <c r="Q79" s="1">
        <v>0.79900000000000004</v>
      </c>
      <c r="R79" s="1">
        <v>8.5</v>
      </c>
      <c r="S79" s="1">
        <v>578</v>
      </c>
    </row>
    <row r="80" spans="1:19" ht="15.75" customHeight="1" x14ac:dyDescent="0.2">
      <c r="A80" s="10">
        <v>46085</v>
      </c>
      <c r="B80" s="11">
        <v>0.5006018518518518</v>
      </c>
      <c r="C80" s="1" t="s">
        <v>43</v>
      </c>
      <c r="D80" s="1" t="s">
        <v>106</v>
      </c>
      <c r="E80" s="1" t="s">
        <v>377</v>
      </c>
      <c r="F80" s="1">
        <v>63</v>
      </c>
      <c r="G80" s="1" t="s">
        <v>46</v>
      </c>
      <c r="H80" s="1">
        <v>1</v>
      </c>
      <c r="I80" s="1">
        <v>1</v>
      </c>
      <c r="J80" s="1" t="s">
        <v>47</v>
      </c>
      <c r="K80" s="1" t="s">
        <v>48</v>
      </c>
      <c r="L80" s="1">
        <v>0.159</v>
      </c>
      <c r="M80" s="1">
        <v>2.68</v>
      </c>
      <c r="N80" s="1">
        <v>77.099999999999994</v>
      </c>
      <c r="O80" s="1" t="s">
        <v>49</v>
      </c>
      <c r="P80" s="1" t="s">
        <v>50</v>
      </c>
      <c r="Q80" s="1">
        <v>0.64500000000000002</v>
      </c>
      <c r="R80" s="1">
        <v>6.75</v>
      </c>
      <c r="S80" s="1">
        <v>442</v>
      </c>
    </row>
    <row r="81" spans="1:19" ht="15.75" customHeight="1" x14ac:dyDescent="0.2">
      <c r="A81" s="10">
        <v>46085</v>
      </c>
      <c r="B81" s="11">
        <v>0.50149305555555557</v>
      </c>
      <c r="C81" s="1" t="s">
        <v>43</v>
      </c>
      <c r="D81" s="1" t="s">
        <v>107</v>
      </c>
      <c r="E81" s="1" t="s">
        <v>378</v>
      </c>
      <c r="F81" s="1">
        <v>64</v>
      </c>
      <c r="G81" s="1" t="s">
        <v>46</v>
      </c>
      <c r="H81" s="1">
        <v>1</v>
      </c>
      <c r="I81" s="1">
        <v>1</v>
      </c>
      <c r="J81" s="1" t="s">
        <v>47</v>
      </c>
      <c r="K81" s="1" t="s">
        <v>48</v>
      </c>
      <c r="L81" s="1">
        <v>0.109</v>
      </c>
      <c r="M81" s="1">
        <v>1.95</v>
      </c>
      <c r="N81" s="1">
        <v>51.1</v>
      </c>
      <c r="O81" s="1" t="s">
        <v>49</v>
      </c>
      <c r="P81" s="1" t="s">
        <v>50</v>
      </c>
      <c r="Q81" s="1">
        <v>0.4</v>
      </c>
      <c r="R81" s="1">
        <v>4.33</v>
      </c>
      <c r="S81" s="1">
        <v>254</v>
      </c>
    </row>
    <row r="82" spans="1:19" ht="15.75" customHeight="1" x14ac:dyDescent="0.2">
      <c r="A82" s="10">
        <v>46085</v>
      </c>
      <c r="B82" s="11">
        <v>0.50238425925925922</v>
      </c>
      <c r="C82" s="1" t="s">
        <v>43</v>
      </c>
      <c r="D82" s="1" t="s">
        <v>108</v>
      </c>
      <c r="E82" s="1" t="s">
        <v>379</v>
      </c>
      <c r="F82" s="1">
        <v>65</v>
      </c>
      <c r="G82" s="1" t="s">
        <v>46</v>
      </c>
      <c r="H82" s="1">
        <v>1</v>
      </c>
      <c r="I82" s="1">
        <v>1</v>
      </c>
      <c r="J82" s="1" t="s">
        <v>47</v>
      </c>
      <c r="K82" s="1" t="s">
        <v>48</v>
      </c>
      <c r="L82" s="1">
        <v>0.313</v>
      </c>
      <c r="M82" s="1">
        <v>4.9800000000000004</v>
      </c>
      <c r="N82" s="1">
        <v>162</v>
      </c>
      <c r="O82" s="1" t="s">
        <v>49</v>
      </c>
      <c r="P82" s="1" t="s">
        <v>50</v>
      </c>
      <c r="Q82" s="1">
        <v>0.32900000000000001</v>
      </c>
      <c r="R82" s="1">
        <v>3.6</v>
      </c>
      <c r="S82" s="1">
        <v>197</v>
      </c>
    </row>
    <row r="83" spans="1:19" ht="15.75" customHeight="1" x14ac:dyDescent="0.2">
      <c r="A83" s="10">
        <v>46085</v>
      </c>
      <c r="B83" s="11">
        <v>0.50327546296296299</v>
      </c>
      <c r="C83" s="1" t="s">
        <v>43</v>
      </c>
      <c r="D83" s="1" t="s">
        <v>109</v>
      </c>
      <c r="E83" s="1" t="s">
        <v>380</v>
      </c>
      <c r="F83" s="1">
        <v>66</v>
      </c>
      <c r="G83" s="1" t="s">
        <v>46</v>
      </c>
      <c r="H83" s="1">
        <v>1</v>
      </c>
      <c r="I83" s="1">
        <v>1</v>
      </c>
      <c r="J83" s="1" t="s">
        <v>47</v>
      </c>
      <c r="K83" s="1" t="s">
        <v>48</v>
      </c>
      <c r="L83" s="1">
        <v>0.17499999999999999</v>
      </c>
      <c r="M83" s="1">
        <v>2.94</v>
      </c>
      <c r="N83" s="1">
        <v>86.2</v>
      </c>
      <c r="O83" s="1" t="s">
        <v>49</v>
      </c>
      <c r="P83" s="1" t="s">
        <v>50</v>
      </c>
      <c r="Q83" s="1">
        <v>0.40300000000000002</v>
      </c>
      <c r="R83" s="1">
        <v>4.34</v>
      </c>
      <c r="S83" s="1">
        <v>254</v>
      </c>
    </row>
    <row r="84" spans="1:19" ht="15.75" customHeight="1" x14ac:dyDescent="0.2">
      <c r="A84" s="10">
        <v>46085</v>
      </c>
      <c r="B84" s="11">
        <v>0.50416666666666665</v>
      </c>
      <c r="C84" s="1" t="s">
        <v>43</v>
      </c>
      <c r="D84" s="1" t="s">
        <v>110</v>
      </c>
      <c r="E84" s="1" t="s">
        <v>381</v>
      </c>
      <c r="F84" s="1">
        <v>67</v>
      </c>
      <c r="G84" s="1" t="s">
        <v>46</v>
      </c>
      <c r="H84" s="1">
        <v>1</v>
      </c>
      <c r="I84" s="1">
        <v>1</v>
      </c>
      <c r="J84" s="1" t="s">
        <v>47</v>
      </c>
      <c r="K84" s="1" t="s">
        <v>48</v>
      </c>
      <c r="L84" s="1">
        <v>0.127</v>
      </c>
      <c r="M84" s="1">
        <v>2.27</v>
      </c>
      <c r="N84" s="1">
        <v>62.4</v>
      </c>
      <c r="O84" s="1" t="s">
        <v>49</v>
      </c>
      <c r="P84" s="1" t="s">
        <v>50</v>
      </c>
      <c r="Q84" s="1">
        <v>0.35299999999999998</v>
      </c>
      <c r="R84" s="1">
        <v>3.96</v>
      </c>
      <c r="S84" s="1">
        <v>225</v>
      </c>
    </row>
    <row r="85" spans="1:19" ht="15.75" customHeight="1" x14ac:dyDescent="0.2">
      <c r="A85" s="10">
        <v>46085</v>
      </c>
      <c r="B85" s="11">
        <v>0.50505787037037042</v>
      </c>
      <c r="C85" s="1" t="s">
        <v>43</v>
      </c>
      <c r="D85" s="1" t="s">
        <v>55</v>
      </c>
      <c r="E85" s="1"/>
      <c r="F85" s="1" t="s">
        <v>56</v>
      </c>
      <c r="G85" s="1" t="s">
        <v>46</v>
      </c>
      <c r="H85" s="1">
        <v>1</v>
      </c>
      <c r="I85" s="1">
        <v>1</v>
      </c>
      <c r="J85" s="1" t="s">
        <v>47</v>
      </c>
      <c r="K85" s="1" t="s">
        <v>48</v>
      </c>
      <c r="L85" s="1">
        <v>0.13700000000000001</v>
      </c>
      <c r="M85" s="1">
        <v>1.39</v>
      </c>
      <c r="N85" s="1">
        <v>31.6</v>
      </c>
      <c r="O85" s="1" t="s">
        <v>49</v>
      </c>
      <c r="P85" s="1" t="s">
        <v>50</v>
      </c>
      <c r="Q85" s="1">
        <v>4.0099999999999997E-2</v>
      </c>
      <c r="R85" s="1">
        <v>5.5300000000000002E-2</v>
      </c>
      <c r="S85" s="1">
        <v>-79.2</v>
      </c>
    </row>
    <row r="86" spans="1:19" ht="15.75" customHeight="1" x14ac:dyDescent="0.2">
      <c r="A86" s="10">
        <v>46085</v>
      </c>
      <c r="B86" s="11">
        <v>0.50594907407407408</v>
      </c>
      <c r="C86" s="1" t="s">
        <v>43</v>
      </c>
      <c r="D86" s="1" t="s">
        <v>87</v>
      </c>
      <c r="E86" s="1"/>
      <c r="F86" s="1">
        <v>17</v>
      </c>
      <c r="G86" s="1" t="s">
        <v>88</v>
      </c>
      <c r="H86" s="1">
        <v>1</v>
      </c>
      <c r="I86" s="1">
        <v>1</v>
      </c>
      <c r="J86" s="1" t="s">
        <v>47</v>
      </c>
      <c r="K86" s="1" t="s">
        <v>48</v>
      </c>
      <c r="L86" s="1">
        <v>5.7500000000000002E-2</v>
      </c>
      <c r="M86" s="1">
        <v>1.1399999999999999</v>
      </c>
      <c r="N86" s="1">
        <v>22.9</v>
      </c>
      <c r="O86" s="1" t="s">
        <v>49</v>
      </c>
      <c r="P86" s="1" t="s">
        <v>50</v>
      </c>
      <c r="Q86" s="1">
        <v>0.39800000000000002</v>
      </c>
      <c r="R86" s="1">
        <v>4.34</v>
      </c>
      <c r="S86" s="1">
        <v>255</v>
      </c>
    </row>
    <row r="87" spans="1:19" ht="15.75" customHeight="1" x14ac:dyDescent="0.2">
      <c r="A87" s="10">
        <v>46085</v>
      </c>
      <c r="B87" s="11">
        <v>0.5068287037037037</v>
      </c>
      <c r="C87" s="1" t="s">
        <v>43</v>
      </c>
      <c r="D87" s="1" t="s">
        <v>111</v>
      </c>
      <c r="E87" s="1" t="s">
        <v>382</v>
      </c>
      <c r="F87" s="1">
        <v>70</v>
      </c>
      <c r="G87" s="1" t="s">
        <v>46</v>
      </c>
      <c r="H87" s="1">
        <v>1</v>
      </c>
      <c r="I87" s="1">
        <v>1</v>
      </c>
      <c r="J87" s="1" t="s">
        <v>47</v>
      </c>
      <c r="K87" s="1" t="s">
        <v>48</v>
      </c>
      <c r="L87" s="1">
        <v>0.16500000000000001</v>
      </c>
      <c r="M87" s="1">
        <v>2.75</v>
      </c>
      <c r="N87" s="1">
        <v>79.400000000000006</v>
      </c>
      <c r="O87" s="1" t="s">
        <v>49</v>
      </c>
      <c r="P87" s="1" t="s">
        <v>50</v>
      </c>
      <c r="Q87" s="1">
        <v>0.621</v>
      </c>
      <c r="R87" s="1">
        <v>6.63</v>
      </c>
      <c r="S87" s="1">
        <v>432</v>
      </c>
    </row>
    <row r="88" spans="1:19" ht="15.75" customHeight="1" x14ac:dyDescent="0.2">
      <c r="A88" s="10">
        <v>46085</v>
      </c>
      <c r="B88" s="11">
        <v>0.50771990740740736</v>
      </c>
      <c r="C88" s="1" t="s">
        <v>43</v>
      </c>
      <c r="D88" s="1" t="s">
        <v>112</v>
      </c>
      <c r="E88" s="1" t="s">
        <v>383</v>
      </c>
      <c r="F88" s="1">
        <v>71</v>
      </c>
      <c r="G88" s="1" t="s">
        <v>46</v>
      </c>
      <c r="H88" s="1">
        <v>1</v>
      </c>
      <c r="I88" s="1">
        <v>1</v>
      </c>
      <c r="J88" s="1" t="s">
        <v>47</v>
      </c>
      <c r="K88" s="1" t="s">
        <v>48</v>
      </c>
      <c r="L88" s="1">
        <v>0.17699999999999999</v>
      </c>
      <c r="M88" s="1">
        <v>2.92</v>
      </c>
      <c r="N88" s="1">
        <v>85.6</v>
      </c>
      <c r="O88" s="1" t="s">
        <v>49</v>
      </c>
      <c r="P88" s="1" t="s">
        <v>50</v>
      </c>
      <c r="Q88" s="1">
        <v>0.70399999999999996</v>
      </c>
      <c r="R88" s="1">
        <v>7.52</v>
      </c>
      <c r="S88" s="1">
        <v>502</v>
      </c>
    </row>
    <row r="89" spans="1:19" ht="15.75" customHeight="1" x14ac:dyDescent="0.2">
      <c r="A89" s="10">
        <v>46085</v>
      </c>
      <c r="B89" s="11">
        <v>0.50859953703703709</v>
      </c>
      <c r="C89" s="1" t="s">
        <v>43</v>
      </c>
      <c r="D89" s="1" t="s">
        <v>113</v>
      </c>
      <c r="E89" s="1" t="s">
        <v>384</v>
      </c>
      <c r="F89" s="1">
        <v>72</v>
      </c>
      <c r="G89" s="1" t="s">
        <v>46</v>
      </c>
      <c r="H89" s="1">
        <v>1</v>
      </c>
      <c r="I89" s="1">
        <v>1</v>
      </c>
      <c r="J89" s="1" t="s">
        <v>47</v>
      </c>
      <c r="K89" s="1" t="s">
        <v>48</v>
      </c>
      <c r="L89" s="1">
        <v>0.11799999999999999</v>
      </c>
      <c r="M89" s="1">
        <v>2.04</v>
      </c>
      <c r="N89" s="1">
        <v>54.3</v>
      </c>
      <c r="O89" s="1" t="s">
        <v>49</v>
      </c>
      <c r="P89" s="1" t="s">
        <v>50</v>
      </c>
      <c r="Q89" s="1">
        <v>0.77100000000000002</v>
      </c>
      <c r="R89" s="1">
        <v>8.3699999999999992</v>
      </c>
      <c r="S89" s="1">
        <v>569</v>
      </c>
    </row>
    <row r="90" spans="1:19" ht="15.75" customHeight="1" x14ac:dyDescent="0.2">
      <c r="A90" s="10">
        <v>46085</v>
      </c>
      <c r="B90" s="11">
        <v>0.50949074074074074</v>
      </c>
      <c r="C90" s="1" t="s">
        <v>43</v>
      </c>
      <c r="D90" s="1" t="s">
        <v>114</v>
      </c>
      <c r="E90" s="1" t="s">
        <v>385</v>
      </c>
      <c r="F90" s="1">
        <v>73</v>
      </c>
      <c r="G90" s="1" t="s">
        <v>46</v>
      </c>
      <c r="H90" s="1">
        <v>1</v>
      </c>
      <c r="I90" s="1">
        <v>1</v>
      </c>
      <c r="J90" s="1" t="s">
        <v>47</v>
      </c>
      <c r="K90" s="1" t="s">
        <v>48</v>
      </c>
      <c r="L90" s="1">
        <v>4.7E-2</v>
      </c>
      <c r="M90" s="1">
        <v>1.01</v>
      </c>
      <c r="N90" s="1">
        <v>18.5</v>
      </c>
      <c r="O90" s="1" t="s">
        <v>49</v>
      </c>
      <c r="P90" s="1" t="s">
        <v>50</v>
      </c>
      <c r="Q90" s="1">
        <v>0.48099999999999998</v>
      </c>
      <c r="R90" s="1">
        <v>5.22</v>
      </c>
      <c r="S90" s="1">
        <v>323</v>
      </c>
    </row>
    <row r="91" spans="1:19" ht="15.75" customHeight="1" x14ac:dyDescent="0.2">
      <c r="A91" s="10">
        <v>46085</v>
      </c>
      <c r="B91" s="11">
        <v>0.51037037037037036</v>
      </c>
      <c r="C91" s="1" t="s">
        <v>43</v>
      </c>
      <c r="D91" s="1" t="s">
        <v>115</v>
      </c>
      <c r="E91" s="1" t="s">
        <v>386</v>
      </c>
      <c r="F91" s="1">
        <v>74</v>
      </c>
      <c r="G91" s="1" t="s">
        <v>75</v>
      </c>
      <c r="H91" s="1">
        <v>1</v>
      </c>
      <c r="I91" s="1">
        <v>1</v>
      </c>
      <c r="J91" s="1" t="s">
        <v>47</v>
      </c>
      <c r="K91" s="1" t="s">
        <v>48</v>
      </c>
      <c r="L91" s="1">
        <v>0.12</v>
      </c>
      <c r="M91" s="1">
        <v>2.11</v>
      </c>
      <c r="N91" s="1">
        <v>56.7</v>
      </c>
      <c r="O91" s="1" t="s">
        <v>49</v>
      </c>
      <c r="P91" s="1" t="s">
        <v>50</v>
      </c>
      <c r="Q91" s="1">
        <v>0.35699999999999998</v>
      </c>
      <c r="R91" s="1">
        <v>3.89</v>
      </c>
      <c r="S91" s="1">
        <v>219</v>
      </c>
    </row>
    <row r="92" spans="1:19" ht="15.75" customHeight="1" x14ac:dyDescent="0.2">
      <c r="A92" s="10">
        <v>46085</v>
      </c>
      <c r="B92" s="11">
        <v>0.5113078703703704</v>
      </c>
      <c r="C92" s="1" t="s">
        <v>43</v>
      </c>
      <c r="D92" s="1" t="s">
        <v>116</v>
      </c>
      <c r="E92" s="1"/>
      <c r="F92" s="1">
        <v>80</v>
      </c>
      <c r="G92" s="1" t="s">
        <v>75</v>
      </c>
      <c r="H92" s="1">
        <v>1</v>
      </c>
      <c r="I92" s="1">
        <v>1</v>
      </c>
      <c r="J92" s="1" t="s">
        <v>47</v>
      </c>
      <c r="K92" s="1" t="s">
        <v>48</v>
      </c>
      <c r="L92" s="1">
        <v>7.3200000000000001E-2</v>
      </c>
      <c r="M92" s="1">
        <v>1.36</v>
      </c>
      <c r="N92" s="1">
        <v>30.7</v>
      </c>
      <c r="O92" s="1" t="s">
        <v>49</v>
      </c>
      <c r="P92" s="1" t="s">
        <v>50</v>
      </c>
      <c r="Q92" s="1">
        <v>0.26600000000000001</v>
      </c>
      <c r="R92" s="1">
        <v>2.86</v>
      </c>
      <c r="S92" s="1">
        <v>140</v>
      </c>
    </row>
    <row r="93" spans="1:19" ht="15.75" customHeight="1" x14ac:dyDescent="0.2">
      <c r="A93" s="10">
        <v>46085</v>
      </c>
      <c r="B93" s="11">
        <v>0.51218750000000002</v>
      </c>
      <c r="C93" s="1" t="s">
        <v>43</v>
      </c>
      <c r="D93" s="1" t="s">
        <v>117</v>
      </c>
      <c r="E93" s="1"/>
      <c r="F93" s="1">
        <v>75</v>
      </c>
      <c r="G93" s="1" t="s">
        <v>46</v>
      </c>
      <c r="H93" s="1">
        <v>1</v>
      </c>
      <c r="I93" s="1">
        <v>1</v>
      </c>
      <c r="J93" s="1" t="s">
        <v>47</v>
      </c>
      <c r="K93" s="1" t="s">
        <v>48</v>
      </c>
      <c r="L93" s="1">
        <v>8.2000000000000003E-2</v>
      </c>
      <c r="M93" s="1">
        <v>1.49</v>
      </c>
      <c r="N93" s="1">
        <v>35.1</v>
      </c>
      <c r="O93" s="1" t="s">
        <v>49</v>
      </c>
      <c r="P93" s="1" t="s">
        <v>50</v>
      </c>
      <c r="Q93" s="1">
        <v>1.77</v>
      </c>
      <c r="R93" s="1">
        <v>18.600000000000001</v>
      </c>
      <c r="S93" s="1">
        <v>1360</v>
      </c>
    </row>
    <row r="94" spans="1:19" ht="15.75" customHeight="1" x14ac:dyDescent="0.2">
      <c r="A94" s="10">
        <v>46085</v>
      </c>
      <c r="B94" s="11">
        <v>0.51307870370370368</v>
      </c>
      <c r="C94" s="1" t="s">
        <v>43</v>
      </c>
      <c r="D94" s="1" t="s">
        <v>118</v>
      </c>
      <c r="E94" s="1"/>
      <c r="F94" s="1">
        <v>76</v>
      </c>
      <c r="G94" s="1" t="s">
        <v>46</v>
      </c>
      <c r="H94" s="1">
        <v>1</v>
      </c>
      <c r="I94" s="1">
        <v>1</v>
      </c>
      <c r="J94" s="1" t="s">
        <v>47</v>
      </c>
      <c r="K94" s="1" t="s">
        <v>48</v>
      </c>
      <c r="L94" s="1">
        <v>2.7799999999999998E-2</v>
      </c>
      <c r="M94" s="1">
        <v>0.65700000000000003</v>
      </c>
      <c r="N94" s="1">
        <v>6.59</v>
      </c>
      <c r="O94" s="1" t="s">
        <v>49</v>
      </c>
      <c r="P94" s="1" t="s">
        <v>50</v>
      </c>
      <c r="Q94" s="1">
        <v>0.36099999999999999</v>
      </c>
      <c r="R94" s="1">
        <v>3.94</v>
      </c>
      <c r="S94" s="1">
        <v>223</v>
      </c>
    </row>
    <row r="95" spans="1:19" ht="15.75" customHeight="1" x14ac:dyDescent="0.2">
      <c r="A95" s="10">
        <v>46085</v>
      </c>
      <c r="B95" s="11">
        <v>0.51393518518518522</v>
      </c>
      <c r="C95" s="1" t="s">
        <v>43</v>
      </c>
      <c r="D95" s="1" t="s">
        <v>119</v>
      </c>
      <c r="E95" s="1"/>
      <c r="F95" s="1">
        <v>77</v>
      </c>
      <c r="G95" s="1" t="s">
        <v>46</v>
      </c>
      <c r="H95" s="1">
        <v>1</v>
      </c>
      <c r="I95" s="1">
        <v>1</v>
      </c>
      <c r="J95" s="1" t="s">
        <v>47</v>
      </c>
      <c r="K95" s="1" t="s">
        <v>48</v>
      </c>
      <c r="L95" s="1">
        <v>0.62</v>
      </c>
      <c r="M95" s="1">
        <v>9.69</v>
      </c>
      <c r="N95" s="1">
        <v>352</v>
      </c>
      <c r="O95" s="1" t="s">
        <v>49</v>
      </c>
      <c r="P95" s="1" t="s">
        <v>50</v>
      </c>
      <c r="Q95" s="1">
        <v>2.4</v>
      </c>
      <c r="R95" s="1">
        <v>24.7</v>
      </c>
      <c r="S95" s="1">
        <v>1840</v>
      </c>
    </row>
    <row r="96" spans="1:19" ht="15.75" customHeight="1" x14ac:dyDescent="0.2">
      <c r="A96" s="10">
        <v>46085</v>
      </c>
      <c r="B96" s="11">
        <v>0.51482638888888888</v>
      </c>
      <c r="C96" s="1" t="s">
        <v>43</v>
      </c>
      <c r="D96" s="1" t="s">
        <v>121</v>
      </c>
      <c r="E96" s="1"/>
      <c r="F96" s="1">
        <v>78</v>
      </c>
      <c r="G96" s="1" t="s">
        <v>46</v>
      </c>
      <c r="H96" s="1">
        <v>1</v>
      </c>
      <c r="I96" s="1">
        <v>1</v>
      </c>
      <c r="J96" s="1" t="s">
        <v>47</v>
      </c>
      <c r="K96" s="1" t="s">
        <v>48</v>
      </c>
      <c r="L96" s="1">
        <v>7.7100000000000002E-2</v>
      </c>
      <c r="M96" s="1">
        <v>1.46</v>
      </c>
      <c r="N96" s="1">
        <v>33.9</v>
      </c>
      <c r="O96" s="1" t="s">
        <v>49</v>
      </c>
      <c r="P96" s="1" t="s">
        <v>50</v>
      </c>
      <c r="Q96" s="1">
        <v>0.94699999999999995</v>
      </c>
      <c r="R96" s="1">
        <v>8.66</v>
      </c>
      <c r="S96" s="1">
        <v>590</v>
      </c>
    </row>
    <row r="97" spans="1:19" ht="15.75" customHeight="1" x14ac:dyDescent="0.2"/>
    <row r="98" spans="1:19" ht="15.75" customHeight="1" x14ac:dyDescent="0.2"/>
    <row r="99" spans="1:19" ht="15.75" customHeight="1" x14ac:dyDescent="0.2">
      <c r="A99" s="1" t="s">
        <v>5</v>
      </c>
      <c r="B99" s="1" t="s">
        <v>6</v>
      </c>
      <c r="C99" s="1" t="s">
        <v>7</v>
      </c>
      <c r="D99" s="1" t="s">
        <v>8</v>
      </c>
      <c r="E99" s="1"/>
      <c r="F99" s="1" t="s">
        <v>9</v>
      </c>
      <c r="G99" s="1" t="s">
        <v>10</v>
      </c>
      <c r="H99" s="1" t="s">
        <v>11</v>
      </c>
      <c r="I99" s="1" t="s">
        <v>12</v>
      </c>
      <c r="J99" s="1" t="s">
        <v>13</v>
      </c>
      <c r="K99" s="1" t="s">
        <v>14</v>
      </c>
      <c r="L99" s="1" t="s">
        <v>15</v>
      </c>
      <c r="M99" s="1" t="s">
        <v>16</v>
      </c>
      <c r="N99" s="1" t="s">
        <v>17</v>
      </c>
      <c r="O99" s="1" t="s">
        <v>13</v>
      </c>
      <c r="P99" s="1" t="s">
        <v>14</v>
      </c>
      <c r="Q99" s="1" t="s">
        <v>15</v>
      </c>
      <c r="R99" s="1" t="s">
        <v>16</v>
      </c>
      <c r="S99" s="1" t="s">
        <v>17</v>
      </c>
    </row>
    <row r="100" spans="1:19" ht="15.75" customHeight="1" x14ac:dyDescent="0.2"/>
    <row r="101" spans="1:19" ht="15.75" customHeight="1" x14ac:dyDescent="0.2">
      <c r="A101" s="10">
        <v>46085</v>
      </c>
      <c r="B101" s="11">
        <v>0.52902777777777776</v>
      </c>
      <c r="C101" s="1" t="s">
        <v>122</v>
      </c>
      <c r="D101" s="1" t="s">
        <v>123</v>
      </c>
      <c r="E101" s="1"/>
      <c r="F101" s="1">
        <v>79</v>
      </c>
      <c r="G101" s="1" t="s">
        <v>84</v>
      </c>
      <c r="H101" s="1">
        <v>1</v>
      </c>
      <c r="I101" s="1">
        <v>1</v>
      </c>
      <c r="J101" s="1" t="s">
        <v>47</v>
      </c>
      <c r="K101" s="1" t="s">
        <v>48</v>
      </c>
      <c r="L101" s="1">
        <v>8.3500000000000005E-2</v>
      </c>
      <c r="M101" s="1">
        <v>1.82</v>
      </c>
      <c r="N101" s="1">
        <v>48</v>
      </c>
      <c r="O101" s="1" t="s">
        <v>49</v>
      </c>
      <c r="P101" s="1" t="s">
        <v>50</v>
      </c>
      <c r="Q101" s="1">
        <v>4.6399999999999997</v>
      </c>
      <c r="R101" s="1">
        <v>60.3</v>
      </c>
      <c r="S101" s="1">
        <v>5620</v>
      </c>
    </row>
    <row r="102" spans="1:19" ht="15.75" customHeight="1" x14ac:dyDescent="0.2">
      <c r="A102" s="10">
        <v>46085</v>
      </c>
      <c r="B102" s="11">
        <v>0.52993055555555557</v>
      </c>
      <c r="C102" s="1" t="s">
        <v>122</v>
      </c>
      <c r="D102" s="1" t="s">
        <v>124</v>
      </c>
      <c r="E102" s="1"/>
      <c r="F102" s="1">
        <v>81</v>
      </c>
      <c r="G102" s="1" t="s">
        <v>84</v>
      </c>
      <c r="H102" s="1">
        <v>1</v>
      </c>
      <c r="I102" s="1">
        <v>1</v>
      </c>
      <c r="J102" s="1" t="s">
        <v>47</v>
      </c>
      <c r="K102" s="1" t="s">
        <v>48</v>
      </c>
      <c r="L102" s="1">
        <v>0.11899999999999999</v>
      </c>
      <c r="M102" s="1">
        <v>2.4</v>
      </c>
      <c r="N102" s="1">
        <v>68.400000000000006</v>
      </c>
      <c r="O102" s="1" t="s">
        <v>49</v>
      </c>
      <c r="P102" s="1" t="s">
        <v>50</v>
      </c>
      <c r="Q102" s="1">
        <v>5.13</v>
      </c>
      <c r="R102" s="1">
        <v>66.7</v>
      </c>
      <c r="S102" s="1">
        <v>6100</v>
      </c>
    </row>
    <row r="103" spans="1:19" ht="15.75" customHeight="1" x14ac:dyDescent="0.2">
      <c r="A103" s="10">
        <v>46085</v>
      </c>
      <c r="B103" s="11">
        <v>0.53083333333333338</v>
      </c>
      <c r="C103" s="1" t="s">
        <v>122</v>
      </c>
      <c r="D103" s="1" t="s">
        <v>125</v>
      </c>
      <c r="E103" s="1"/>
      <c r="F103" s="1" t="s">
        <v>58</v>
      </c>
      <c r="G103" s="1" t="s">
        <v>46</v>
      </c>
      <c r="H103" s="1">
        <v>1</v>
      </c>
      <c r="I103" s="1">
        <v>1</v>
      </c>
      <c r="J103" s="1" t="s">
        <v>47</v>
      </c>
      <c r="K103" s="1" t="s">
        <v>48</v>
      </c>
      <c r="L103" s="1">
        <v>1.2500000000000001E-2</v>
      </c>
      <c r="M103" s="1">
        <v>0.13900000000000001</v>
      </c>
      <c r="N103" s="1">
        <v>-10.4</v>
      </c>
      <c r="O103" s="1" t="s">
        <v>49</v>
      </c>
      <c r="P103" s="1" t="s">
        <v>50</v>
      </c>
      <c r="Q103" s="1">
        <v>2.0400000000000001E-2</v>
      </c>
      <c r="R103" s="1">
        <v>0.318</v>
      </c>
      <c r="S103" s="1">
        <v>-54.8</v>
      </c>
    </row>
    <row r="104" spans="1:19" ht="15.75" customHeight="1" x14ac:dyDescent="0.2">
      <c r="A104" s="10">
        <v>46085</v>
      </c>
      <c r="B104" s="11">
        <v>0.53172453703703704</v>
      </c>
      <c r="C104" s="1" t="s">
        <v>122</v>
      </c>
      <c r="D104" s="1" t="s">
        <v>126</v>
      </c>
      <c r="E104" s="1"/>
      <c r="F104" s="1">
        <v>18</v>
      </c>
      <c r="G104" s="1" t="s">
        <v>88</v>
      </c>
      <c r="H104" s="1">
        <v>1</v>
      </c>
      <c r="I104" s="1">
        <v>1</v>
      </c>
      <c r="J104" s="1" t="s">
        <v>47</v>
      </c>
      <c r="K104" s="1" t="s">
        <v>48</v>
      </c>
      <c r="L104" s="1">
        <v>5.4399999999999997E-2</v>
      </c>
      <c r="M104" s="1">
        <v>1.26</v>
      </c>
      <c r="N104" s="1">
        <v>28.2</v>
      </c>
      <c r="O104" s="1" t="s">
        <v>49</v>
      </c>
      <c r="P104" s="1" t="s">
        <v>50</v>
      </c>
      <c r="Q104" s="1">
        <v>0.39</v>
      </c>
      <c r="R104" s="1">
        <v>4.78</v>
      </c>
      <c r="S104" s="1">
        <v>437</v>
      </c>
    </row>
    <row r="105" spans="1:19" ht="15.75" customHeight="1" x14ac:dyDescent="0.2">
      <c r="A105" s="10">
        <v>46085</v>
      </c>
      <c r="B105" s="11">
        <v>0.53260416666666666</v>
      </c>
      <c r="C105" s="1" t="s">
        <v>122</v>
      </c>
      <c r="D105" s="1" t="s">
        <v>51</v>
      </c>
      <c r="E105" s="1"/>
      <c r="F105" s="1" t="s">
        <v>52</v>
      </c>
      <c r="G105" s="1" t="s">
        <v>46</v>
      </c>
      <c r="H105" s="1">
        <v>1</v>
      </c>
      <c r="I105" s="1">
        <v>1</v>
      </c>
      <c r="J105" s="1" t="s">
        <v>47</v>
      </c>
      <c r="K105" s="1" t="s">
        <v>48</v>
      </c>
      <c r="L105" s="1">
        <v>0.13500000000000001</v>
      </c>
      <c r="M105" s="1">
        <v>1.64</v>
      </c>
      <c r="N105" s="1">
        <v>41.7</v>
      </c>
      <c r="O105" s="1" t="s">
        <v>49</v>
      </c>
      <c r="P105" s="1" t="s">
        <v>50</v>
      </c>
      <c r="Q105" s="1">
        <v>1.85</v>
      </c>
      <c r="R105" s="1">
        <v>24.5</v>
      </c>
      <c r="S105" s="1">
        <v>2480</v>
      </c>
    </row>
    <row r="106" spans="1:19" ht="15.75" customHeight="1" x14ac:dyDescent="0.2">
      <c r="A106" s="10">
        <v>46085</v>
      </c>
      <c r="B106" s="11">
        <v>0.53349537037037043</v>
      </c>
      <c r="C106" s="1" t="s">
        <v>122</v>
      </c>
      <c r="D106" s="1" t="s">
        <v>53</v>
      </c>
      <c r="E106" s="1"/>
      <c r="F106" s="1" t="s">
        <v>54</v>
      </c>
      <c r="G106" s="1" t="s">
        <v>46</v>
      </c>
      <c r="H106" s="1">
        <v>1</v>
      </c>
      <c r="I106" s="1">
        <v>1</v>
      </c>
      <c r="J106" s="1" t="s">
        <v>47</v>
      </c>
      <c r="K106" s="1" t="s">
        <v>48</v>
      </c>
      <c r="L106" s="1">
        <v>0.13900000000000001</v>
      </c>
      <c r="M106" s="1">
        <v>1.72</v>
      </c>
      <c r="N106" s="1">
        <v>44.5</v>
      </c>
      <c r="O106" s="1" t="s">
        <v>49</v>
      </c>
      <c r="P106" s="1" t="s">
        <v>50</v>
      </c>
      <c r="Q106" s="1">
        <v>1.94</v>
      </c>
      <c r="R106" s="1">
        <v>24.9</v>
      </c>
      <c r="S106" s="1">
        <v>2510</v>
      </c>
    </row>
    <row r="107" spans="1:19" ht="15.75" customHeight="1" x14ac:dyDescent="0.2">
      <c r="A107" s="10">
        <v>46085</v>
      </c>
      <c r="B107" s="11">
        <v>0.53437500000000004</v>
      </c>
      <c r="C107" s="1" t="s">
        <v>122</v>
      </c>
      <c r="D107" s="1" t="s">
        <v>127</v>
      </c>
      <c r="E107" s="1"/>
      <c r="F107" s="1">
        <v>82</v>
      </c>
      <c r="G107" s="1" t="s">
        <v>46</v>
      </c>
      <c r="H107" s="1">
        <v>1</v>
      </c>
      <c r="I107" s="1">
        <v>1</v>
      </c>
      <c r="J107" s="1" t="s">
        <v>47</v>
      </c>
      <c r="K107" s="1" t="s">
        <v>48</v>
      </c>
      <c r="L107" s="1">
        <v>1.9400000000000001E-2</v>
      </c>
      <c r="M107" s="1">
        <v>0.56699999999999995</v>
      </c>
      <c r="N107" s="1">
        <v>4.33</v>
      </c>
      <c r="O107" s="1" t="s">
        <v>49</v>
      </c>
      <c r="P107" s="1" t="s">
        <v>50</v>
      </c>
      <c r="Q107" s="1">
        <v>0.29899999999999999</v>
      </c>
      <c r="R107" s="1">
        <v>4.0199999999999996</v>
      </c>
      <c r="S107" s="1">
        <v>354</v>
      </c>
    </row>
    <row r="108" spans="1:19" ht="15.75" customHeight="1" x14ac:dyDescent="0.2">
      <c r="A108" s="10">
        <v>46085</v>
      </c>
      <c r="B108" s="11">
        <v>0.5352662037037037</v>
      </c>
      <c r="C108" s="1" t="s">
        <v>122</v>
      </c>
      <c r="D108" s="1" t="s">
        <v>128</v>
      </c>
      <c r="E108" s="1"/>
      <c r="F108" s="1">
        <v>83</v>
      </c>
      <c r="G108" s="1" t="s">
        <v>46</v>
      </c>
      <c r="H108" s="1">
        <v>1</v>
      </c>
      <c r="I108" s="1">
        <v>1</v>
      </c>
      <c r="J108" s="1" t="s">
        <v>47</v>
      </c>
      <c r="K108" s="1" t="s">
        <v>48</v>
      </c>
      <c r="L108" s="1">
        <v>4.19E-2</v>
      </c>
      <c r="M108" s="1">
        <v>1.04</v>
      </c>
      <c r="N108" s="1">
        <v>20.7</v>
      </c>
      <c r="O108" s="1" t="s">
        <v>49</v>
      </c>
      <c r="P108" s="1" t="s">
        <v>50</v>
      </c>
      <c r="Q108" s="1">
        <v>0.55400000000000005</v>
      </c>
      <c r="R108" s="1">
        <v>7.31</v>
      </c>
      <c r="S108" s="1">
        <v>710</v>
      </c>
    </row>
    <row r="109" spans="1:19" ht="15.75" customHeight="1" x14ac:dyDescent="0.2">
      <c r="A109" s="10">
        <v>46085</v>
      </c>
      <c r="B109" s="11">
        <v>0.53614583333333332</v>
      </c>
      <c r="C109" s="1" t="s">
        <v>122</v>
      </c>
      <c r="D109" s="1" t="s">
        <v>129</v>
      </c>
      <c r="E109" s="1"/>
      <c r="F109" s="1">
        <v>84</v>
      </c>
      <c r="G109" s="1" t="s">
        <v>46</v>
      </c>
      <c r="H109" s="1">
        <v>1</v>
      </c>
      <c r="I109" s="1">
        <v>1</v>
      </c>
      <c r="J109" s="1" t="s">
        <v>47</v>
      </c>
      <c r="K109" s="1" t="s">
        <v>48</v>
      </c>
      <c r="L109" s="1">
        <v>2.23E-2</v>
      </c>
      <c r="M109" s="1">
        <v>0.63800000000000001</v>
      </c>
      <c r="N109" s="1">
        <v>6.77</v>
      </c>
      <c r="O109" s="1" t="s">
        <v>49</v>
      </c>
      <c r="P109" s="1" t="s">
        <v>50</v>
      </c>
      <c r="Q109" s="1">
        <v>0.29899999999999999</v>
      </c>
      <c r="R109" s="1">
        <v>3.91</v>
      </c>
      <c r="S109" s="1">
        <v>341</v>
      </c>
    </row>
    <row r="110" spans="1:19" ht="15.75" customHeight="1" x14ac:dyDescent="0.2">
      <c r="A110" s="10">
        <v>46085</v>
      </c>
      <c r="B110" s="11">
        <v>0.53703703703703709</v>
      </c>
      <c r="C110" s="1" t="s">
        <v>122</v>
      </c>
      <c r="D110" s="1" t="s">
        <v>130</v>
      </c>
      <c r="E110" s="1"/>
      <c r="F110" s="1">
        <v>85</v>
      </c>
      <c r="G110" s="1" t="s">
        <v>46</v>
      </c>
      <c r="H110" s="1">
        <v>1</v>
      </c>
      <c r="I110" s="1">
        <v>1</v>
      </c>
      <c r="J110" s="1" t="s">
        <v>47</v>
      </c>
      <c r="K110" s="1" t="s">
        <v>48</v>
      </c>
      <c r="L110" s="1">
        <v>5.5199999999999999E-2</v>
      </c>
      <c r="M110" s="1">
        <v>1.33</v>
      </c>
      <c r="N110" s="1">
        <v>30.9</v>
      </c>
      <c r="O110" s="1" t="s">
        <v>49</v>
      </c>
      <c r="P110" s="1" t="s">
        <v>50</v>
      </c>
      <c r="Q110" s="1">
        <v>0.625</v>
      </c>
      <c r="R110" s="1">
        <v>8.11</v>
      </c>
      <c r="S110" s="1">
        <v>796</v>
      </c>
    </row>
    <row r="111" spans="1:19" ht="15.75" customHeight="1" x14ac:dyDescent="0.2">
      <c r="A111" s="10">
        <v>46085</v>
      </c>
      <c r="B111" s="11">
        <v>0.53791666666666671</v>
      </c>
      <c r="C111" s="1" t="s">
        <v>122</v>
      </c>
      <c r="D111" s="1" t="s">
        <v>131</v>
      </c>
      <c r="E111" s="1"/>
      <c r="F111" s="1">
        <v>86</v>
      </c>
      <c r="G111" s="1" t="s">
        <v>75</v>
      </c>
      <c r="H111" s="1">
        <v>1</v>
      </c>
      <c r="I111" s="1">
        <v>1</v>
      </c>
      <c r="J111" s="1" t="s">
        <v>47</v>
      </c>
      <c r="K111" s="1" t="s">
        <v>48</v>
      </c>
      <c r="L111" s="1">
        <v>2.29E-2</v>
      </c>
      <c r="M111" s="1">
        <v>0.66200000000000003</v>
      </c>
      <c r="N111" s="1">
        <v>7.62</v>
      </c>
      <c r="O111" s="1" t="s">
        <v>49</v>
      </c>
      <c r="P111" s="1" t="s">
        <v>50</v>
      </c>
      <c r="Q111" s="1">
        <v>0.34</v>
      </c>
      <c r="R111" s="1">
        <v>4.5599999999999996</v>
      </c>
      <c r="S111" s="1">
        <v>412</v>
      </c>
    </row>
    <row r="112" spans="1:19" ht="15.75" customHeight="1" x14ac:dyDescent="0.2">
      <c r="A112" s="10">
        <v>46085</v>
      </c>
      <c r="B112" s="11">
        <v>0.53880787037037037</v>
      </c>
      <c r="C112" s="1" t="s">
        <v>122</v>
      </c>
      <c r="D112" s="1" t="s">
        <v>132</v>
      </c>
      <c r="E112" s="1"/>
      <c r="F112" s="1">
        <v>92</v>
      </c>
      <c r="G112" s="1" t="s">
        <v>75</v>
      </c>
      <c r="H112" s="1">
        <v>1</v>
      </c>
      <c r="I112" s="1">
        <v>1</v>
      </c>
      <c r="J112" s="1" t="s">
        <v>47</v>
      </c>
      <c r="K112" s="1" t="s">
        <v>48</v>
      </c>
      <c r="L112" s="1">
        <v>2.35E-2</v>
      </c>
      <c r="M112" s="1">
        <v>0.69</v>
      </c>
      <c r="N112" s="1">
        <v>8.59</v>
      </c>
      <c r="O112" s="1" t="s">
        <v>49</v>
      </c>
      <c r="P112" s="1" t="s">
        <v>50</v>
      </c>
      <c r="Q112" s="1">
        <v>0.38100000000000001</v>
      </c>
      <c r="R112" s="1">
        <v>4.6500000000000004</v>
      </c>
      <c r="S112" s="1">
        <v>422</v>
      </c>
    </row>
    <row r="113" spans="1:19" ht="15.75" customHeight="1" x14ac:dyDescent="0.2">
      <c r="A113" s="10">
        <v>46085</v>
      </c>
      <c r="B113" s="11">
        <v>0.53969907407407403</v>
      </c>
      <c r="C113" s="1" t="s">
        <v>122</v>
      </c>
      <c r="D113" s="1" t="s">
        <v>133</v>
      </c>
      <c r="E113" s="1"/>
      <c r="F113" s="1">
        <v>87</v>
      </c>
      <c r="G113" s="1" t="s">
        <v>46</v>
      </c>
      <c r="H113" s="1">
        <v>1</v>
      </c>
      <c r="I113" s="1">
        <v>1</v>
      </c>
      <c r="J113" s="1" t="s">
        <v>47</v>
      </c>
      <c r="K113" s="1" t="s">
        <v>48</v>
      </c>
      <c r="L113" s="1">
        <v>3.0099999999999998E-2</v>
      </c>
      <c r="M113" s="1">
        <v>0.82399999999999995</v>
      </c>
      <c r="N113" s="1">
        <v>13.2</v>
      </c>
      <c r="O113" s="1" t="s">
        <v>49</v>
      </c>
      <c r="P113" s="1" t="s">
        <v>50</v>
      </c>
      <c r="Q113" s="1">
        <v>0.35799999999999998</v>
      </c>
      <c r="R113" s="1">
        <v>4.84</v>
      </c>
      <c r="S113" s="1">
        <v>443</v>
      </c>
    </row>
    <row r="114" spans="1:19" ht="15.75" customHeight="1" x14ac:dyDescent="0.2">
      <c r="A114" s="10">
        <v>46085</v>
      </c>
      <c r="B114" s="11">
        <v>0.54057870370370376</v>
      </c>
      <c r="C114" s="1" t="s">
        <v>122</v>
      </c>
      <c r="D114" s="1" t="s">
        <v>134</v>
      </c>
      <c r="E114" s="1"/>
      <c r="F114" s="1">
        <v>88</v>
      </c>
      <c r="G114" s="1" t="s">
        <v>46</v>
      </c>
      <c r="H114" s="1">
        <v>1</v>
      </c>
      <c r="I114" s="1">
        <v>1</v>
      </c>
      <c r="J114" s="1" t="s">
        <v>47</v>
      </c>
      <c r="K114" s="1" t="s">
        <v>48</v>
      </c>
      <c r="L114" s="1">
        <v>0.14099999999999999</v>
      </c>
      <c r="M114" s="1">
        <v>2.87</v>
      </c>
      <c r="N114" s="1">
        <v>84.9</v>
      </c>
      <c r="O114" s="1" t="s">
        <v>49</v>
      </c>
      <c r="P114" s="1" t="s">
        <v>50</v>
      </c>
      <c r="Q114" s="1">
        <v>0.998</v>
      </c>
      <c r="R114" s="1">
        <v>12.9</v>
      </c>
      <c r="S114" s="1">
        <v>1300</v>
      </c>
    </row>
    <row r="115" spans="1:19" ht="15.75" customHeight="1" x14ac:dyDescent="0.2">
      <c r="A115" s="10">
        <v>46085</v>
      </c>
      <c r="B115" s="11">
        <v>0.54146990740740741</v>
      </c>
      <c r="C115" s="1" t="s">
        <v>122</v>
      </c>
      <c r="D115" s="1" t="s">
        <v>135</v>
      </c>
      <c r="E115" s="1"/>
      <c r="F115" s="1">
        <v>89</v>
      </c>
      <c r="G115" s="1" t="s">
        <v>46</v>
      </c>
      <c r="H115" s="1">
        <v>1</v>
      </c>
      <c r="I115" s="1">
        <v>1</v>
      </c>
      <c r="J115" s="1" t="s">
        <v>47</v>
      </c>
      <c r="K115" s="1" t="s">
        <v>48</v>
      </c>
      <c r="L115" s="1">
        <v>8.48E-2</v>
      </c>
      <c r="M115" s="1">
        <v>1.83</v>
      </c>
      <c r="N115" s="1">
        <v>48.2</v>
      </c>
      <c r="O115" s="1" t="s">
        <v>49</v>
      </c>
      <c r="P115" s="1" t="s">
        <v>50</v>
      </c>
      <c r="Q115" s="1">
        <v>1.05</v>
      </c>
      <c r="R115" s="1">
        <v>13.5</v>
      </c>
      <c r="S115" s="1">
        <v>1360</v>
      </c>
    </row>
    <row r="116" spans="1:19" ht="15.75" customHeight="1" x14ac:dyDescent="0.2">
      <c r="A116" s="10">
        <v>46085</v>
      </c>
      <c r="B116" s="11">
        <v>0.54234953703703703</v>
      </c>
      <c r="C116" s="1" t="s">
        <v>122</v>
      </c>
      <c r="D116" s="1" t="s">
        <v>136</v>
      </c>
      <c r="E116" s="1"/>
      <c r="F116" s="1">
        <v>90</v>
      </c>
      <c r="G116" s="1" t="s">
        <v>46</v>
      </c>
      <c r="H116" s="1">
        <v>1</v>
      </c>
      <c r="I116" s="1">
        <v>1</v>
      </c>
      <c r="J116" s="1" t="s">
        <v>47</v>
      </c>
      <c r="K116" s="1" t="s">
        <v>48</v>
      </c>
      <c r="L116" s="1">
        <v>2.93E-2</v>
      </c>
      <c r="M116" s="1">
        <v>0.80200000000000005</v>
      </c>
      <c r="N116" s="1">
        <v>12.5</v>
      </c>
      <c r="O116" s="1" t="s">
        <v>49</v>
      </c>
      <c r="P116" s="1" t="s">
        <v>50</v>
      </c>
      <c r="Q116" s="1">
        <v>0.34799999999999998</v>
      </c>
      <c r="R116" s="1">
        <v>4.3600000000000003</v>
      </c>
      <c r="S116" s="1">
        <v>391</v>
      </c>
    </row>
    <row r="117" spans="1:19" ht="15.75" customHeight="1" x14ac:dyDescent="0.2">
      <c r="A117" s="10">
        <v>46085</v>
      </c>
      <c r="B117" s="11">
        <v>0.54325231481481484</v>
      </c>
      <c r="C117" s="1" t="s">
        <v>122</v>
      </c>
      <c r="D117" s="1" t="s">
        <v>137</v>
      </c>
      <c r="E117" s="1"/>
      <c r="F117" s="1">
        <v>91</v>
      </c>
      <c r="G117" s="1" t="s">
        <v>84</v>
      </c>
      <c r="H117" s="1">
        <v>1</v>
      </c>
      <c r="I117" s="1">
        <v>1</v>
      </c>
      <c r="J117" s="1" t="s">
        <v>47</v>
      </c>
      <c r="K117" s="1" t="s">
        <v>48</v>
      </c>
      <c r="L117" s="1">
        <v>0.104</v>
      </c>
      <c r="M117" s="1">
        <v>2.25</v>
      </c>
      <c r="N117" s="1">
        <v>62.9</v>
      </c>
      <c r="O117" s="1" t="s">
        <v>49</v>
      </c>
      <c r="P117" s="1" t="s">
        <v>50</v>
      </c>
      <c r="Q117" s="1">
        <v>0.84</v>
      </c>
      <c r="R117" s="1">
        <v>10.8</v>
      </c>
      <c r="S117" s="1">
        <v>1080</v>
      </c>
    </row>
    <row r="118" spans="1:19" ht="15.75" customHeight="1" x14ac:dyDescent="0.2">
      <c r="A118" s="10">
        <v>46085</v>
      </c>
      <c r="B118" s="11">
        <v>0.5441435185185185</v>
      </c>
      <c r="C118" s="1" t="s">
        <v>122</v>
      </c>
      <c r="D118" s="1" t="s">
        <v>138</v>
      </c>
      <c r="E118" s="1"/>
      <c r="F118" s="1">
        <v>93</v>
      </c>
      <c r="G118" s="1" t="s">
        <v>84</v>
      </c>
      <c r="H118" s="1">
        <v>1</v>
      </c>
      <c r="I118" s="1">
        <v>1</v>
      </c>
      <c r="J118" s="1" t="s">
        <v>47</v>
      </c>
      <c r="K118" s="1" t="s">
        <v>48</v>
      </c>
      <c r="L118" s="1">
        <v>0.159</v>
      </c>
      <c r="M118" s="1">
        <v>3.07</v>
      </c>
      <c r="N118" s="1">
        <v>92</v>
      </c>
      <c r="O118" s="1" t="s">
        <v>49</v>
      </c>
      <c r="P118" s="1" t="s">
        <v>50</v>
      </c>
      <c r="Q118" s="1">
        <v>1.1200000000000001</v>
      </c>
      <c r="R118" s="1">
        <v>14.1</v>
      </c>
      <c r="S118" s="1">
        <v>1430</v>
      </c>
    </row>
    <row r="119" spans="1:19" ht="15.75" customHeight="1" x14ac:dyDescent="0.2">
      <c r="A119" s="10">
        <v>46085</v>
      </c>
      <c r="B119" s="11">
        <v>0.54503472222222227</v>
      </c>
      <c r="C119" s="1" t="s">
        <v>122</v>
      </c>
      <c r="D119" s="1" t="s">
        <v>139</v>
      </c>
      <c r="E119" s="1"/>
      <c r="F119" s="1" t="s">
        <v>56</v>
      </c>
      <c r="G119" s="1" t="s">
        <v>46</v>
      </c>
      <c r="H119" s="1">
        <v>1</v>
      </c>
      <c r="I119" s="1">
        <v>1</v>
      </c>
      <c r="J119" s="1" t="s">
        <v>47</v>
      </c>
      <c r="K119" s="1" t="s">
        <v>48</v>
      </c>
      <c r="L119" s="1">
        <v>0.13500000000000001</v>
      </c>
      <c r="M119" s="1">
        <v>1.62</v>
      </c>
      <c r="N119" s="1">
        <v>40.9</v>
      </c>
      <c r="O119" s="1" t="s">
        <v>49</v>
      </c>
      <c r="P119" s="1" t="s">
        <v>50</v>
      </c>
      <c r="Q119" s="1">
        <v>9.9299999999999996E-3</v>
      </c>
      <c r="R119" s="1">
        <v>0.13700000000000001</v>
      </c>
      <c r="S119" s="1">
        <v>-74.900000000000006</v>
      </c>
    </row>
    <row r="120" spans="1:19" ht="15.75" customHeight="1" x14ac:dyDescent="0.2">
      <c r="A120" s="10">
        <v>46085</v>
      </c>
      <c r="B120" s="11">
        <v>0.54591435185185189</v>
      </c>
      <c r="C120" s="1" t="s">
        <v>122</v>
      </c>
      <c r="D120" s="1" t="s">
        <v>126</v>
      </c>
      <c r="E120" s="1"/>
      <c r="F120" s="1">
        <v>15</v>
      </c>
      <c r="G120" s="1" t="s">
        <v>88</v>
      </c>
      <c r="H120" s="1">
        <v>1</v>
      </c>
      <c r="I120" s="1">
        <v>1</v>
      </c>
      <c r="J120" s="1" t="s">
        <v>47</v>
      </c>
      <c r="K120" s="1" t="s">
        <v>48</v>
      </c>
      <c r="L120" s="1">
        <v>5.5899999999999998E-2</v>
      </c>
      <c r="M120" s="1">
        <v>1.28</v>
      </c>
      <c r="N120" s="1">
        <v>29</v>
      </c>
      <c r="O120" s="1" t="s">
        <v>49</v>
      </c>
      <c r="P120" s="1" t="s">
        <v>50</v>
      </c>
      <c r="Q120" s="1">
        <v>0.38900000000000001</v>
      </c>
      <c r="R120" s="1">
        <v>4.93</v>
      </c>
      <c r="S120" s="1">
        <v>453</v>
      </c>
    </row>
    <row r="121" spans="1:19" ht="15.75" customHeight="1" x14ac:dyDescent="0.2">
      <c r="A121" s="10">
        <v>46085</v>
      </c>
      <c r="B121" s="11">
        <v>0.54680555555555554</v>
      </c>
      <c r="C121" s="1" t="s">
        <v>122</v>
      </c>
      <c r="D121" s="1" t="s">
        <v>140</v>
      </c>
      <c r="E121" s="1"/>
      <c r="F121" s="1">
        <v>94</v>
      </c>
      <c r="G121" s="1" t="s">
        <v>46</v>
      </c>
      <c r="H121" s="1">
        <v>1</v>
      </c>
      <c r="I121" s="1">
        <v>1</v>
      </c>
      <c r="J121" s="1" t="s">
        <v>47</v>
      </c>
      <c r="K121" s="1" t="s">
        <v>48</v>
      </c>
      <c r="L121" s="1">
        <v>0.13100000000000001</v>
      </c>
      <c r="M121" s="1">
        <v>1.91</v>
      </c>
      <c r="N121" s="1">
        <v>51.1</v>
      </c>
      <c r="O121" s="1" t="s">
        <v>49</v>
      </c>
      <c r="P121" s="1" t="s">
        <v>50</v>
      </c>
      <c r="Q121" s="1">
        <v>0.8</v>
      </c>
      <c r="R121" s="1">
        <v>10.4</v>
      </c>
      <c r="S121" s="1">
        <v>1040</v>
      </c>
    </row>
    <row r="122" spans="1:19" ht="15.75" customHeight="1" x14ac:dyDescent="0.2">
      <c r="A122" s="10">
        <v>46085</v>
      </c>
      <c r="B122" s="11">
        <v>0.54768518518518516</v>
      </c>
      <c r="C122" s="1" t="s">
        <v>122</v>
      </c>
      <c r="D122" s="1" t="s">
        <v>141</v>
      </c>
      <c r="E122" s="1"/>
      <c r="F122" s="1">
        <v>95</v>
      </c>
      <c r="G122" s="1" t="s">
        <v>46</v>
      </c>
      <c r="H122" s="1">
        <v>1</v>
      </c>
      <c r="I122" s="1">
        <v>1</v>
      </c>
      <c r="J122" s="1" t="s">
        <v>47</v>
      </c>
      <c r="K122" s="1" t="s">
        <v>48</v>
      </c>
      <c r="L122" s="1">
        <v>3.6700000000000003E-2</v>
      </c>
      <c r="M122" s="1">
        <v>0.88200000000000001</v>
      </c>
      <c r="N122" s="1">
        <v>15.2</v>
      </c>
      <c r="O122" s="1" t="s">
        <v>49</v>
      </c>
      <c r="P122" s="1" t="s">
        <v>50</v>
      </c>
      <c r="Q122" s="1">
        <v>0.34100000000000003</v>
      </c>
      <c r="R122" s="1">
        <v>4.6500000000000004</v>
      </c>
      <c r="S122" s="1">
        <v>423</v>
      </c>
    </row>
    <row r="123" spans="1:19" ht="15.75" customHeight="1" x14ac:dyDescent="0.2">
      <c r="A123" s="10">
        <v>46085</v>
      </c>
      <c r="B123" s="11">
        <v>0.54858796296296297</v>
      </c>
      <c r="C123" s="1" t="s">
        <v>122</v>
      </c>
      <c r="D123" s="1" t="s">
        <v>142</v>
      </c>
      <c r="E123" s="1"/>
      <c r="F123" s="1">
        <v>96</v>
      </c>
      <c r="G123" s="1" t="s">
        <v>46</v>
      </c>
      <c r="H123" s="1">
        <v>1</v>
      </c>
      <c r="I123" s="1">
        <v>1</v>
      </c>
      <c r="J123" s="1" t="s">
        <v>47</v>
      </c>
      <c r="K123" s="1" t="s">
        <v>48</v>
      </c>
      <c r="L123" s="1">
        <v>7.9100000000000004E-2</v>
      </c>
      <c r="M123" s="1">
        <v>1.75</v>
      </c>
      <c r="N123" s="1">
        <v>45.6</v>
      </c>
      <c r="O123" s="1" t="s">
        <v>49</v>
      </c>
      <c r="P123" s="1" t="s">
        <v>50</v>
      </c>
      <c r="Q123" s="1">
        <v>1.05</v>
      </c>
      <c r="R123" s="1">
        <v>13.3</v>
      </c>
      <c r="S123" s="1">
        <v>1350</v>
      </c>
    </row>
    <row r="124" spans="1:19" ht="15.75" customHeight="1" x14ac:dyDescent="0.2">
      <c r="A124" s="10">
        <v>46085</v>
      </c>
      <c r="B124" s="11">
        <v>0.54946759259259259</v>
      </c>
      <c r="C124" s="1" t="s">
        <v>122</v>
      </c>
      <c r="D124" s="1" t="s">
        <v>143</v>
      </c>
      <c r="E124" s="1"/>
      <c r="F124" s="1">
        <v>97</v>
      </c>
      <c r="G124" s="1" t="s">
        <v>46</v>
      </c>
      <c r="H124" s="1">
        <v>1</v>
      </c>
      <c r="I124" s="1">
        <v>1</v>
      </c>
      <c r="J124" s="1" t="s">
        <v>47</v>
      </c>
      <c r="K124" s="1" t="s">
        <v>48</v>
      </c>
      <c r="L124" s="1">
        <v>6.6500000000000004E-2</v>
      </c>
      <c r="M124" s="1">
        <v>1.34</v>
      </c>
      <c r="N124" s="1">
        <v>31.1</v>
      </c>
      <c r="O124" s="1" t="s">
        <v>49</v>
      </c>
      <c r="P124" s="1" t="s">
        <v>50</v>
      </c>
      <c r="Q124" s="1">
        <v>0.84399999999999997</v>
      </c>
      <c r="R124" s="1">
        <v>10.9</v>
      </c>
      <c r="S124" s="1">
        <v>1090</v>
      </c>
    </row>
    <row r="125" spans="1:19" ht="15.75" customHeight="1" x14ac:dyDescent="0.2">
      <c r="A125" s="10">
        <v>46085</v>
      </c>
      <c r="B125" s="11">
        <v>0.55035879629629625</v>
      </c>
      <c r="C125" s="1" t="s">
        <v>122</v>
      </c>
      <c r="D125" s="1" t="s">
        <v>144</v>
      </c>
      <c r="E125" s="1"/>
      <c r="F125" s="1">
        <v>98</v>
      </c>
      <c r="G125" s="1" t="s">
        <v>75</v>
      </c>
      <c r="H125" s="1">
        <v>1</v>
      </c>
      <c r="I125" s="1">
        <v>1</v>
      </c>
      <c r="J125" s="1" t="s">
        <v>47</v>
      </c>
      <c r="K125" s="1" t="s">
        <v>48</v>
      </c>
      <c r="L125" s="1">
        <v>3.32E-2</v>
      </c>
      <c r="M125" s="1">
        <v>0.872</v>
      </c>
      <c r="N125" s="1">
        <v>14.9</v>
      </c>
      <c r="O125" s="1" t="s">
        <v>49</v>
      </c>
      <c r="P125" s="1" t="s">
        <v>50</v>
      </c>
      <c r="Q125" s="1">
        <v>0.40500000000000003</v>
      </c>
      <c r="R125" s="1">
        <v>5.35</v>
      </c>
      <c r="S125" s="1">
        <v>499</v>
      </c>
    </row>
    <row r="126" spans="1:19" ht="15.75" customHeight="1" x14ac:dyDescent="0.2">
      <c r="A126" s="10">
        <v>46085</v>
      </c>
      <c r="B126" s="11">
        <v>0.55125000000000002</v>
      </c>
      <c r="C126" s="1" t="s">
        <v>122</v>
      </c>
      <c r="D126" s="1" t="s">
        <v>145</v>
      </c>
      <c r="E126" s="1"/>
      <c r="F126" s="1">
        <v>104</v>
      </c>
      <c r="G126" s="1" t="s">
        <v>75</v>
      </c>
      <c r="H126" s="1">
        <v>1</v>
      </c>
      <c r="I126" s="1">
        <v>1</v>
      </c>
      <c r="J126" s="1" t="s">
        <v>47</v>
      </c>
      <c r="K126" s="1" t="s">
        <v>48</v>
      </c>
      <c r="L126" s="1">
        <v>3.4700000000000002E-2</v>
      </c>
      <c r="M126" s="1">
        <v>0.873</v>
      </c>
      <c r="N126" s="1">
        <v>14.9</v>
      </c>
      <c r="O126" s="1" t="s">
        <v>49</v>
      </c>
      <c r="P126" s="1" t="s">
        <v>50</v>
      </c>
      <c r="Q126" s="1">
        <v>0.371</v>
      </c>
      <c r="R126" s="1">
        <v>4.9000000000000004</v>
      </c>
      <c r="S126" s="1">
        <v>450</v>
      </c>
    </row>
    <row r="127" spans="1:19" ht="15.75" customHeight="1" x14ac:dyDescent="0.2">
      <c r="A127" s="10">
        <v>46085</v>
      </c>
      <c r="B127" s="11">
        <v>0.55212962962962964</v>
      </c>
      <c r="C127" s="1" t="s">
        <v>122</v>
      </c>
      <c r="D127" s="1" t="s">
        <v>146</v>
      </c>
      <c r="E127" s="1"/>
      <c r="F127" s="1">
        <v>99</v>
      </c>
      <c r="G127" s="1" t="s">
        <v>46</v>
      </c>
      <c r="H127" s="1">
        <v>1</v>
      </c>
      <c r="I127" s="1">
        <v>1</v>
      </c>
      <c r="J127" s="1" t="s">
        <v>47</v>
      </c>
      <c r="K127" s="1" t="s">
        <v>48</v>
      </c>
      <c r="L127" s="1">
        <v>3.0200000000000001E-2</v>
      </c>
      <c r="M127" s="1">
        <v>0.72599999999999998</v>
      </c>
      <c r="N127" s="1">
        <v>9.84</v>
      </c>
      <c r="O127" s="1" t="s">
        <v>49</v>
      </c>
      <c r="P127" s="1" t="s">
        <v>50</v>
      </c>
      <c r="Q127" s="1">
        <v>0.50900000000000001</v>
      </c>
      <c r="R127" s="1">
        <v>6.64</v>
      </c>
      <c r="S127" s="1">
        <v>638</v>
      </c>
    </row>
    <row r="128" spans="1:19" ht="15.75" customHeight="1" x14ac:dyDescent="0.2">
      <c r="A128" s="10">
        <v>46085</v>
      </c>
      <c r="B128" s="11">
        <v>0.55302083333333329</v>
      </c>
      <c r="C128" s="1" t="s">
        <v>122</v>
      </c>
      <c r="D128" s="1" t="s">
        <v>147</v>
      </c>
      <c r="E128" s="1"/>
      <c r="F128" s="1">
        <v>100</v>
      </c>
      <c r="G128" s="1" t="s">
        <v>46</v>
      </c>
      <c r="H128" s="1">
        <v>1</v>
      </c>
      <c r="I128" s="1">
        <v>1</v>
      </c>
      <c r="J128" s="1" t="s">
        <v>47</v>
      </c>
      <c r="K128" s="1" t="s">
        <v>48</v>
      </c>
      <c r="L128" s="1">
        <v>6.6400000000000001E-2</v>
      </c>
      <c r="M128" s="1">
        <v>1.5</v>
      </c>
      <c r="N128" s="1">
        <v>36.799999999999997</v>
      </c>
      <c r="O128" s="1" t="s">
        <v>49</v>
      </c>
      <c r="P128" s="1" t="s">
        <v>50</v>
      </c>
      <c r="Q128" s="1">
        <v>0.77200000000000002</v>
      </c>
      <c r="R128" s="1">
        <v>9.8699999999999992</v>
      </c>
      <c r="S128" s="1">
        <v>984</v>
      </c>
    </row>
    <row r="129" spans="1:19" ht="15.75" customHeight="1" x14ac:dyDescent="0.2">
      <c r="A129" s="10">
        <v>46085</v>
      </c>
      <c r="B129" s="11">
        <v>0.55390046296296291</v>
      </c>
      <c r="C129" s="1" t="s">
        <v>122</v>
      </c>
      <c r="D129" s="1" t="s">
        <v>148</v>
      </c>
      <c r="E129" s="1"/>
      <c r="F129" s="1">
        <v>101</v>
      </c>
      <c r="G129" s="1" t="s">
        <v>46</v>
      </c>
      <c r="H129" s="1">
        <v>1</v>
      </c>
      <c r="I129" s="1">
        <v>1</v>
      </c>
      <c r="J129" s="1" t="s">
        <v>47</v>
      </c>
      <c r="K129" s="1" t="s">
        <v>48</v>
      </c>
      <c r="L129" s="1">
        <v>6.8400000000000002E-2</v>
      </c>
      <c r="M129" s="1">
        <v>1.5</v>
      </c>
      <c r="N129" s="1">
        <v>36.799999999999997</v>
      </c>
      <c r="O129" s="1" t="s">
        <v>49</v>
      </c>
      <c r="P129" s="1" t="s">
        <v>50</v>
      </c>
      <c r="Q129" s="1">
        <v>1.98</v>
      </c>
      <c r="R129" s="1">
        <v>25.4</v>
      </c>
      <c r="S129" s="1">
        <v>2560</v>
      </c>
    </row>
    <row r="130" spans="1:19" ht="15.75" customHeight="1" x14ac:dyDescent="0.2">
      <c r="A130" s="10">
        <v>46085</v>
      </c>
      <c r="B130" s="11">
        <v>0.55478009259259264</v>
      </c>
      <c r="C130" s="1" t="s">
        <v>122</v>
      </c>
      <c r="D130" s="1" t="s">
        <v>149</v>
      </c>
      <c r="E130" s="1"/>
      <c r="F130" s="1">
        <v>102</v>
      </c>
      <c r="G130" s="1" t="s">
        <v>46</v>
      </c>
      <c r="H130" s="1">
        <v>1</v>
      </c>
      <c r="I130" s="1">
        <v>1</v>
      </c>
      <c r="J130" s="1" t="s">
        <v>47</v>
      </c>
      <c r="K130" s="1" t="s">
        <v>48</v>
      </c>
      <c r="L130" s="1">
        <v>0.16700000000000001</v>
      </c>
      <c r="M130" s="1">
        <v>3.27</v>
      </c>
      <c r="N130" s="1">
        <v>99.1</v>
      </c>
      <c r="O130" s="1" t="s">
        <v>49</v>
      </c>
      <c r="P130" s="1" t="s">
        <v>50</v>
      </c>
      <c r="Q130" s="1">
        <v>2.08</v>
      </c>
      <c r="R130" s="1">
        <v>26.6</v>
      </c>
      <c r="S130" s="1">
        <v>2680</v>
      </c>
    </row>
    <row r="131" spans="1:19" ht="15.75" customHeight="1" x14ac:dyDescent="0.2">
      <c r="A131" s="10">
        <v>46085</v>
      </c>
      <c r="B131" s="11">
        <v>0.5556712962962963</v>
      </c>
      <c r="C131" s="1" t="s">
        <v>122</v>
      </c>
      <c r="D131" s="1" t="s">
        <v>150</v>
      </c>
      <c r="E131" s="1"/>
      <c r="F131" s="1">
        <v>103</v>
      </c>
      <c r="G131" s="1" t="s">
        <v>84</v>
      </c>
      <c r="H131" s="1">
        <v>1</v>
      </c>
      <c r="I131" s="1">
        <v>1</v>
      </c>
      <c r="J131" s="1" t="s">
        <v>47</v>
      </c>
      <c r="K131" s="1" t="s">
        <v>48</v>
      </c>
      <c r="L131" s="1">
        <v>0.13900000000000001</v>
      </c>
      <c r="M131" s="1">
        <v>2.73</v>
      </c>
      <c r="N131" s="1">
        <v>80</v>
      </c>
      <c r="O131" s="1" t="s">
        <v>49</v>
      </c>
      <c r="P131" s="1" t="s">
        <v>50</v>
      </c>
      <c r="Q131" s="1">
        <v>1.08</v>
      </c>
      <c r="R131" s="1">
        <v>13.9</v>
      </c>
      <c r="S131" s="1">
        <v>1400</v>
      </c>
    </row>
    <row r="132" spans="1:19" ht="15.75" customHeight="1" x14ac:dyDescent="0.2">
      <c r="A132" s="10">
        <v>46085</v>
      </c>
      <c r="B132" s="11">
        <v>0.55656249999999996</v>
      </c>
      <c r="C132" s="1" t="s">
        <v>122</v>
      </c>
      <c r="D132" s="1" t="s">
        <v>151</v>
      </c>
      <c r="E132" s="1"/>
      <c r="F132" s="1">
        <v>105</v>
      </c>
      <c r="G132" s="1" t="s">
        <v>84</v>
      </c>
      <c r="H132" s="1">
        <v>1</v>
      </c>
      <c r="I132" s="1">
        <v>1</v>
      </c>
      <c r="J132" s="1" t="s">
        <v>47</v>
      </c>
      <c r="K132" s="1" t="s">
        <v>48</v>
      </c>
      <c r="L132" s="1">
        <v>0.32100000000000001</v>
      </c>
      <c r="M132" s="1">
        <v>6.03</v>
      </c>
      <c r="N132" s="1">
        <v>199</v>
      </c>
      <c r="O132" s="1" t="s">
        <v>49</v>
      </c>
      <c r="P132" s="1" t="s">
        <v>50</v>
      </c>
      <c r="Q132" s="1">
        <v>1.59</v>
      </c>
      <c r="R132" s="1">
        <v>20.399999999999999</v>
      </c>
      <c r="S132" s="1">
        <v>2070</v>
      </c>
    </row>
    <row r="133" spans="1:19" ht="15.75" customHeight="1" x14ac:dyDescent="0.2">
      <c r="A133" s="10">
        <v>46085</v>
      </c>
      <c r="B133" s="11">
        <v>0.55745370370370373</v>
      </c>
      <c r="C133" s="1" t="s">
        <v>122</v>
      </c>
      <c r="D133" s="1" t="s">
        <v>125</v>
      </c>
      <c r="E133" s="1"/>
      <c r="F133" s="1" t="s">
        <v>58</v>
      </c>
      <c r="G133" s="1" t="s">
        <v>46</v>
      </c>
      <c r="H133" s="1">
        <v>1</v>
      </c>
      <c r="I133" s="1">
        <v>1</v>
      </c>
      <c r="J133" s="1" t="s">
        <v>47</v>
      </c>
      <c r="K133" s="1" t="s">
        <v>48</v>
      </c>
      <c r="L133" s="1">
        <v>1.0800000000000001E-2</v>
      </c>
      <c r="M133" s="1">
        <v>0.114</v>
      </c>
      <c r="N133" s="1">
        <v>-11.3</v>
      </c>
      <c r="O133" s="1" t="s">
        <v>49</v>
      </c>
      <c r="P133" s="1" t="s">
        <v>50</v>
      </c>
      <c r="Q133" s="1">
        <v>1.7100000000000001E-2</v>
      </c>
      <c r="R133" s="1">
        <v>0.18099999999999999</v>
      </c>
      <c r="S133" s="1">
        <v>-70.099999999999994</v>
      </c>
    </row>
    <row r="134" spans="1:19" ht="15.75" customHeight="1" x14ac:dyDescent="0.2">
      <c r="A134" s="10">
        <v>46085</v>
      </c>
      <c r="B134" s="11">
        <v>0.55834490740740739</v>
      </c>
      <c r="C134" s="1" t="s">
        <v>122</v>
      </c>
      <c r="D134" s="1" t="s">
        <v>126</v>
      </c>
      <c r="E134" s="1"/>
      <c r="F134" s="1">
        <v>16</v>
      </c>
      <c r="G134" s="1" t="s">
        <v>88</v>
      </c>
      <c r="H134" s="1">
        <v>1</v>
      </c>
      <c r="I134" s="1">
        <v>1</v>
      </c>
      <c r="J134" s="1" t="s">
        <v>47</v>
      </c>
      <c r="K134" s="1" t="s">
        <v>48</v>
      </c>
      <c r="L134" s="1">
        <v>5.4699999999999999E-2</v>
      </c>
      <c r="M134" s="1">
        <v>1.26</v>
      </c>
      <c r="N134" s="1">
        <v>28.5</v>
      </c>
      <c r="O134" s="1" t="s">
        <v>49</v>
      </c>
      <c r="P134" s="1" t="s">
        <v>50</v>
      </c>
      <c r="Q134" s="1">
        <v>0.374</v>
      </c>
      <c r="R134" s="1">
        <v>4.87</v>
      </c>
      <c r="S134" s="1">
        <v>446</v>
      </c>
    </row>
    <row r="135" spans="1:19" ht="15.75" customHeight="1" x14ac:dyDescent="0.2">
      <c r="A135" s="10">
        <v>46085</v>
      </c>
      <c r="B135" s="11">
        <v>0.55922453703703701</v>
      </c>
      <c r="C135" s="1" t="s">
        <v>122</v>
      </c>
      <c r="D135" s="1" t="s">
        <v>51</v>
      </c>
      <c r="E135" s="1"/>
      <c r="F135" s="1" t="s">
        <v>52</v>
      </c>
      <c r="G135" s="1" t="s">
        <v>46</v>
      </c>
      <c r="H135" s="1">
        <v>1</v>
      </c>
      <c r="I135" s="1">
        <v>1</v>
      </c>
      <c r="J135" s="1" t="s">
        <v>47</v>
      </c>
      <c r="K135" s="1" t="s">
        <v>48</v>
      </c>
      <c r="L135" s="1">
        <v>0.13600000000000001</v>
      </c>
      <c r="M135" s="1">
        <v>1.67</v>
      </c>
      <c r="N135" s="1">
        <v>42.5</v>
      </c>
      <c r="O135" s="1" t="s">
        <v>49</v>
      </c>
      <c r="P135" s="1" t="s">
        <v>50</v>
      </c>
      <c r="Q135" s="1">
        <v>1.89</v>
      </c>
      <c r="R135" s="1">
        <v>24.7</v>
      </c>
      <c r="S135" s="1">
        <v>2490</v>
      </c>
    </row>
    <row r="136" spans="1:19" ht="15.75" customHeight="1" x14ac:dyDescent="0.2">
      <c r="A136" s="10">
        <v>46085</v>
      </c>
      <c r="B136" s="11">
        <v>0.56010416666666663</v>
      </c>
      <c r="C136" s="1" t="s">
        <v>122</v>
      </c>
      <c r="D136" s="1" t="s">
        <v>53</v>
      </c>
      <c r="E136" s="1"/>
      <c r="F136" s="1" t="s">
        <v>54</v>
      </c>
      <c r="G136" s="1" t="s">
        <v>46</v>
      </c>
      <c r="H136" s="1">
        <v>1</v>
      </c>
      <c r="I136" s="1">
        <v>1</v>
      </c>
      <c r="J136" s="1" t="s">
        <v>47</v>
      </c>
      <c r="K136" s="1" t="s">
        <v>48</v>
      </c>
      <c r="L136" s="1">
        <v>0.13800000000000001</v>
      </c>
      <c r="M136" s="1">
        <v>1.7</v>
      </c>
      <c r="N136" s="1">
        <v>43.8</v>
      </c>
      <c r="O136" s="1" t="s">
        <v>49</v>
      </c>
      <c r="P136" s="1" t="s">
        <v>50</v>
      </c>
      <c r="Q136" s="1">
        <v>1.91</v>
      </c>
      <c r="R136" s="1">
        <v>24.6</v>
      </c>
      <c r="S136" s="1">
        <v>2480</v>
      </c>
    </row>
    <row r="137" spans="1:19" ht="15.75" customHeight="1" x14ac:dyDescent="0.2">
      <c r="A137" s="10">
        <v>46085</v>
      </c>
      <c r="B137" s="11">
        <v>0.56100694444444443</v>
      </c>
      <c r="C137" s="1" t="s">
        <v>122</v>
      </c>
      <c r="D137" s="1" t="s">
        <v>153</v>
      </c>
      <c r="E137" s="1"/>
      <c r="F137" s="1">
        <v>106</v>
      </c>
      <c r="G137" s="1" t="s">
        <v>46</v>
      </c>
      <c r="H137" s="1">
        <v>1</v>
      </c>
      <c r="I137" s="1">
        <v>1</v>
      </c>
      <c r="J137" s="1" t="s">
        <v>47</v>
      </c>
      <c r="K137" s="1" t="s">
        <v>48</v>
      </c>
      <c r="L137" s="1">
        <v>0.36799999999999999</v>
      </c>
      <c r="M137" s="1">
        <v>6.95</v>
      </c>
      <c r="N137" s="1">
        <v>233</v>
      </c>
      <c r="O137" s="1" t="s">
        <v>49</v>
      </c>
      <c r="P137" s="1" t="s">
        <v>50</v>
      </c>
      <c r="Q137" s="1">
        <v>2</v>
      </c>
      <c r="R137" s="1">
        <v>25.8</v>
      </c>
      <c r="S137" s="1">
        <v>2600</v>
      </c>
    </row>
    <row r="138" spans="1:19" ht="15.75" customHeight="1" x14ac:dyDescent="0.2">
      <c r="A138" s="10">
        <v>46085</v>
      </c>
      <c r="B138" s="11">
        <v>0.5618981481481482</v>
      </c>
      <c r="C138" s="1" t="s">
        <v>122</v>
      </c>
      <c r="D138" s="1" t="s">
        <v>155</v>
      </c>
      <c r="E138" s="1"/>
      <c r="F138" s="1">
        <v>107</v>
      </c>
      <c r="G138" s="1" t="s">
        <v>46</v>
      </c>
      <c r="H138" s="1">
        <v>1</v>
      </c>
      <c r="I138" s="1">
        <v>1</v>
      </c>
      <c r="J138" s="1" t="s">
        <v>47</v>
      </c>
      <c r="K138" s="1" t="s">
        <v>48</v>
      </c>
      <c r="L138" s="1">
        <v>7.0199999999999999E-2</v>
      </c>
      <c r="M138" s="1">
        <v>1.57</v>
      </c>
      <c r="N138" s="1">
        <v>39.1</v>
      </c>
      <c r="O138" s="1" t="s">
        <v>49</v>
      </c>
      <c r="P138" s="1" t="s">
        <v>50</v>
      </c>
      <c r="Q138" s="1">
        <v>1.1599999999999999</v>
      </c>
      <c r="R138" s="1">
        <v>13.5</v>
      </c>
      <c r="S138" s="1">
        <v>1360</v>
      </c>
    </row>
    <row r="139" spans="1:19" ht="15.75" customHeight="1" x14ac:dyDescent="0.2">
      <c r="A139" s="10">
        <v>46085</v>
      </c>
      <c r="B139" s="11">
        <v>0.56278935185185186</v>
      </c>
      <c r="C139" s="1" t="s">
        <v>122</v>
      </c>
      <c r="D139" s="1" t="s">
        <v>156</v>
      </c>
      <c r="E139" s="1"/>
      <c r="F139" s="1">
        <v>108</v>
      </c>
      <c r="G139" s="1" t="s">
        <v>46</v>
      </c>
      <c r="H139" s="1">
        <v>1</v>
      </c>
      <c r="I139" s="1">
        <v>1</v>
      </c>
      <c r="J139" s="1" t="s">
        <v>47</v>
      </c>
      <c r="K139" s="1" t="s">
        <v>48</v>
      </c>
      <c r="L139" s="1">
        <v>7.2099999999999997E-2</v>
      </c>
      <c r="M139" s="1">
        <v>1.58</v>
      </c>
      <c r="N139" s="1">
        <v>39.4</v>
      </c>
      <c r="O139" s="1" t="s">
        <v>49</v>
      </c>
      <c r="P139" s="1" t="s">
        <v>50</v>
      </c>
      <c r="Q139" s="1">
        <v>1.78</v>
      </c>
      <c r="R139" s="1">
        <v>22.8</v>
      </c>
      <c r="S139" s="1">
        <v>2310</v>
      </c>
    </row>
    <row r="140" spans="1:19" ht="15.75" customHeight="1" x14ac:dyDescent="0.2">
      <c r="A140" s="10">
        <v>46085</v>
      </c>
      <c r="B140" s="11">
        <v>0.56368055555555552</v>
      </c>
      <c r="C140" s="1" t="s">
        <v>122</v>
      </c>
      <c r="D140" s="1" t="s">
        <v>157</v>
      </c>
      <c r="E140" s="1"/>
      <c r="F140" s="1">
        <v>109</v>
      </c>
      <c r="G140" s="1" t="s">
        <v>46</v>
      </c>
      <c r="H140" s="1">
        <v>1</v>
      </c>
      <c r="I140" s="1">
        <v>1</v>
      </c>
      <c r="J140" s="1" t="s">
        <v>47</v>
      </c>
      <c r="K140" s="1" t="s">
        <v>48</v>
      </c>
      <c r="L140" s="1">
        <v>9.4399999999999998E-2</v>
      </c>
      <c r="M140" s="1">
        <v>1.85</v>
      </c>
      <c r="N140" s="1">
        <v>49.1</v>
      </c>
      <c r="O140" s="1" t="s">
        <v>49</v>
      </c>
      <c r="P140" s="1" t="s">
        <v>50</v>
      </c>
      <c r="Q140" s="1">
        <v>0.88100000000000001</v>
      </c>
      <c r="R140" s="1">
        <v>11.3</v>
      </c>
      <c r="S140" s="1">
        <v>1140</v>
      </c>
    </row>
    <row r="141" spans="1:19" ht="15.75" customHeight="1" x14ac:dyDescent="0.2">
      <c r="A141" s="10">
        <v>46085</v>
      </c>
      <c r="B141" s="11">
        <v>0.56457175925925929</v>
      </c>
      <c r="C141" s="1" t="s">
        <v>122</v>
      </c>
      <c r="D141" s="1" t="s">
        <v>158</v>
      </c>
      <c r="E141" s="1"/>
      <c r="F141" s="1">
        <v>110</v>
      </c>
      <c r="G141" s="1" t="s">
        <v>75</v>
      </c>
      <c r="H141" s="1">
        <v>1</v>
      </c>
      <c r="I141" s="1">
        <v>1</v>
      </c>
      <c r="J141" s="1" t="s">
        <v>47</v>
      </c>
      <c r="K141" s="1" t="s">
        <v>48</v>
      </c>
      <c r="L141" s="1">
        <v>2.5700000000000001E-2</v>
      </c>
      <c r="M141" s="1">
        <v>0.69699999999999995</v>
      </c>
      <c r="N141" s="1">
        <v>8.81</v>
      </c>
      <c r="O141" s="1" t="s">
        <v>49</v>
      </c>
      <c r="P141" s="1" t="s">
        <v>50</v>
      </c>
      <c r="Q141" s="1">
        <v>0.22600000000000001</v>
      </c>
      <c r="R141" s="1">
        <v>3.03</v>
      </c>
      <c r="S141" s="1">
        <v>245</v>
      </c>
    </row>
    <row r="142" spans="1:19" ht="15.75" customHeight="1" x14ac:dyDescent="0.2">
      <c r="A142" s="10">
        <v>46085</v>
      </c>
      <c r="B142" s="11">
        <v>0.56546296296296295</v>
      </c>
      <c r="C142" s="1" t="s">
        <v>122</v>
      </c>
      <c r="D142" s="1" t="s">
        <v>159</v>
      </c>
      <c r="E142" s="1"/>
      <c r="F142" s="1">
        <v>116</v>
      </c>
      <c r="G142" s="1" t="s">
        <v>75</v>
      </c>
      <c r="H142" s="1">
        <v>1</v>
      </c>
      <c r="I142" s="1">
        <v>1</v>
      </c>
      <c r="J142" s="1" t="s">
        <v>47</v>
      </c>
      <c r="K142" s="1" t="s">
        <v>48</v>
      </c>
      <c r="L142" s="1">
        <v>2.6100000000000002E-2</v>
      </c>
      <c r="M142" s="1">
        <v>0.72499999999999998</v>
      </c>
      <c r="N142" s="1">
        <v>9.7899999999999991</v>
      </c>
      <c r="O142" s="1" t="s">
        <v>49</v>
      </c>
      <c r="P142" s="1" t="s">
        <v>50</v>
      </c>
      <c r="Q142" s="1">
        <v>0.221</v>
      </c>
      <c r="R142" s="1">
        <v>2.87</v>
      </c>
      <c r="S142" s="1">
        <v>228</v>
      </c>
    </row>
    <row r="143" spans="1:19" ht="15.75" customHeight="1" x14ac:dyDescent="0.2">
      <c r="A143" s="10">
        <v>46085</v>
      </c>
      <c r="B143" s="11">
        <v>0.56635416666666671</v>
      </c>
      <c r="C143" s="1" t="s">
        <v>122</v>
      </c>
      <c r="D143" s="1" t="s">
        <v>162</v>
      </c>
      <c r="E143" s="1"/>
      <c r="F143" s="1">
        <v>111</v>
      </c>
      <c r="G143" s="1" t="s">
        <v>46</v>
      </c>
      <c r="H143" s="1">
        <v>1</v>
      </c>
      <c r="I143" s="1">
        <v>1</v>
      </c>
      <c r="J143" s="1" t="s">
        <v>47</v>
      </c>
      <c r="K143" s="1" t="s">
        <v>48</v>
      </c>
      <c r="L143" s="1">
        <v>0.128</v>
      </c>
      <c r="M143" s="1">
        <v>2.62</v>
      </c>
      <c r="N143" s="1">
        <v>76</v>
      </c>
      <c r="O143" s="1" t="s">
        <v>49</v>
      </c>
      <c r="P143" s="1" t="s">
        <v>50</v>
      </c>
      <c r="Q143" s="1">
        <v>1.95</v>
      </c>
      <c r="R143" s="1">
        <v>24.9</v>
      </c>
      <c r="S143" s="1">
        <v>2510</v>
      </c>
    </row>
    <row r="144" spans="1:19" ht="15.75" customHeight="1" x14ac:dyDescent="0.2">
      <c r="A144" s="10">
        <v>46085</v>
      </c>
      <c r="B144" s="11">
        <v>0.56724537037037037</v>
      </c>
      <c r="C144" s="1" t="s">
        <v>122</v>
      </c>
      <c r="D144" s="1" t="s">
        <v>163</v>
      </c>
      <c r="E144" s="1"/>
      <c r="F144" s="1">
        <v>112</v>
      </c>
      <c r="G144" s="1" t="s">
        <v>46</v>
      </c>
      <c r="H144" s="1">
        <v>1</v>
      </c>
      <c r="I144" s="1">
        <v>1</v>
      </c>
      <c r="J144" s="1" t="s">
        <v>47</v>
      </c>
      <c r="K144" s="1" t="s">
        <v>48</v>
      </c>
      <c r="L144" s="1">
        <v>3.1199999999999999E-2</v>
      </c>
      <c r="M144" s="1">
        <v>0.81899999999999995</v>
      </c>
      <c r="N144" s="1">
        <v>13.1</v>
      </c>
      <c r="O144" s="1" t="s">
        <v>49</v>
      </c>
      <c r="P144" s="1" t="s">
        <v>50</v>
      </c>
      <c r="Q144" s="1">
        <v>0.26200000000000001</v>
      </c>
      <c r="R144" s="1">
        <v>3.55</v>
      </c>
      <c r="S144" s="1">
        <v>302</v>
      </c>
    </row>
    <row r="145" spans="1:19" ht="15.75" customHeight="1" x14ac:dyDescent="0.2">
      <c r="A145" s="10">
        <v>46085</v>
      </c>
      <c r="B145" s="11">
        <v>0.56813657407407403</v>
      </c>
      <c r="C145" s="1" t="s">
        <v>122</v>
      </c>
      <c r="D145" s="1" t="s">
        <v>164</v>
      </c>
      <c r="E145" s="1"/>
      <c r="F145" s="1">
        <v>113</v>
      </c>
      <c r="G145" s="1" t="s">
        <v>46</v>
      </c>
      <c r="H145" s="1">
        <v>1</v>
      </c>
      <c r="I145" s="1">
        <v>1</v>
      </c>
      <c r="J145" s="1" t="s">
        <v>47</v>
      </c>
      <c r="K145" s="1" t="s">
        <v>48</v>
      </c>
      <c r="L145" s="1">
        <v>5.3699999999999998E-2</v>
      </c>
      <c r="M145" s="1">
        <v>1.23</v>
      </c>
      <c r="N145" s="1">
        <v>27.4</v>
      </c>
      <c r="O145" s="1" t="s">
        <v>49</v>
      </c>
      <c r="P145" s="1" t="s">
        <v>50</v>
      </c>
      <c r="Q145" s="1">
        <v>0.57599999999999996</v>
      </c>
      <c r="R145" s="1">
        <v>7.46</v>
      </c>
      <c r="S145" s="1">
        <v>726</v>
      </c>
    </row>
    <row r="146" spans="1:19" ht="15.75" customHeight="1" x14ac:dyDescent="0.2">
      <c r="A146" s="10">
        <v>46085</v>
      </c>
      <c r="B146" s="11">
        <v>0.56903935185185184</v>
      </c>
      <c r="C146" s="1" t="s">
        <v>122</v>
      </c>
      <c r="D146" s="1" t="s">
        <v>165</v>
      </c>
      <c r="E146" s="1"/>
      <c r="F146" s="1">
        <v>114</v>
      </c>
      <c r="G146" s="1" t="s">
        <v>46</v>
      </c>
      <c r="H146" s="1">
        <v>1</v>
      </c>
      <c r="I146" s="1">
        <v>1</v>
      </c>
      <c r="J146" s="1" t="s">
        <v>47</v>
      </c>
      <c r="K146" s="1" t="s">
        <v>48</v>
      </c>
      <c r="L146" s="1">
        <v>6.2E-2</v>
      </c>
      <c r="M146" s="1">
        <v>1.36</v>
      </c>
      <c r="N146" s="1">
        <v>31.7</v>
      </c>
      <c r="O146" s="1" t="s">
        <v>49</v>
      </c>
      <c r="P146" s="1" t="s">
        <v>50</v>
      </c>
      <c r="Q146" s="1">
        <v>1.58</v>
      </c>
      <c r="R146" s="1">
        <v>20.100000000000001</v>
      </c>
      <c r="S146" s="1">
        <v>2040</v>
      </c>
    </row>
    <row r="147" spans="1:19" ht="15.75" customHeight="1" x14ac:dyDescent="0.2">
      <c r="A147" s="10">
        <v>46085</v>
      </c>
      <c r="B147" s="11">
        <v>0.56991898148148146</v>
      </c>
      <c r="C147" s="1" t="s">
        <v>122</v>
      </c>
      <c r="D147" s="1" t="s">
        <v>166</v>
      </c>
      <c r="E147" s="1"/>
      <c r="F147" s="1">
        <v>115</v>
      </c>
      <c r="G147" s="1" t="s">
        <v>84</v>
      </c>
      <c r="H147" s="1">
        <v>1</v>
      </c>
      <c r="I147" s="1">
        <v>1</v>
      </c>
      <c r="J147" s="1" t="s">
        <v>47</v>
      </c>
      <c r="K147" s="1" t="s">
        <v>48</v>
      </c>
      <c r="L147" s="1">
        <v>3.6400000000000002E-2</v>
      </c>
      <c r="M147" s="1">
        <v>0.873</v>
      </c>
      <c r="N147" s="1">
        <v>14.9</v>
      </c>
      <c r="O147" s="1" t="s">
        <v>49</v>
      </c>
      <c r="P147" s="1" t="s">
        <v>50</v>
      </c>
      <c r="Q147" s="1">
        <v>0.35099999999999998</v>
      </c>
      <c r="R147" s="1">
        <v>4.66</v>
      </c>
      <c r="S147" s="1">
        <v>423</v>
      </c>
    </row>
    <row r="148" spans="1:19" ht="15.75" customHeight="1" x14ac:dyDescent="0.2">
      <c r="A148" s="10">
        <v>46085</v>
      </c>
      <c r="B148" s="11">
        <v>0.57082175925925926</v>
      </c>
      <c r="C148" s="1" t="s">
        <v>122</v>
      </c>
      <c r="D148" s="1" t="s">
        <v>167</v>
      </c>
      <c r="E148" s="1"/>
      <c r="F148" s="1">
        <v>117</v>
      </c>
      <c r="G148" s="1" t="s">
        <v>84</v>
      </c>
      <c r="H148" s="1">
        <v>1</v>
      </c>
      <c r="I148" s="1">
        <v>1</v>
      </c>
      <c r="J148" s="1" t="s">
        <v>47</v>
      </c>
      <c r="K148" s="1" t="s">
        <v>48</v>
      </c>
      <c r="L148" s="1">
        <v>8.4500000000000006E-2</v>
      </c>
      <c r="M148" s="1">
        <v>1.8</v>
      </c>
      <c r="N148" s="1">
        <v>47.3</v>
      </c>
      <c r="O148" s="1" t="s">
        <v>49</v>
      </c>
      <c r="P148" s="1" t="s">
        <v>50</v>
      </c>
      <c r="Q148" s="1">
        <v>0.69399999999999995</v>
      </c>
      <c r="R148" s="1">
        <v>8.99</v>
      </c>
      <c r="S148" s="1">
        <v>889</v>
      </c>
    </row>
    <row r="149" spans="1:19" ht="15.75" customHeight="1" x14ac:dyDescent="0.2">
      <c r="A149" s="10">
        <v>46085</v>
      </c>
      <c r="B149" s="11">
        <v>0.57170138888888888</v>
      </c>
      <c r="C149" s="1" t="s">
        <v>122</v>
      </c>
      <c r="D149" s="1" t="s">
        <v>168</v>
      </c>
      <c r="E149" s="1"/>
      <c r="F149" s="1">
        <v>2</v>
      </c>
      <c r="G149" s="1" t="s">
        <v>88</v>
      </c>
      <c r="H149" s="1">
        <v>1</v>
      </c>
      <c r="I149" s="1">
        <v>1</v>
      </c>
      <c r="J149" s="1" t="s">
        <v>47</v>
      </c>
      <c r="K149" s="1" t="s">
        <v>48</v>
      </c>
      <c r="L149" s="1">
        <v>0.33200000000000002</v>
      </c>
      <c r="M149" s="1">
        <v>5.61</v>
      </c>
      <c r="N149" s="1">
        <v>183</v>
      </c>
      <c r="O149" s="1" t="s">
        <v>49</v>
      </c>
      <c r="P149" s="1" t="s">
        <v>50</v>
      </c>
      <c r="Q149" s="1">
        <v>1.98</v>
      </c>
      <c r="R149" s="1">
        <v>25.3</v>
      </c>
      <c r="S149" s="1">
        <v>2560</v>
      </c>
    </row>
    <row r="150" spans="1:19" ht="15.75" customHeight="1" x14ac:dyDescent="0.2">
      <c r="A150" s="10">
        <v>46085</v>
      </c>
      <c r="B150" s="11">
        <v>0.57260416666666669</v>
      </c>
      <c r="C150" s="1" t="s">
        <v>122</v>
      </c>
      <c r="D150" s="1" t="s">
        <v>169</v>
      </c>
      <c r="E150" s="1"/>
      <c r="F150" s="1">
        <v>4</v>
      </c>
      <c r="G150" s="1" t="s">
        <v>88</v>
      </c>
      <c r="H150" s="1">
        <v>1</v>
      </c>
      <c r="I150" s="1">
        <v>1</v>
      </c>
      <c r="J150" s="1" t="s">
        <v>47</v>
      </c>
      <c r="K150" s="1" t="s">
        <v>48</v>
      </c>
      <c r="L150" s="1">
        <v>0.23100000000000001</v>
      </c>
      <c r="M150" s="1">
        <v>3.99</v>
      </c>
      <c r="N150" s="1">
        <v>125</v>
      </c>
      <c r="O150" s="1" t="s">
        <v>49</v>
      </c>
      <c r="P150" s="1" t="s">
        <v>50</v>
      </c>
      <c r="Q150" s="1">
        <v>1.65</v>
      </c>
      <c r="R150" s="1">
        <v>21</v>
      </c>
      <c r="S150" s="1">
        <v>2130</v>
      </c>
    </row>
    <row r="151" spans="1:19" ht="15.75" customHeight="1" x14ac:dyDescent="0.2">
      <c r="A151" s="10">
        <v>46085</v>
      </c>
      <c r="B151" s="11">
        <v>0.57348379629629631</v>
      </c>
      <c r="C151" s="1" t="s">
        <v>122</v>
      </c>
      <c r="D151" s="1" t="s">
        <v>170</v>
      </c>
      <c r="E151" s="1"/>
      <c r="F151" s="1">
        <v>6</v>
      </c>
      <c r="G151" s="1" t="s">
        <v>88</v>
      </c>
      <c r="H151" s="1">
        <v>1</v>
      </c>
      <c r="I151" s="1">
        <v>1</v>
      </c>
      <c r="J151" s="1" t="s">
        <v>47</v>
      </c>
      <c r="K151" s="1" t="s">
        <v>48</v>
      </c>
      <c r="L151" s="1">
        <v>0.121</v>
      </c>
      <c r="M151" s="1">
        <v>2.48</v>
      </c>
      <c r="N151" s="1">
        <v>71</v>
      </c>
      <c r="O151" s="1" t="s">
        <v>49</v>
      </c>
      <c r="P151" s="1" t="s">
        <v>50</v>
      </c>
      <c r="Q151" s="1">
        <v>0.76200000000000001</v>
      </c>
      <c r="R151" s="1">
        <v>9.82</v>
      </c>
      <c r="S151" s="1">
        <v>978</v>
      </c>
    </row>
    <row r="152" spans="1:19" ht="15.75" customHeight="1" x14ac:dyDescent="0.2">
      <c r="A152" s="10">
        <v>46085</v>
      </c>
      <c r="B152" s="11">
        <v>0.57437499999999997</v>
      </c>
      <c r="C152" s="1" t="s">
        <v>122</v>
      </c>
      <c r="D152" s="1" t="s">
        <v>126</v>
      </c>
      <c r="E152" s="1"/>
      <c r="F152" s="1">
        <v>8</v>
      </c>
      <c r="G152" s="1" t="s">
        <v>88</v>
      </c>
      <c r="H152" s="1">
        <v>1</v>
      </c>
      <c r="I152" s="1">
        <v>1</v>
      </c>
      <c r="J152" s="1" t="s">
        <v>47</v>
      </c>
      <c r="K152" s="1" t="s">
        <v>48</v>
      </c>
      <c r="L152" s="1">
        <v>5.6599999999999998E-2</v>
      </c>
      <c r="M152" s="1">
        <v>1.28</v>
      </c>
      <c r="N152" s="1">
        <v>28.9</v>
      </c>
      <c r="O152" s="1" t="s">
        <v>49</v>
      </c>
      <c r="P152" s="1" t="s">
        <v>50</v>
      </c>
      <c r="Q152" s="1">
        <v>0.37</v>
      </c>
      <c r="R152" s="1">
        <v>5.0599999999999996</v>
      </c>
      <c r="S152" s="1">
        <v>467</v>
      </c>
    </row>
    <row r="153" spans="1:19" ht="15.75" customHeight="1" x14ac:dyDescent="0.2">
      <c r="A153" s="10">
        <v>46085</v>
      </c>
      <c r="B153" s="11">
        <v>0.57525462962962959</v>
      </c>
      <c r="C153" s="1" t="s">
        <v>122</v>
      </c>
      <c r="D153" s="1" t="s">
        <v>171</v>
      </c>
      <c r="E153" s="1"/>
      <c r="F153" s="1">
        <v>10</v>
      </c>
      <c r="G153" s="1" t="s">
        <v>88</v>
      </c>
      <c r="H153" s="1">
        <v>1</v>
      </c>
      <c r="I153" s="1">
        <v>1</v>
      </c>
      <c r="J153" s="1" t="s">
        <v>47</v>
      </c>
      <c r="K153" s="1" t="s">
        <v>48</v>
      </c>
      <c r="L153" s="1">
        <v>3.4599999999999999E-2</v>
      </c>
      <c r="M153" s="1">
        <v>0.97</v>
      </c>
      <c r="N153" s="1">
        <v>18.3</v>
      </c>
      <c r="O153" s="1" t="s">
        <v>49</v>
      </c>
      <c r="P153" s="1" t="s">
        <v>50</v>
      </c>
      <c r="Q153" s="1">
        <v>0.20300000000000001</v>
      </c>
      <c r="R153" s="1">
        <v>2.77</v>
      </c>
      <c r="S153" s="1">
        <v>216</v>
      </c>
    </row>
    <row r="154" spans="1:19" ht="15.75" customHeight="1" x14ac:dyDescent="0.2">
      <c r="A154" s="10">
        <v>46085</v>
      </c>
      <c r="B154" s="11">
        <v>0.57613425925925921</v>
      </c>
      <c r="C154" s="1" t="s">
        <v>122</v>
      </c>
      <c r="D154" s="1" t="s">
        <v>172</v>
      </c>
      <c r="E154" s="1"/>
      <c r="F154" s="1">
        <v>12</v>
      </c>
      <c r="G154" s="1" t="s">
        <v>88</v>
      </c>
      <c r="H154" s="1">
        <v>1</v>
      </c>
      <c r="I154" s="1">
        <v>1</v>
      </c>
      <c r="J154" s="1" t="s">
        <v>47</v>
      </c>
      <c r="K154" s="1" t="s">
        <v>48</v>
      </c>
      <c r="L154" s="1">
        <v>2.4E-2</v>
      </c>
      <c r="M154" s="1">
        <v>0.61499999999999999</v>
      </c>
      <c r="N154" s="1">
        <v>6</v>
      </c>
      <c r="O154" s="1" t="s">
        <v>49</v>
      </c>
      <c r="P154" s="1" t="s">
        <v>50</v>
      </c>
      <c r="Q154" s="1">
        <v>0.14000000000000001</v>
      </c>
      <c r="R154" s="1">
        <v>2</v>
      </c>
      <c r="S154" s="1">
        <v>132</v>
      </c>
    </row>
    <row r="155" spans="1:19" ht="15.75" customHeight="1" x14ac:dyDescent="0.2">
      <c r="A155" s="10">
        <v>46085</v>
      </c>
      <c r="B155" s="11">
        <v>0.57702546296296298</v>
      </c>
      <c r="C155" s="1" t="s">
        <v>122</v>
      </c>
      <c r="D155" s="1" t="s">
        <v>173</v>
      </c>
      <c r="E155" s="1"/>
      <c r="F155" s="1">
        <v>14</v>
      </c>
      <c r="G155" s="1" t="s">
        <v>88</v>
      </c>
      <c r="H155" s="1">
        <v>1</v>
      </c>
      <c r="I155" s="1">
        <v>1</v>
      </c>
      <c r="J155" s="1" t="s">
        <v>47</v>
      </c>
      <c r="K155" s="1" t="s">
        <v>48</v>
      </c>
      <c r="L155" s="1">
        <v>1.72E-2</v>
      </c>
      <c r="M155" s="1">
        <v>0.443</v>
      </c>
      <c r="N155" s="1">
        <v>5.8400000000000001E-2</v>
      </c>
      <c r="O155" s="1" t="s">
        <v>49</v>
      </c>
      <c r="P155" s="1" t="s">
        <v>50</v>
      </c>
      <c r="Q155" s="1">
        <v>8.6999999999999994E-2</v>
      </c>
      <c r="R155" s="1">
        <v>1.17</v>
      </c>
      <c r="S155" s="1">
        <v>39.6</v>
      </c>
    </row>
    <row r="156" spans="1:19" ht="15.75" customHeight="1" x14ac:dyDescent="0.2">
      <c r="A156" s="10">
        <v>46085</v>
      </c>
      <c r="B156" s="11">
        <v>0.57791666666666663</v>
      </c>
      <c r="C156" s="1" t="s">
        <v>122</v>
      </c>
      <c r="D156" s="1" t="s">
        <v>174</v>
      </c>
      <c r="E156" s="1"/>
      <c r="F156" s="1">
        <v>118</v>
      </c>
      <c r="G156" s="1" t="s">
        <v>46</v>
      </c>
      <c r="H156" s="1">
        <v>1</v>
      </c>
      <c r="I156" s="1">
        <v>1</v>
      </c>
      <c r="J156" s="1" t="s">
        <v>47</v>
      </c>
      <c r="K156" s="1" t="s">
        <v>48</v>
      </c>
      <c r="L156" s="1">
        <v>6.1499999999999999E-2</v>
      </c>
      <c r="M156" s="1">
        <v>1.39</v>
      </c>
      <c r="N156" s="1">
        <v>33</v>
      </c>
      <c r="O156" s="1" t="s">
        <v>49</v>
      </c>
      <c r="P156" s="1" t="s">
        <v>50</v>
      </c>
      <c r="Q156" s="1">
        <v>0.84399999999999997</v>
      </c>
      <c r="R156" s="1">
        <v>10.4</v>
      </c>
      <c r="S156" s="1">
        <v>1040</v>
      </c>
    </row>
    <row r="157" spans="1:19" ht="15.75" customHeight="1" x14ac:dyDescent="0.2">
      <c r="A157" s="10">
        <v>46085</v>
      </c>
      <c r="B157" s="11">
        <v>0.57879629629629625</v>
      </c>
      <c r="C157" s="1" t="s">
        <v>122</v>
      </c>
      <c r="D157" s="1" t="s">
        <v>175</v>
      </c>
      <c r="E157" s="1"/>
      <c r="F157" s="1">
        <v>119</v>
      </c>
      <c r="G157" s="1" t="s">
        <v>46</v>
      </c>
      <c r="H157" s="1">
        <v>1</v>
      </c>
      <c r="I157" s="1">
        <v>1</v>
      </c>
      <c r="J157" s="1" t="s">
        <v>47</v>
      </c>
      <c r="K157" s="1" t="s">
        <v>48</v>
      </c>
      <c r="L157" s="1">
        <v>2.7099999999999999E-2</v>
      </c>
      <c r="M157" s="1">
        <v>0.73299999999999998</v>
      </c>
      <c r="N157" s="1">
        <v>10.1</v>
      </c>
      <c r="O157" s="1" t="s">
        <v>49</v>
      </c>
      <c r="P157" s="1" t="s">
        <v>50</v>
      </c>
      <c r="Q157" s="1">
        <v>0.38700000000000001</v>
      </c>
      <c r="R157" s="1">
        <v>5.09</v>
      </c>
      <c r="S157" s="1">
        <v>470</v>
      </c>
    </row>
    <row r="158" spans="1:19" ht="15.75" customHeight="1" x14ac:dyDescent="0.2">
      <c r="A158" s="10">
        <v>46085</v>
      </c>
      <c r="B158" s="11">
        <v>0.57968750000000002</v>
      </c>
      <c r="C158" s="1" t="s">
        <v>122</v>
      </c>
      <c r="D158" s="1" t="s">
        <v>176</v>
      </c>
      <c r="E158" s="1"/>
      <c r="F158" s="1">
        <v>120</v>
      </c>
      <c r="G158" s="1" t="s">
        <v>46</v>
      </c>
      <c r="H158" s="1">
        <v>1</v>
      </c>
      <c r="I158" s="1">
        <v>1</v>
      </c>
      <c r="J158" s="1" t="s">
        <v>47</v>
      </c>
      <c r="K158" s="1" t="s">
        <v>48</v>
      </c>
      <c r="L158" s="1">
        <v>7.8399999999999997E-2</v>
      </c>
      <c r="M158" s="1">
        <v>1.65</v>
      </c>
      <c r="N158" s="1">
        <v>41.9</v>
      </c>
      <c r="O158" s="1" t="s">
        <v>49</v>
      </c>
      <c r="P158" s="1" t="s">
        <v>50</v>
      </c>
      <c r="Q158" s="1">
        <v>0.81799999999999995</v>
      </c>
      <c r="R158" s="1">
        <v>10.6</v>
      </c>
      <c r="S158" s="1">
        <v>1060</v>
      </c>
    </row>
    <row r="159" spans="1:19" ht="15.75" customHeight="1" x14ac:dyDescent="0.2">
      <c r="A159" s="10">
        <v>46085</v>
      </c>
      <c r="B159" s="11">
        <v>0.58059027777777783</v>
      </c>
      <c r="C159" s="1" t="s">
        <v>122</v>
      </c>
      <c r="D159" s="1" t="s">
        <v>177</v>
      </c>
      <c r="E159" s="1"/>
      <c r="F159" s="1">
        <v>121</v>
      </c>
      <c r="G159" s="1" t="s">
        <v>46</v>
      </c>
      <c r="H159" s="1">
        <v>1</v>
      </c>
      <c r="I159" s="1">
        <v>1</v>
      </c>
      <c r="J159" s="1" t="s">
        <v>47</v>
      </c>
      <c r="K159" s="1" t="s">
        <v>48</v>
      </c>
      <c r="L159" s="1">
        <v>3.6400000000000002E-2</v>
      </c>
      <c r="M159" s="1">
        <v>0.98</v>
      </c>
      <c r="N159" s="1">
        <v>18.600000000000001</v>
      </c>
      <c r="O159" s="1" t="s">
        <v>49</v>
      </c>
      <c r="P159" s="1" t="s">
        <v>50</v>
      </c>
      <c r="Q159" s="1">
        <v>0.34399999999999997</v>
      </c>
      <c r="R159" s="1">
        <v>4.5</v>
      </c>
      <c r="S159" s="1">
        <v>406</v>
      </c>
    </row>
    <row r="160" spans="1:19" ht="15.75" customHeight="1" x14ac:dyDescent="0.2">
      <c r="A160" s="10">
        <v>46085</v>
      </c>
      <c r="B160" s="11">
        <v>0.58148148148148149</v>
      </c>
      <c r="C160" s="1" t="s">
        <v>122</v>
      </c>
      <c r="D160" s="1" t="s">
        <v>178</v>
      </c>
      <c r="E160" s="1"/>
      <c r="F160" s="1">
        <v>122</v>
      </c>
      <c r="G160" s="1" t="s">
        <v>75</v>
      </c>
      <c r="H160" s="1">
        <v>1</v>
      </c>
      <c r="I160" s="1">
        <v>1</v>
      </c>
      <c r="J160" s="1" t="s">
        <v>47</v>
      </c>
      <c r="K160" s="1" t="s">
        <v>48</v>
      </c>
      <c r="L160" s="1">
        <v>8.0100000000000005E-2</v>
      </c>
      <c r="M160" s="1">
        <v>1.49</v>
      </c>
      <c r="N160" s="1">
        <v>36.5</v>
      </c>
      <c r="O160" s="1" t="s">
        <v>49</v>
      </c>
      <c r="P160" s="1" t="s">
        <v>50</v>
      </c>
      <c r="Q160" s="1">
        <v>1.35</v>
      </c>
      <c r="R160" s="1">
        <v>17</v>
      </c>
      <c r="S160" s="1">
        <v>1730</v>
      </c>
    </row>
    <row r="161" spans="1:19" ht="15.75" customHeight="1" x14ac:dyDescent="0.2">
      <c r="A161" s="10">
        <v>46085</v>
      </c>
      <c r="B161" s="11">
        <v>0.58236111111111111</v>
      </c>
      <c r="C161" s="1" t="s">
        <v>122</v>
      </c>
      <c r="D161" s="1" t="s">
        <v>179</v>
      </c>
      <c r="E161" s="1"/>
      <c r="F161" s="1">
        <v>128</v>
      </c>
      <c r="G161" s="1" t="s">
        <v>75</v>
      </c>
      <c r="H161" s="1">
        <v>1</v>
      </c>
      <c r="I161" s="1">
        <v>1</v>
      </c>
      <c r="J161" s="1" t="s">
        <v>47</v>
      </c>
      <c r="K161" s="1" t="s">
        <v>48</v>
      </c>
      <c r="L161" s="1">
        <v>6.8400000000000002E-2</v>
      </c>
      <c r="M161" s="1">
        <v>1.51</v>
      </c>
      <c r="N161" s="1">
        <v>37.1</v>
      </c>
      <c r="O161" s="1" t="s">
        <v>49</v>
      </c>
      <c r="P161" s="1" t="s">
        <v>50</v>
      </c>
      <c r="Q161" s="1">
        <v>1.0900000000000001</v>
      </c>
      <c r="R161" s="1">
        <v>13.7</v>
      </c>
      <c r="S161" s="1">
        <v>1380</v>
      </c>
    </row>
    <row r="162" spans="1:19" ht="15.75" customHeight="1" x14ac:dyDescent="0.2">
      <c r="A162" s="10">
        <v>46085</v>
      </c>
      <c r="B162" s="11">
        <v>0.58325231481481477</v>
      </c>
      <c r="C162" s="1" t="s">
        <v>122</v>
      </c>
      <c r="D162" s="1" t="s">
        <v>180</v>
      </c>
      <c r="E162" s="1"/>
      <c r="F162" s="1">
        <v>123</v>
      </c>
      <c r="G162" s="1" t="s">
        <v>46</v>
      </c>
      <c r="H162" s="1">
        <v>1</v>
      </c>
      <c r="I162" s="1">
        <v>1</v>
      </c>
      <c r="J162" s="1" t="s">
        <v>47</v>
      </c>
      <c r="K162" s="1" t="s">
        <v>48</v>
      </c>
      <c r="L162" s="1">
        <v>2.7300000000000001E-2</v>
      </c>
      <c r="M162" s="1">
        <v>0.78500000000000003</v>
      </c>
      <c r="N162" s="1">
        <v>11.9</v>
      </c>
      <c r="O162" s="1" t="s">
        <v>49</v>
      </c>
      <c r="P162" s="1" t="s">
        <v>50</v>
      </c>
      <c r="Q162" s="1">
        <v>0.22500000000000001</v>
      </c>
      <c r="R162" s="1">
        <v>3.06</v>
      </c>
      <c r="S162" s="1">
        <v>249</v>
      </c>
    </row>
    <row r="163" spans="1:19" ht="15.75" customHeight="1" x14ac:dyDescent="0.2">
      <c r="A163" s="10">
        <v>46085</v>
      </c>
      <c r="B163" s="11">
        <v>0.58414351851851853</v>
      </c>
      <c r="C163" s="1" t="s">
        <v>122</v>
      </c>
      <c r="D163" s="1" t="s">
        <v>181</v>
      </c>
      <c r="E163" s="1"/>
      <c r="F163" s="1">
        <v>124</v>
      </c>
      <c r="G163" s="1" t="s">
        <v>46</v>
      </c>
      <c r="H163" s="1">
        <v>1</v>
      </c>
      <c r="I163" s="1">
        <v>1</v>
      </c>
      <c r="J163" s="1" t="s">
        <v>47</v>
      </c>
      <c r="K163" s="1" t="s">
        <v>48</v>
      </c>
      <c r="L163" s="1">
        <v>0.08</v>
      </c>
      <c r="M163" s="1">
        <v>1.75</v>
      </c>
      <c r="N163" s="1">
        <v>45.5</v>
      </c>
      <c r="O163" s="1" t="s">
        <v>49</v>
      </c>
      <c r="P163" s="1" t="s">
        <v>50</v>
      </c>
      <c r="Q163" s="1">
        <v>0.46200000000000002</v>
      </c>
      <c r="R163" s="1">
        <v>6.22</v>
      </c>
      <c r="S163" s="1">
        <v>593</v>
      </c>
    </row>
    <row r="164" spans="1:19" ht="15.75" customHeight="1" x14ac:dyDescent="0.2">
      <c r="A164" s="10">
        <v>46085</v>
      </c>
      <c r="B164" s="11">
        <v>0.58503472222222219</v>
      </c>
      <c r="C164" s="1" t="s">
        <v>122</v>
      </c>
      <c r="D164" s="1" t="s">
        <v>182</v>
      </c>
      <c r="E164" s="1"/>
      <c r="F164" s="1">
        <v>125</v>
      </c>
      <c r="G164" s="1" t="s">
        <v>46</v>
      </c>
      <c r="H164" s="1">
        <v>1</v>
      </c>
      <c r="I164" s="1">
        <v>1</v>
      </c>
      <c r="J164" s="1" t="s">
        <v>47</v>
      </c>
      <c r="K164" s="1" t="s">
        <v>48</v>
      </c>
      <c r="L164" s="1">
        <v>2.52E-2</v>
      </c>
      <c r="M164" s="1">
        <v>0.67100000000000004</v>
      </c>
      <c r="N164" s="1">
        <v>7.94</v>
      </c>
      <c r="O164" s="1" t="s">
        <v>49</v>
      </c>
      <c r="P164" s="1" t="s">
        <v>50</v>
      </c>
      <c r="Q164" s="1">
        <v>0.34100000000000003</v>
      </c>
      <c r="R164" s="1">
        <v>3.78</v>
      </c>
      <c r="S164" s="1">
        <v>327</v>
      </c>
    </row>
    <row r="165" spans="1:19" ht="15.75" customHeight="1" x14ac:dyDescent="0.2">
      <c r="A165" s="10">
        <v>46085</v>
      </c>
      <c r="B165" s="11">
        <v>0.5859375</v>
      </c>
      <c r="C165" s="1" t="s">
        <v>122</v>
      </c>
      <c r="D165" s="1" t="s">
        <v>183</v>
      </c>
      <c r="E165" s="1"/>
      <c r="F165" s="1">
        <v>126</v>
      </c>
      <c r="G165" s="1" t="s">
        <v>46</v>
      </c>
      <c r="H165" s="1">
        <v>1</v>
      </c>
      <c r="I165" s="1">
        <v>1</v>
      </c>
      <c r="J165" s="1" t="s">
        <v>47</v>
      </c>
      <c r="K165" s="1" t="s">
        <v>48</v>
      </c>
      <c r="L165" s="1">
        <v>2.5399999999999999E-2</v>
      </c>
      <c r="M165" s="1">
        <v>0.69799999999999995</v>
      </c>
      <c r="N165" s="1">
        <v>8.86</v>
      </c>
      <c r="O165" s="1" t="s">
        <v>49</v>
      </c>
      <c r="P165" s="1" t="s">
        <v>50</v>
      </c>
      <c r="Q165" s="1">
        <v>0.40799999999999997</v>
      </c>
      <c r="R165" s="1">
        <v>5.37</v>
      </c>
      <c r="S165" s="1">
        <v>501</v>
      </c>
    </row>
    <row r="166" spans="1:19" ht="15.75" customHeight="1" x14ac:dyDescent="0.2">
      <c r="A166" s="10">
        <v>46085</v>
      </c>
      <c r="B166" s="11">
        <v>0.58682870370370366</v>
      </c>
      <c r="C166" s="1" t="s">
        <v>122</v>
      </c>
      <c r="D166" s="1" t="s">
        <v>184</v>
      </c>
      <c r="E166" s="1"/>
      <c r="F166" s="1">
        <v>127</v>
      </c>
      <c r="G166" s="1" t="s">
        <v>84</v>
      </c>
      <c r="H166" s="1">
        <v>1</v>
      </c>
      <c r="I166" s="1">
        <v>1</v>
      </c>
      <c r="J166" s="1" t="s">
        <v>47</v>
      </c>
      <c r="K166" s="1" t="s">
        <v>48</v>
      </c>
      <c r="L166" s="1">
        <v>5.8400000000000001E-2</v>
      </c>
      <c r="M166" s="1">
        <v>1.35</v>
      </c>
      <c r="N166" s="1">
        <v>31.6</v>
      </c>
      <c r="O166" s="1" t="s">
        <v>49</v>
      </c>
      <c r="P166" s="1" t="s">
        <v>50</v>
      </c>
      <c r="Q166" s="1">
        <v>0.92700000000000005</v>
      </c>
      <c r="R166" s="1">
        <v>12</v>
      </c>
      <c r="S166" s="1">
        <v>1210</v>
      </c>
    </row>
    <row r="167" spans="1:19" ht="15.75" customHeight="1" x14ac:dyDescent="0.2">
      <c r="A167" s="10">
        <v>46085</v>
      </c>
      <c r="B167" s="11">
        <v>0.58771990740740743</v>
      </c>
      <c r="C167" s="1" t="s">
        <v>122</v>
      </c>
      <c r="D167" s="1" t="s">
        <v>185</v>
      </c>
      <c r="E167" s="1"/>
      <c r="F167" s="1">
        <v>129</v>
      </c>
      <c r="G167" s="1" t="s">
        <v>84</v>
      </c>
      <c r="H167" s="1">
        <v>1</v>
      </c>
      <c r="I167" s="1">
        <v>1</v>
      </c>
      <c r="J167" s="1" t="s">
        <v>47</v>
      </c>
      <c r="K167" s="1" t="s">
        <v>48</v>
      </c>
      <c r="L167" s="1">
        <v>0.106</v>
      </c>
      <c r="M167" s="1">
        <v>2.17</v>
      </c>
      <c r="N167" s="1">
        <v>60.2</v>
      </c>
      <c r="O167" s="1" t="s">
        <v>49</v>
      </c>
      <c r="P167" s="1" t="s">
        <v>50</v>
      </c>
      <c r="Q167" s="1">
        <v>1.1499999999999999</v>
      </c>
      <c r="R167" s="1">
        <v>14.9</v>
      </c>
      <c r="S167" s="1">
        <v>1510</v>
      </c>
    </row>
    <row r="168" spans="1:19" ht="15.75" customHeight="1" x14ac:dyDescent="0.2">
      <c r="A168" s="10">
        <v>46085</v>
      </c>
      <c r="B168" s="11">
        <v>0.58861111111111108</v>
      </c>
      <c r="C168" s="1" t="s">
        <v>122</v>
      </c>
      <c r="D168" s="1" t="s">
        <v>125</v>
      </c>
      <c r="E168" s="1"/>
      <c r="F168" s="1" t="s">
        <v>58</v>
      </c>
      <c r="G168" s="1" t="s">
        <v>46</v>
      </c>
      <c r="H168" s="1">
        <v>1</v>
      </c>
      <c r="I168" s="1">
        <v>1</v>
      </c>
      <c r="J168" s="1" t="s">
        <v>47</v>
      </c>
      <c r="K168" s="1" t="s">
        <v>48</v>
      </c>
      <c r="L168" s="1">
        <v>1.3100000000000001E-2</v>
      </c>
      <c r="M168" s="1">
        <v>0.151</v>
      </c>
      <c r="N168" s="1">
        <v>-10</v>
      </c>
      <c r="O168" s="1" t="s">
        <v>49</v>
      </c>
      <c r="P168" s="1" t="s">
        <v>50</v>
      </c>
      <c r="Q168" s="1">
        <v>2.4E-2</v>
      </c>
      <c r="R168" s="1">
        <v>0.311</v>
      </c>
      <c r="S168" s="1">
        <v>-55.6</v>
      </c>
    </row>
    <row r="169" spans="1:19" ht="15.75" customHeight="1" x14ac:dyDescent="0.2">
      <c r="A169" s="10">
        <v>46085</v>
      </c>
      <c r="B169" s="11">
        <v>0.58950231481481485</v>
      </c>
      <c r="C169" s="1" t="s">
        <v>122</v>
      </c>
      <c r="D169" s="1" t="s">
        <v>126</v>
      </c>
      <c r="E169" s="1"/>
      <c r="F169" s="1">
        <v>17</v>
      </c>
      <c r="G169" s="1" t="s">
        <v>88</v>
      </c>
      <c r="H169" s="1">
        <v>1</v>
      </c>
      <c r="I169" s="1">
        <v>1</v>
      </c>
      <c r="J169" s="1" t="s">
        <v>47</v>
      </c>
      <c r="K169" s="1" t="s">
        <v>48</v>
      </c>
      <c r="L169" s="1">
        <v>5.6300000000000003E-2</v>
      </c>
      <c r="M169" s="1">
        <v>1.29</v>
      </c>
      <c r="N169" s="1">
        <v>29.4</v>
      </c>
      <c r="O169" s="1" t="s">
        <v>49</v>
      </c>
      <c r="P169" s="1" t="s">
        <v>50</v>
      </c>
      <c r="Q169" s="1">
        <v>0.46300000000000002</v>
      </c>
      <c r="R169" s="1">
        <v>6.19</v>
      </c>
      <c r="S169" s="1">
        <v>590</v>
      </c>
    </row>
    <row r="170" spans="1:19" ht="15.75" customHeight="1" x14ac:dyDescent="0.2">
      <c r="A170" s="10">
        <v>46085</v>
      </c>
      <c r="B170" s="11">
        <v>0.59038194444444447</v>
      </c>
      <c r="C170" s="1" t="s">
        <v>122</v>
      </c>
      <c r="D170" s="1" t="s">
        <v>51</v>
      </c>
      <c r="E170" s="1"/>
      <c r="F170" s="1" t="s">
        <v>52</v>
      </c>
      <c r="G170" s="1" t="s">
        <v>46</v>
      </c>
      <c r="H170" s="1">
        <v>1</v>
      </c>
      <c r="I170" s="1">
        <v>1</v>
      </c>
      <c r="J170" s="1" t="s">
        <v>47</v>
      </c>
      <c r="K170" s="1" t="s">
        <v>48</v>
      </c>
      <c r="L170" s="1">
        <v>0.13700000000000001</v>
      </c>
      <c r="M170" s="1">
        <v>1.65</v>
      </c>
      <c r="N170" s="1">
        <v>41.9</v>
      </c>
      <c r="O170" s="1" t="s">
        <v>49</v>
      </c>
      <c r="P170" s="1" t="s">
        <v>50</v>
      </c>
      <c r="Q170" s="1">
        <v>1.89</v>
      </c>
      <c r="R170" s="1">
        <v>25.4</v>
      </c>
      <c r="S170" s="1">
        <v>2560</v>
      </c>
    </row>
    <row r="171" spans="1:19" ht="15.75" customHeight="1" x14ac:dyDescent="0.2">
      <c r="A171" s="10">
        <v>46085</v>
      </c>
      <c r="B171" s="11">
        <v>0.59126157407407409</v>
      </c>
      <c r="C171" s="1" t="s">
        <v>122</v>
      </c>
      <c r="D171" s="1" t="s">
        <v>53</v>
      </c>
      <c r="E171" s="1"/>
      <c r="F171" s="1" t="s">
        <v>54</v>
      </c>
      <c r="G171" s="1" t="s">
        <v>46</v>
      </c>
      <c r="H171" s="1">
        <v>1</v>
      </c>
      <c r="I171" s="1">
        <v>1</v>
      </c>
      <c r="J171" s="1" t="s">
        <v>47</v>
      </c>
      <c r="K171" s="1" t="s">
        <v>48</v>
      </c>
      <c r="L171" s="1">
        <v>0.13500000000000001</v>
      </c>
      <c r="M171" s="1">
        <v>1.66</v>
      </c>
      <c r="N171" s="1">
        <v>42.2</v>
      </c>
      <c r="O171" s="1" t="s">
        <v>49</v>
      </c>
      <c r="P171" s="1" t="s">
        <v>50</v>
      </c>
      <c r="Q171" s="1">
        <v>1.74</v>
      </c>
      <c r="R171" s="1">
        <v>22.2</v>
      </c>
      <c r="S171" s="1">
        <v>2250</v>
      </c>
    </row>
    <row r="172" spans="1:19" ht="15.75" customHeight="1" x14ac:dyDescent="0.2">
      <c r="A172" s="10">
        <v>46085</v>
      </c>
      <c r="B172" s="11">
        <v>0.5921643518518519</v>
      </c>
      <c r="C172" s="1" t="s">
        <v>122</v>
      </c>
      <c r="D172" s="1" t="s">
        <v>186</v>
      </c>
      <c r="E172" s="1"/>
      <c r="F172" s="1">
        <v>130</v>
      </c>
      <c r="G172" s="1" t="s">
        <v>46</v>
      </c>
      <c r="H172" s="1">
        <v>1</v>
      </c>
      <c r="I172" s="1">
        <v>1</v>
      </c>
      <c r="J172" s="1" t="s">
        <v>47</v>
      </c>
      <c r="K172" s="1" t="s">
        <v>48</v>
      </c>
      <c r="L172" s="1">
        <v>0.32200000000000001</v>
      </c>
      <c r="M172" s="1">
        <v>6.15</v>
      </c>
      <c r="N172" s="1">
        <v>203</v>
      </c>
      <c r="O172" s="1" t="s">
        <v>49</v>
      </c>
      <c r="P172" s="1" t="s">
        <v>50</v>
      </c>
      <c r="Q172" s="1">
        <v>1.92</v>
      </c>
      <c r="R172" s="1">
        <v>24.4</v>
      </c>
      <c r="S172" s="1">
        <v>2460</v>
      </c>
    </row>
    <row r="173" spans="1:19" ht="15.75" customHeight="1" x14ac:dyDescent="0.2">
      <c r="A173" s="10">
        <v>46085</v>
      </c>
      <c r="B173" s="11">
        <v>0.59305555555555556</v>
      </c>
      <c r="C173" s="1" t="s">
        <v>122</v>
      </c>
      <c r="D173" s="1" t="s">
        <v>187</v>
      </c>
      <c r="E173" s="1"/>
      <c r="F173" s="1">
        <v>131</v>
      </c>
      <c r="G173" s="1" t="s">
        <v>46</v>
      </c>
      <c r="H173" s="1">
        <v>1</v>
      </c>
      <c r="I173" s="1">
        <v>1</v>
      </c>
      <c r="J173" s="1" t="s">
        <v>47</v>
      </c>
      <c r="K173" s="1" t="s">
        <v>48</v>
      </c>
      <c r="L173" s="1">
        <v>5.5500000000000001E-2</v>
      </c>
      <c r="M173" s="1">
        <v>1.28</v>
      </c>
      <c r="N173" s="1">
        <v>29</v>
      </c>
      <c r="O173" s="1" t="s">
        <v>49</v>
      </c>
      <c r="P173" s="1" t="s">
        <v>50</v>
      </c>
      <c r="Q173" s="1">
        <v>1.0900000000000001</v>
      </c>
      <c r="R173" s="1">
        <v>13.7</v>
      </c>
      <c r="S173" s="1">
        <v>1380</v>
      </c>
    </row>
    <row r="174" spans="1:19" ht="15.75" customHeight="1" x14ac:dyDescent="0.2">
      <c r="A174" s="10">
        <v>46085</v>
      </c>
      <c r="B174" s="11">
        <v>0.59393518518518518</v>
      </c>
      <c r="C174" s="1" t="s">
        <v>122</v>
      </c>
      <c r="D174" s="1" t="s">
        <v>188</v>
      </c>
      <c r="E174" s="1"/>
      <c r="F174" s="1">
        <v>132</v>
      </c>
      <c r="G174" s="1" t="s">
        <v>46</v>
      </c>
      <c r="H174" s="1">
        <v>1</v>
      </c>
      <c r="I174" s="1">
        <v>1</v>
      </c>
      <c r="J174" s="1" t="s">
        <v>47</v>
      </c>
      <c r="K174" s="1" t="s">
        <v>48</v>
      </c>
      <c r="L174" s="1">
        <v>7.6700000000000004E-2</v>
      </c>
      <c r="M174" s="1">
        <v>1.64</v>
      </c>
      <c r="N174" s="1">
        <v>41.6</v>
      </c>
      <c r="O174" s="1" t="s">
        <v>49</v>
      </c>
      <c r="P174" s="1" t="s">
        <v>50</v>
      </c>
      <c r="Q174" s="1">
        <v>0.91900000000000004</v>
      </c>
      <c r="R174" s="1">
        <v>11.8</v>
      </c>
      <c r="S174" s="1">
        <v>1180</v>
      </c>
    </row>
    <row r="175" spans="1:19" ht="15.75" customHeight="1" x14ac:dyDescent="0.2">
      <c r="A175" s="10">
        <v>46085</v>
      </c>
      <c r="B175" s="11">
        <v>0.59483796296296299</v>
      </c>
      <c r="C175" s="1" t="s">
        <v>122</v>
      </c>
      <c r="D175" s="1" t="s">
        <v>189</v>
      </c>
      <c r="E175" s="1"/>
      <c r="F175" s="1">
        <v>133</v>
      </c>
      <c r="G175" s="1" t="s">
        <v>46</v>
      </c>
      <c r="H175" s="1">
        <v>1</v>
      </c>
      <c r="I175" s="1">
        <v>1</v>
      </c>
      <c r="J175" s="1" t="s">
        <v>47</v>
      </c>
      <c r="K175" s="1" t="s">
        <v>48</v>
      </c>
      <c r="L175" s="1">
        <v>0.03</v>
      </c>
      <c r="M175" s="1">
        <v>0.82099999999999995</v>
      </c>
      <c r="N175" s="1">
        <v>13.1</v>
      </c>
      <c r="O175" s="1" t="s">
        <v>49</v>
      </c>
      <c r="P175" s="1" t="s">
        <v>50</v>
      </c>
      <c r="Q175" s="1">
        <v>0.38</v>
      </c>
      <c r="R175" s="1">
        <v>5</v>
      </c>
      <c r="S175" s="1">
        <v>460</v>
      </c>
    </row>
    <row r="176" spans="1:19" ht="15.75" customHeight="1" x14ac:dyDescent="0.2">
      <c r="A176" s="10">
        <v>46085</v>
      </c>
      <c r="B176" s="11">
        <v>0.5957175925925926</v>
      </c>
      <c r="C176" s="1" t="s">
        <v>122</v>
      </c>
      <c r="D176" s="1" t="s">
        <v>190</v>
      </c>
      <c r="E176" s="1"/>
      <c r="F176" s="1">
        <v>134</v>
      </c>
      <c r="G176" s="1" t="s">
        <v>75</v>
      </c>
      <c r="H176" s="1">
        <v>1</v>
      </c>
      <c r="I176" s="1">
        <v>1</v>
      </c>
      <c r="J176" s="1" t="s">
        <v>47</v>
      </c>
      <c r="K176" s="1" t="s">
        <v>48</v>
      </c>
      <c r="L176" s="1">
        <v>2.18E-2</v>
      </c>
      <c r="M176" s="1">
        <v>0.59499999999999997</v>
      </c>
      <c r="N176" s="1">
        <v>5.28</v>
      </c>
      <c r="O176" s="1" t="s">
        <v>49</v>
      </c>
      <c r="P176" s="1" t="s">
        <v>50</v>
      </c>
      <c r="Q176" s="1">
        <v>0.30599999999999999</v>
      </c>
      <c r="R176" s="1">
        <v>4.04</v>
      </c>
      <c r="S176" s="1">
        <v>356</v>
      </c>
    </row>
    <row r="177" spans="1:19" ht="15.75" customHeight="1" x14ac:dyDescent="0.2">
      <c r="A177" s="10">
        <v>46085</v>
      </c>
      <c r="B177" s="11">
        <v>0.59662037037037041</v>
      </c>
      <c r="C177" s="1" t="s">
        <v>122</v>
      </c>
      <c r="D177" s="1" t="s">
        <v>191</v>
      </c>
      <c r="E177" s="1"/>
      <c r="F177" s="1">
        <v>140</v>
      </c>
      <c r="G177" s="1" t="s">
        <v>75</v>
      </c>
      <c r="H177" s="1">
        <v>1</v>
      </c>
      <c r="I177" s="1">
        <v>1</v>
      </c>
      <c r="J177" s="1" t="s">
        <v>47</v>
      </c>
      <c r="K177" s="1" t="s">
        <v>48</v>
      </c>
      <c r="L177" s="1">
        <v>2.5399999999999999E-2</v>
      </c>
      <c r="M177" s="1">
        <v>0.61299999999999999</v>
      </c>
      <c r="N177" s="1">
        <v>5.91</v>
      </c>
      <c r="O177" s="1" t="s">
        <v>49</v>
      </c>
      <c r="P177" s="1" t="s">
        <v>50</v>
      </c>
      <c r="Q177" s="1">
        <v>0.29599999999999999</v>
      </c>
      <c r="R177" s="1">
        <v>4.13</v>
      </c>
      <c r="S177" s="1">
        <v>365</v>
      </c>
    </row>
    <row r="178" spans="1:19" ht="15.75" customHeight="1" x14ac:dyDescent="0.2">
      <c r="A178" s="10">
        <v>46085</v>
      </c>
      <c r="B178" s="11">
        <v>0.59751157407407407</v>
      </c>
      <c r="C178" s="1" t="s">
        <v>122</v>
      </c>
      <c r="D178" s="1" t="s">
        <v>192</v>
      </c>
      <c r="E178" s="1"/>
      <c r="F178" s="1">
        <v>135</v>
      </c>
      <c r="G178" s="1" t="s">
        <v>46</v>
      </c>
      <c r="H178" s="1">
        <v>1</v>
      </c>
      <c r="I178" s="1">
        <v>1</v>
      </c>
      <c r="J178" s="1" t="s">
        <v>47</v>
      </c>
      <c r="K178" s="1" t="s">
        <v>48</v>
      </c>
      <c r="L178" s="1">
        <v>5.5899999999999998E-2</v>
      </c>
      <c r="M178" s="1">
        <v>1.28</v>
      </c>
      <c r="N178" s="1">
        <v>29.2</v>
      </c>
      <c r="O178" s="1" t="s">
        <v>49</v>
      </c>
      <c r="P178" s="1" t="s">
        <v>50</v>
      </c>
      <c r="Q178" s="1">
        <v>1.56</v>
      </c>
      <c r="R178" s="1">
        <v>19.8</v>
      </c>
      <c r="S178" s="1">
        <v>2010</v>
      </c>
    </row>
    <row r="179" spans="1:19" ht="15.75" customHeight="1" x14ac:dyDescent="0.2">
      <c r="A179" s="10">
        <v>46085</v>
      </c>
      <c r="B179" s="11">
        <v>0.59840277777777773</v>
      </c>
      <c r="C179" s="1" t="s">
        <v>122</v>
      </c>
      <c r="D179" s="1" t="s">
        <v>193</v>
      </c>
      <c r="E179" s="1"/>
      <c r="F179" s="1">
        <v>136</v>
      </c>
      <c r="G179" s="1" t="s">
        <v>46</v>
      </c>
      <c r="H179" s="1">
        <v>1</v>
      </c>
      <c r="I179" s="1">
        <v>1</v>
      </c>
      <c r="J179" s="1" t="s">
        <v>47</v>
      </c>
      <c r="K179" s="1" t="s">
        <v>48</v>
      </c>
      <c r="L179" s="1">
        <v>0.14699999999999999</v>
      </c>
      <c r="M179" s="1">
        <v>2.9</v>
      </c>
      <c r="N179" s="1">
        <v>85.9</v>
      </c>
      <c r="O179" s="1" t="s">
        <v>49</v>
      </c>
      <c r="P179" s="1" t="s">
        <v>50</v>
      </c>
      <c r="Q179" s="1">
        <v>0.92300000000000004</v>
      </c>
      <c r="R179" s="1">
        <v>12.2</v>
      </c>
      <c r="S179" s="1">
        <v>1230</v>
      </c>
    </row>
    <row r="180" spans="1:19" ht="15.75" customHeight="1" x14ac:dyDescent="0.2">
      <c r="A180" s="10">
        <v>46085</v>
      </c>
      <c r="B180" s="11">
        <v>0.5992939814814815</v>
      </c>
      <c r="C180" s="1" t="s">
        <v>122</v>
      </c>
      <c r="D180" s="1" t="s">
        <v>195</v>
      </c>
      <c r="E180" s="1"/>
      <c r="F180" s="1">
        <v>137</v>
      </c>
      <c r="G180" s="1" t="s">
        <v>46</v>
      </c>
      <c r="H180" s="1">
        <v>1</v>
      </c>
      <c r="I180" s="1">
        <v>1</v>
      </c>
      <c r="J180" s="1" t="s">
        <v>47</v>
      </c>
      <c r="K180" s="1" t="s">
        <v>48</v>
      </c>
      <c r="L180" s="1">
        <v>0.13400000000000001</v>
      </c>
      <c r="M180" s="1">
        <v>2.63</v>
      </c>
      <c r="N180" s="1">
        <v>76.400000000000006</v>
      </c>
      <c r="O180" s="1" t="s">
        <v>49</v>
      </c>
      <c r="P180" s="1" t="s">
        <v>50</v>
      </c>
      <c r="Q180" s="1">
        <v>0.90500000000000003</v>
      </c>
      <c r="R180" s="1">
        <v>11.8</v>
      </c>
      <c r="S180" s="1">
        <v>1190</v>
      </c>
    </row>
    <row r="181" spans="1:19" ht="15.75" customHeight="1" x14ac:dyDescent="0.2">
      <c r="A181" s="10">
        <v>46085</v>
      </c>
      <c r="B181" s="11">
        <v>0.60018518518518515</v>
      </c>
      <c r="C181" s="1" t="s">
        <v>122</v>
      </c>
      <c r="D181" s="1" t="s">
        <v>196</v>
      </c>
      <c r="E181" s="1"/>
      <c r="F181" s="1">
        <v>138</v>
      </c>
      <c r="G181" s="1" t="s">
        <v>46</v>
      </c>
      <c r="H181" s="1">
        <v>1</v>
      </c>
      <c r="I181" s="1">
        <v>1</v>
      </c>
      <c r="J181" s="1" t="s">
        <v>47</v>
      </c>
      <c r="K181" s="1" t="s">
        <v>48</v>
      </c>
      <c r="L181" s="1">
        <v>6.3100000000000003E-2</v>
      </c>
      <c r="M181" s="1">
        <v>1.44</v>
      </c>
      <c r="N181" s="1">
        <v>34.799999999999997</v>
      </c>
      <c r="O181" s="1" t="s">
        <v>49</v>
      </c>
      <c r="P181" s="1" t="s">
        <v>50</v>
      </c>
      <c r="Q181" s="1">
        <v>1.52</v>
      </c>
      <c r="R181" s="1">
        <v>19.3</v>
      </c>
      <c r="S181" s="1">
        <v>1960</v>
      </c>
    </row>
    <row r="182" spans="1:19" ht="15.75" customHeight="1" x14ac:dyDescent="0.2">
      <c r="A182" s="10">
        <v>46085</v>
      </c>
      <c r="B182" s="11">
        <v>0.60108796296296296</v>
      </c>
      <c r="C182" s="1" t="s">
        <v>122</v>
      </c>
      <c r="D182" s="1" t="s">
        <v>197</v>
      </c>
      <c r="E182" s="1"/>
      <c r="F182" s="1">
        <v>139</v>
      </c>
      <c r="G182" s="1" t="s">
        <v>84</v>
      </c>
      <c r="H182" s="1">
        <v>1</v>
      </c>
      <c r="I182" s="1">
        <v>1</v>
      </c>
      <c r="J182" s="1" t="s">
        <v>47</v>
      </c>
      <c r="K182" s="1" t="s">
        <v>48</v>
      </c>
      <c r="L182" s="1">
        <v>6.7100000000000007E-2</v>
      </c>
      <c r="M182" s="1">
        <v>1.48</v>
      </c>
      <c r="N182" s="1">
        <v>36.200000000000003</v>
      </c>
      <c r="O182" s="1" t="s">
        <v>49</v>
      </c>
      <c r="P182" s="1" t="s">
        <v>50</v>
      </c>
      <c r="Q182" s="1">
        <v>0.6</v>
      </c>
      <c r="R182" s="1">
        <v>7.8</v>
      </c>
      <c r="S182" s="1">
        <v>763</v>
      </c>
    </row>
    <row r="183" spans="1:19" ht="15.75" customHeight="1" x14ac:dyDescent="0.2">
      <c r="A183" s="10">
        <v>46085</v>
      </c>
      <c r="B183" s="11">
        <v>0.60196759259259258</v>
      </c>
      <c r="C183" s="1" t="s">
        <v>122</v>
      </c>
      <c r="D183" s="1" t="s">
        <v>200</v>
      </c>
      <c r="E183" s="1"/>
      <c r="F183" s="1">
        <v>141</v>
      </c>
      <c r="G183" s="1" t="s">
        <v>84</v>
      </c>
      <c r="H183" s="1">
        <v>1</v>
      </c>
      <c r="I183" s="1">
        <v>1</v>
      </c>
      <c r="J183" s="1" t="s">
        <v>47</v>
      </c>
      <c r="K183" s="1" t="s">
        <v>48</v>
      </c>
      <c r="L183" s="1">
        <v>0.113</v>
      </c>
      <c r="M183" s="1">
        <v>2.3199999999999998</v>
      </c>
      <c r="N183" s="1">
        <v>65.599999999999994</v>
      </c>
      <c r="O183" s="1" t="s">
        <v>49</v>
      </c>
      <c r="P183" s="1" t="s">
        <v>50</v>
      </c>
      <c r="Q183" s="1">
        <v>0.877</v>
      </c>
      <c r="R183" s="1">
        <v>11.3</v>
      </c>
      <c r="S183" s="1">
        <v>1130</v>
      </c>
    </row>
    <row r="184" spans="1:19" ht="15.75" customHeight="1" x14ac:dyDescent="0.2">
      <c r="A184" s="10">
        <v>46085</v>
      </c>
      <c r="B184" s="11">
        <v>0.60287037037037039</v>
      </c>
      <c r="C184" s="1" t="s">
        <v>122</v>
      </c>
      <c r="D184" s="1" t="s">
        <v>139</v>
      </c>
      <c r="E184" s="1"/>
      <c r="F184" s="1" t="s">
        <v>56</v>
      </c>
      <c r="G184" s="1" t="s">
        <v>46</v>
      </c>
      <c r="H184" s="1">
        <v>1</v>
      </c>
      <c r="I184" s="1">
        <v>1</v>
      </c>
      <c r="J184" s="1" t="s">
        <v>47</v>
      </c>
      <c r="K184" s="1" t="s">
        <v>48</v>
      </c>
      <c r="L184" s="1">
        <v>0.13700000000000001</v>
      </c>
      <c r="M184" s="1">
        <v>1.67</v>
      </c>
      <c r="N184" s="1">
        <v>42.6</v>
      </c>
      <c r="O184" s="1" t="s">
        <v>49</v>
      </c>
      <c r="P184" s="1" t="s">
        <v>50</v>
      </c>
      <c r="Q184" s="1">
        <v>4.96E-3</v>
      </c>
      <c r="R184" s="1">
        <v>1.1299999999999999E-2</v>
      </c>
      <c r="S184" s="1">
        <v>-89</v>
      </c>
    </row>
    <row r="185" spans="1:19" ht="15.75" customHeight="1" x14ac:dyDescent="0.2">
      <c r="A185" s="10">
        <v>46085</v>
      </c>
      <c r="B185" s="11">
        <v>0.60375000000000001</v>
      </c>
      <c r="C185" s="1" t="s">
        <v>122</v>
      </c>
      <c r="D185" s="1" t="s">
        <v>126</v>
      </c>
      <c r="E185" s="1"/>
      <c r="F185" s="1">
        <v>18</v>
      </c>
      <c r="G185" s="1" t="s">
        <v>88</v>
      </c>
      <c r="H185" s="1">
        <v>1</v>
      </c>
      <c r="I185" s="1">
        <v>1</v>
      </c>
      <c r="J185" s="1" t="s">
        <v>47</v>
      </c>
      <c r="K185" s="1" t="s">
        <v>48</v>
      </c>
      <c r="L185" s="1">
        <v>5.4899999999999997E-2</v>
      </c>
      <c r="M185" s="1">
        <v>1.33</v>
      </c>
      <c r="N185" s="1">
        <v>30.9</v>
      </c>
      <c r="O185" s="1" t="s">
        <v>49</v>
      </c>
      <c r="P185" s="1" t="s">
        <v>50</v>
      </c>
      <c r="Q185" s="1">
        <v>0.38500000000000001</v>
      </c>
      <c r="R185" s="1">
        <v>5.12</v>
      </c>
      <c r="S185" s="1">
        <v>474</v>
      </c>
    </row>
    <row r="186" spans="1:19" ht="15.75" customHeight="1" x14ac:dyDescent="0.2">
      <c r="A186" s="10">
        <v>46085</v>
      </c>
      <c r="B186" s="11">
        <v>0.60465277777777782</v>
      </c>
      <c r="C186" s="1" t="s">
        <v>122</v>
      </c>
      <c r="D186" s="1" t="s">
        <v>203</v>
      </c>
      <c r="E186" s="1"/>
      <c r="F186" s="1">
        <v>142</v>
      </c>
      <c r="G186" s="1" t="s">
        <v>46</v>
      </c>
      <c r="H186" s="1">
        <v>1</v>
      </c>
      <c r="I186" s="1">
        <v>1</v>
      </c>
      <c r="J186" s="1" t="s">
        <v>47</v>
      </c>
      <c r="K186" s="1" t="s">
        <v>48</v>
      </c>
      <c r="L186" s="1">
        <v>5.3100000000000001E-2</v>
      </c>
      <c r="M186" s="1">
        <v>1.36</v>
      </c>
      <c r="N186" s="1">
        <v>31.8</v>
      </c>
      <c r="O186" s="1" t="s">
        <v>49</v>
      </c>
      <c r="P186" s="1" t="s">
        <v>50</v>
      </c>
      <c r="Q186" s="1">
        <v>2.02</v>
      </c>
      <c r="R186" s="1">
        <v>25.8</v>
      </c>
      <c r="S186" s="1">
        <v>2600</v>
      </c>
    </row>
    <row r="187" spans="1:19" ht="15.75" customHeight="1" x14ac:dyDescent="0.2">
      <c r="A187" s="10">
        <v>46085</v>
      </c>
      <c r="B187" s="11">
        <v>0.60554398148148147</v>
      </c>
      <c r="C187" s="1" t="s">
        <v>122</v>
      </c>
      <c r="D187" s="1" t="s">
        <v>204</v>
      </c>
      <c r="E187" s="1"/>
      <c r="F187" s="1">
        <v>143</v>
      </c>
      <c r="G187" s="1" t="s">
        <v>46</v>
      </c>
      <c r="H187" s="1">
        <v>1</v>
      </c>
      <c r="I187" s="1">
        <v>1</v>
      </c>
      <c r="J187" s="1" t="s">
        <v>47</v>
      </c>
      <c r="K187" s="1" t="s">
        <v>48</v>
      </c>
      <c r="L187" s="1">
        <v>5.9400000000000001E-2</v>
      </c>
      <c r="M187" s="1">
        <v>1.41</v>
      </c>
      <c r="N187" s="1">
        <v>33.700000000000003</v>
      </c>
      <c r="O187" s="1" t="s">
        <v>49</v>
      </c>
      <c r="P187" s="1" t="s">
        <v>50</v>
      </c>
      <c r="Q187" s="1">
        <v>0.86499999999999999</v>
      </c>
      <c r="R187" s="1">
        <v>11.2</v>
      </c>
      <c r="S187" s="1">
        <v>1120</v>
      </c>
    </row>
    <row r="188" spans="1:19" ht="15.75" customHeight="1" x14ac:dyDescent="0.2">
      <c r="A188" s="10">
        <v>46085</v>
      </c>
      <c r="B188" s="11">
        <v>0.60643518518518513</v>
      </c>
      <c r="C188" s="1" t="s">
        <v>122</v>
      </c>
      <c r="D188" s="1" t="s">
        <v>205</v>
      </c>
      <c r="E188" s="1"/>
      <c r="F188" s="1">
        <v>144</v>
      </c>
      <c r="G188" s="1" t="s">
        <v>46</v>
      </c>
      <c r="H188" s="1">
        <v>1</v>
      </c>
      <c r="I188" s="1">
        <v>1</v>
      </c>
      <c r="J188" s="1" t="s">
        <v>47</v>
      </c>
      <c r="K188" s="1" t="s">
        <v>48</v>
      </c>
      <c r="L188" s="1">
        <v>4.99E-2</v>
      </c>
      <c r="M188" s="1">
        <v>1.24</v>
      </c>
      <c r="N188" s="1">
        <v>27.7</v>
      </c>
      <c r="O188" s="1" t="s">
        <v>49</v>
      </c>
      <c r="P188" s="1" t="s">
        <v>50</v>
      </c>
      <c r="Q188" s="1">
        <v>0.42299999999999999</v>
      </c>
      <c r="R188" s="1">
        <v>5.47</v>
      </c>
      <c r="S188" s="1">
        <v>512</v>
      </c>
    </row>
    <row r="189" spans="1:19" ht="15.75" customHeight="1" x14ac:dyDescent="0.2">
      <c r="A189" s="10">
        <v>46085</v>
      </c>
      <c r="B189" s="11">
        <v>0.6073263888888889</v>
      </c>
      <c r="C189" s="1" t="s">
        <v>122</v>
      </c>
      <c r="D189" s="1" t="s">
        <v>206</v>
      </c>
      <c r="E189" s="1"/>
      <c r="F189" s="1">
        <v>145</v>
      </c>
      <c r="G189" s="1" t="s">
        <v>46</v>
      </c>
      <c r="H189" s="1">
        <v>1</v>
      </c>
      <c r="I189" s="1">
        <v>1</v>
      </c>
      <c r="J189" s="1" t="s">
        <v>47</v>
      </c>
      <c r="K189" s="1" t="s">
        <v>48</v>
      </c>
      <c r="L189" s="1">
        <v>0.11700000000000001</v>
      </c>
      <c r="M189" s="1">
        <v>2.5</v>
      </c>
      <c r="N189" s="1">
        <v>72</v>
      </c>
      <c r="O189" s="1" t="s">
        <v>49</v>
      </c>
      <c r="P189" s="1" t="s">
        <v>50</v>
      </c>
      <c r="Q189" s="1">
        <v>1.1100000000000001</v>
      </c>
      <c r="R189" s="1">
        <v>14.2</v>
      </c>
      <c r="S189" s="1">
        <v>1430</v>
      </c>
    </row>
    <row r="190" spans="1:19" ht="15.75" customHeight="1" x14ac:dyDescent="0.2">
      <c r="A190" s="10">
        <v>46085</v>
      </c>
      <c r="B190" s="11">
        <v>0.60821759259259256</v>
      </c>
      <c r="C190" s="1" t="s">
        <v>122</v>
      </c>
      <c r="D190" s="1" t="s">
        <v>207</v>
      </c>
      <c r="E190" s="1"/>
      <c r="F190" s="1">
        <v>146</v>
      </c>
      <c r="G190" s="1" t="s">
        <v>75</v>
      </c>
      <c r="H190" s="1">
        <v>1</v>
      </c>
      <c r="I190" s="1">
        <v>1</v>
      </c>
      <c r="J190" s="1" t="s">
        <v>47</v>
      </c>
      <c r="K190" s="1" t="s">
        <v>48</v>
      </c>
      <c r="L190" s="1">
        <v>4.2500000000000003E-2</v>
      </c>
      <c r="M190" s="1">
        <v>0.67400000000000004</v>
      </c>
      <c r="N190" s="1">
        <v>8.0299999999999994</v>
      </c>
      <c r="O190" s="1" t="s">
        <v>49</v>
      </c>
      <c r="P190" s="1" t="s">
        <v>50</v>
      </c>
      <c r="Q190" s="1">
        <v>0.32100000000000001</v>
      </c>
      <c r="R190" s="1">
        <v>4.25</v>
      </c>
      <c r="S190" s="1">
        <v>378</v>
      </c>
    </row>
    <row r="191" spans="1:19" ht="15.75" customHeight="1" x14ac:dyDescent="0.2">
      <c r="A191" s="10">
        <v>46085</v>
      </c>
      <c r="B191" s="11">
        <v>0.60910879629629633</v>
      </c>
      <c r="C191" s="1" t="s">
        <v>122</v>
      </c>
      <c r="D191" s="1" t="s">
        <v>209</v>
      </c>
      <c r="E191" s="1"/>
      <c r="F191" s="1">
        <v>152</v>
      </c>
      <c r="G191" s="1" t="s">
        <v>75</v>
      </c>
      <c r="H191" s="1">
        <v>1</v>
      </c>
      <c r="I191" s="1">
        <v>1</v>
      </c>
      <c r="J191" s="1" t="s">
        <v>47</v>
      </c>
      <c r="K191" s="1" t="s">
        <v>48</v>
      </c>
      <c r="L191" s="1">
        <v>2.5100000000000001E-2</v>
      </c>
      <c r="M191" s="1">
        <v>0.621</v>
      </c>
      <c r="N191" s="1">
        <v>6.19</v>
      </c>
      <c r="O191" s="1" t="s">
        <v>49</v>
      </c>
      <c r="P191" s="1" t="s">
        <v>50</v>
      </c>
      <c r="Q191" s="1">
        <v>0.33100000000000002</v>
      </c>
      <c r="R191" s="1">
        <v>4.42</v>
      </c>
      <c r="S191" s="1">
        <v>397</v>
      </c>
    </row>
    <row r="192" spans="1:19" ht="15.75" customHeight="1" x14ac:dyDescent="0.2">
      <c r="A192" s="10">
        <v>46085</v>
      </c>
      <c r="B192" s="11">
        <v>0.61</v>
      </c>
      <c r="C192" s="1" t="s">
        <v>122</v>
      </c>
      <c r="D192" s="1" t="s">
        <v>210</v>
      </c>
      <c r="E192" s="1"/>
      <c r="F192" s="1">
        <v>147</v>
      </c>
      <c r="G192" s="1" t="s">
        <v>46</v>
      </c>
      <c r="H192" s="1">
        <v>1</v>
      </c>
      <c r="I192" s="1">
        <v>1</v>
      </c>
      <c r="J192" s="1" t="s">
        <v>47</v>
      </c>
      <c r="K192" s="1" t="s">
        <v>48</v>
      </c>
      <c r="L192" s="1">
        <v>2.5999999999999999E-2</v>
      </c>
      <c r="M192" s="1">
        <v>0.70699999999999996</v>
      </c>
      <c r="N192" s="1">
        <v>9.16</v>
      </c>
      <c r="O192" s="1" t="s">
        <v>49</v>
      </c>
      <c r="P192" s="1" t="s">
        <v>50</v>
      </c>
      <c r="Q192" s="1">
        <v>0.33200000000000002</v>
      </c>
      <c r="R192" s="1">
        <v>4.43</v>
      </c>
      <c r="S192" s="1">
        <v>398</v>
      </c>
    </row>
    <row r="193" spans="1:19" ht="15.75" customHeight="1" x14ac:dyDescent="0.2">
      <c r="A193" s="10">
        <v>46085</v>
      </c>
      <c r="B193" s="11">
        <v>0.61089120370370376</v>
      </c>
      <c r="C193" s="1" t="s">
        <v>122</v>
      </c>
      <c r="D193" s="1" t="s">
        <v>211</v>
      </c>
      <c r="E193" s="1"/>
      <c r="F193" s="1">
        <v>148</v>
      </c>
      <c r="G193" s="1" t="s">
        <v>46</v>
      </c>
      <c r="H193" s="1">
        <v>1</v>
      </c>
      <c r="I193" s="1">
        <v>1</v>
      </c>
      <c r="J193" s="1" t="s">
        <v>47</v>
      </c>
      <c r="K193" s="1" t="s">
        <v>48</v>
      </c>
      <c r="L193" s="1">
        <v>4.8800000000000003E-2</v>
      </c>
      <c r="M193" s="1">
        <v>1.1200000000000001</v>
      </c>
      <c r="N193" s="1">
        <v>23.7</v>
      </c>
      <c r="O193" s="1" t="s">
        <v>49</v>
      </c>
      <c r="P193" s="1" t="s">
        <v>50</v>
      </c>
      <c r="Q193" s="1">
        <v>1.64</v>
      </c>
      <c r="R193" s="1">
        <v>21</v>
      </c>
      <c r="S193" s="1">
        <v>2130</v>
      </c>
    </row>
    <row r="194" spans="1:19" ht="15.75" customHeight="1" x14ac:dyDescent="0.2">
      <c r="A194" s="10">
        <v>46085</v>
      </c>
      <c r="B194" s="11">
        <v>0.61178240740740741</v>
      </c>
      <c r="C194" s="1" t="s">
        <v>122</v>
      </c>
      <c r="D194" s="1" t="s">
        <v>212</v>
      </c>
      <c r="E194" s="1"/>
      <c r="F194" s="1">
        <v>149</v>
      </c>
      <c r="G194" s="1" t="s">
        <v>46</v>
      </c>
      <c r="H194" s="1">
        <v>1</v>
      </c>
      <c r="I194" s="1">
        <v>1</v>
      </c>
      <c r="J194" s="1" t="s">
        <v>47</v>
      </c>
      <c r="K194" s="1" t="s">
        <v>48</v>
      </c>
      <c r="L194" s="1">
        <v>8.2500000000000004E-2</v>
      </c>
      <c r="M194" s="1">
        <v>1.74</v>
      </c>
      <c r="N194" s="1">
        <v>45.3</v>
      </c>
      <c r="O194" s="1" t="s">
        <v>49</v>
      </c>
      <c r="P194" s="1" t="s">
        <v>50</v>
      </c>
      <c r="Q194" s="1">
        <v>0.98</v>
      </c>
      <c r="R194" s="1">
        <v>12.7</v>
      </c>
      <c r="S194" s="1">
        <v>1280</v>
      </c>
    </row>
    <row r="195" spans="1:19" ht="15.75" customHeight="1" x14ac:dyDescent="0.2">
      <c r="A195" s="10">
        <v>46085</v>
      </c>
      <c r="B195" s="11">
        <v>0.61267361111111107</v>
      </c>
      <c r="C195" s="1" t="s">
        <v>122</v>
      </c>
      <c r="D195" s="1" t="s">
        <v>213</v>
      </c>
      <c r="E195" s="1"/>
      <c r="F195" s="1">
        <v>150</v>
      </c>
      <c r="G195" s="1" t="s">
        <v>46</v>
      </c>
      <c r="H195" s="1">
        <v>1</v>
      </c>
      <c r="I195" s="1">
        <v>1</v>
      </c>
      <c r="J195" s="1" t="s">
        <v>47</v>
      </c>
      <c r="K195" s="1" t="s">
        <v>48</v>
      </c>
      <c r="L195" s="1">
        <v>0.105</v>
      </c>
      <c r="M195" s="1">
        <v>1.61</v>
      </c>
      <c r="N195" s="1">
        <v>40.6</v>
      </c>
      <c r="O195" s="1" t="s">
        <v>49</v>
      </c>
      <c r="P195" s="1" t="s">
        <v>50</v>
      </c>
      <c r="Q195" s="1">
        <v>0.72499999999999998</v>
      </c>
      <c r="R195" s="1">
        <v>7.77</v>
      </c>
      <c r="S195" s="1">
        <v>760</v>
      </c>
    </row>
    <row r="196" spans="1:19" ht="15.75" customHeight="1" x14ac:dyDescent="0.2">
      <c r="A196" s="10">
        <v>46085</v>
      </c>
      <c r="B196" s="11">
        <v>0.61357638888888888</v>
      </c>
      <c r="C196" s="1" t="s">
        <v>122</v>
      </c>
      <c r="D196" s="1" t="s">
        <v>214</v>
      </c>
      <c r="E196" s="1"/>
      <c r="F196" s="1">
        <v>151</v>
      </c>
      <c r="G196" s="1" t="s">
        <v>84</v>
      </c>
      <c r="H196" s="1">
        <v>1</v>
      </c>
      <c r="I196" s="1">
        <v>1</v>
      </c>
      <c r="J196" s="1" t="s">
        <v>47</v>
      </c>
      <c r="K196" s="1" t="s">
        <v>48</v>
      </c>
      <c r="L196" s="1">
        <v>6.13E-2</v>
      </c>
      <c r="M196" s="1">
        <v>1.33</v>
      </c>
      <c r="N196" s="1">
        <v>30.8</v>
      </c>
      <c r="O196" s="1" t="s">
        <v>49</v>
      </c>
      <c r="P196" s="1" t="s">
        <v>50</v>
      </c>
      <c r="Q196" s="1">
        <v>1.96</v>
      </c>
      <c r="R196" s="1">
        <v>24.9</v>
      </c>
      <c r="S196" s="1">
        <v>2520</v>
      </c>
    </row>
    <row r="197" spans="1:19" ht="15.75" customHeight="1" x14ac:dyDescent="0.2">
      <c r="A197" s="10">
        <v>46085</v>
      </c>
      <c r="B197" s="11">
        <v>0.61446759259259254</v>
      </c>
      <c r="C197" s="1" t="s">
        <v>122</v>
      </c>
      <c r="D197" s="1" t="s">
        <v>215</v>
      </c>
      <c r="E197" s="1"/>
      <c r="F197" s="1">
        <v>153</v>
      </c>
      <c r="G197" s="1" t="s">
        <v>84</v>
      </c>
      <c r="H197" s="1">
        <v>1</v>
      </c>
      <c r="I197" s="1">
        <v>1</v>
      </c>
      <c r="J197" s="1" t="s">
        <v>47</v>
      </c>
      <c r="K197" s="1" t="s">
        <v>48</v>
      </c>
      <c r="L197" s="1">
        <v>0.114</v>
      </c>
      <c r="M197" s="1">
        <v>2.37</v>
      </c>
      <c r="N197" s="1">
        <v>67.400000000000006</v>
      </c>
      <c r="O197" s="1" t="s">
        <v>49</v>
      </c>
      <c r="P197" s="1" t="s">
        <v>50</v>
      </c>
      <c r="Q197" s="1">
        <v>2.06</v>
      </c>
      <c r="R197" s="1">
        <v>25.9</v>
      </c>
      <c r="S197" s="1">
        <v>2610</v>
      </c>
    </row>
    <row r="198" spans="1:19" ht="15.75" customHeight="1" x14ac:dyDescent="0.2">
      <c r="A198" s="10">
        <v>46085</v>
      </c>
      <c r="B198" s="11">
        <v>0.61535879629629631</v>
      </c>
      <c r="C198" s="1" t="s">
        <v>122</v>
      </c>
      <c r="D198" s="1" t="s">
        <v>125</v>
      </c>
      <c r="E198" s="1"/>
      <c r="F198" s="1" t="s">
        <v>58</v>
      </c>
      <c r="G198" s="1" t="s">
        <v>46</v>
      </c>
      <c r="H198" s="1">
        <v>1</v>
      </c>
      <c r="I198" s="1">
        <v>1</v>
      </c>
      <c r="J198" s="1" t="s">
        <v>47</v>
      </c>
      <c r="K198" s="1" t="s">
        <v>48</v>
      </c>
      <c r="L198" s="1">
        <v>1.06E-2</v>
      </c>
      <c r="M198" s="1">
        <v>0.127</v>
      </c>
      <c r="N198" s="1">
        <v>-10.9</v>
      </c>
      <c r="O198" s="1" t="s">
        <v>49</v>
      </c>
      <c r="P198" s="1" t="s">
        <v>50</v>
      </c>
      <c r="Q198" s="1">
        <v>2.1399999999999999E-2</v>
      </c>
      <c r="R198" s="1">
        <v>0.40600000000000003</v>
      </c>
      <c r="S198" s="1">
        <v>-45</v>
      </c>
    </row>
    <row r="199" spans="1:19" ht="15.75" customHeight="1" x14ac:dyDescent="0.2">
      <c r="A199" s="10">
        <v>46085</v>
      </c>
      <c r="B199" s="11">
        <v>0.61622685185185189</v>
      </c>
      <c r="C199" s="1" t="s">
        <v>122</v>
      </c>
      <c r="D199" s="1" t="s">
        <v>126</v>
      </c>
      <c r="E199" s="1"/>
      <c r="F199" s="1">
        <v>15</v>
      </c>
      <c r="G199" s="1" t="s">
        <v>88</v>
      </c>
      <c r="H199" s="1">
        <v>1</v>
      </c>
      <c r="I199" s="1">
        <v>1</v>
      </c>
      <c r="J199" s="1" t="s">
        <v>47</v>
      </c>
      <c r="K199" s="1" t="s">
        <v>48</v>
      </c>
      <c r="L199" s="1">
        <v>5.5800000000000002E-2</v>
      </c>
      <c r="M199" s="1">
        <v>1.3</v>
      </c>
      <c r="N199" s="1">
        <v>29.8</v>
      </c>
      <c r="O199" s="1" t="s">
        <v>49</v>
      </c>
      <c r="P199" s="1" t="s">
        <v>50</v>
      </c>
      <c r="Q199" s="1">
        <v>0.38600000000000001</v>
      </c>
      <c r="R199" s="1">
        <v>5.16</v>
      </c>
      <c r="S199" s="1">
        <v>478</v>
      </c>
    </row>
    <row r="200" spans="1:19" ht="15.75" customHeight="1" x14ac:dyDescent="0.2">
      <c r="A200" s="10">
        <v>46085</v>
      </c>
      <c r="B200" s="11">
        <v>0.61710648148148151</v>
      </c>
      <c r="C200" s="1" t="s">
        <v>122</v>
      </c>
      <c r="D200" s="1" t="s">
        <v>51</v>
      </c>
      <c r="E200" s="1"/>
      <c r="F200" s="1" t="s">
        <v>52</v>
      </c>
      <c r="G200" s="1" t="s">
        <v>46</v>
      </c>
      <c r="H200" s="1">
        <v>1</v>
      </c>
      <c r="I200" s="1">
        <v>1</v>
      </c>
      <c r="J200" s="1" t="s">
        <v>47</v>
      </c>
      <c r="K200" s="1" t="s">
        <v>48</v>
      </c>
      <c r="L200" s="1">
        <v>0.13600000000000001</v>
      </c>
      <c r="M200" s="1">
        <v>1.66</v>
      </c>
      <c r="N200" s="1">
        <v>42.4</v>
      </c>
      <c r="O200" s="1" t="s">
        <v>49</v>
      </c>
      <c r="P200" s="1" t="s">
        <v>50</v>
      </c>
      <c r="Q200" s="1">
        <v>1.79</v>
      </c>
      <c r="R200" s="1">
        <v>23.5</v>
      </c>
      <c r="S200" s="1">
        <v>2370</v>
      </c>
    </row>
    <row r="201" spans="1:19" ht="15.75" customHeight="1" x14ac:dyDescent="0.2">
      <c r="A201" s="10">
        <v>46085</v>
      </c>
      <c r="B201" s="11">
        <v>0.61799768518518516</v>
      </c>
      <c r="C201" s="1" t="s">
        <v>122</v>
      </c>
      <c r="D201" s="1" t="s">
        <v>53</v>
      </c>
      <c r="E201" s="1"/>
      <c r="F201" s="1" t="s">
        <v>54</v>
      </c>
      <c r="G201" s="1" t="s">
        <v>46</v>
      </c>
      <c r="H201" s="1">
        <v>1</v>
      </c>
      <c r="I201" s="1">
        <v>1</v>
      </c>
      <c r="J201" s="1" t="s">
        <v>47</v>
      </c>
      <c r="K201" s="1" t="s">
        <v>48</v>
      </c>
      <c r="L201" s="1">
        <v>0.13500000000000001</v>
      </c>
      <c r="M201" s="1">
        <v>1.65</v>
      </c>
      <c r="N201" s="1">
        <v>42</v>
      </c>
      <c r="O201" s="1" t="s">
        <v>49</v>
      </c>
      <c r="P201" s="1" t="s">
        <v>50</v>
      </c>
      <c r="Q201" s="1">
        <v>1.92</v>
      </c>
      <c r="R201" s="1">
        <v>24.6</v>
      </c>
      <c r="S201" s="1">
        <v>2480</v>
      </c>
    </row>
    <row r="202" spans="1:19" ht="15.75" customHeight="1" x14ac:dyDescent="0.2">
      <c r="A202" s="10">
        <v>46085</v>
      </c>
      <c r="B202" s="11">
        <v>0.61888888888888893</v>
      </c>
      <c r="C202" s="1" t="s">
        <v>122</v>
      </c>
      <c r="D202" s="1" t="s">
        <v>216</v>
      </c>
      <c r="E202" s="1"/>
      <c r="F202" s="1">
        <v>154</v>
      </c>
      <c r="G202" s="1" t="s">
        <v>46</v>
      </c>
      <c r="H202" s="1">
        <v>1</v>
      </c>
      <c r="I202" s="1">
        <v>1</v>
      </c>
      <c r="J202" s="1" t="s">
        <v>47</v>
      </c>
      <c r="K202" s="1" t="s">
        <v>48</v>
      </c>
      <c r="L202" s="1">
        <v>5.91E-2</v>
      </c>
      <c r="M202" s="1">
        <v>1.45</v>
      </c>
      <c r="N202" s="1">
        <v>35</v>
      </c>
      <c r="O202" s="1" t="s">
        <v>49</v>
      </c>
      <c r="P202" s="1" t="s">
        <v>50</v>
      </c>
      <c r="Q202" s="1">
        <v>0.59799999999999998</v>
      </c>
      <c r="R202" s="1">
        <v>8.0500000000000007</v>
      </c>
      <c r="S202" s="1">
        <v>789</v>
      </c>
    </row>
    <row r="203" spans="1:19" ht="15.75" customHeight="1" x14ac:dyDescent="0.2">
      <c r="A203" s="10">
        <v>46085</v>
      </c>
      <c r="B203" s="11">
        <v>0.61978009259259259</v>
      </c>
      <c r="C203" s="1" t="s">
        <v>122</v>
      </c>
      <c r="D203" s="1" t="s">
        <v>217</v>
      </c>
      <c r="E203" s="1"/>
      <c r="F203" s="1">
        <v>155</v>
      </c>
      <c r="G203" s="1" t="s">
        <v>46</v>
      </c>
      <c r="H203" s="1">
        <v>1</v>
      </c>
      <c r="I203" s="1">
        <v>1</v>
      </c>
      <c r="J203" s="1" t="s">
        <v>47</v>
      </c>
      <c r="K203" s="1" t="s">
        <v>48</v>
      </c>
      <c r="L203" s="1">
        <v>5.8299999999999998E-2</v>
      </c>
      <c r="M203" s="1">
        <v>1.39</v>
      </c>
      <c r="N203" s="1">
        <v>33</v>
      </c>
      <c r="O203" s="1" t="s">
        <v>49</v>
      </c>
      <c r="P203" s="1" t="s">
        <v>50</v>
      </c>
      <c r="Q203" s="1">
        <v>1.72</v>
      </c>
      <c r="R203" s="1">
        <v>21.7</v>
      </c>
      <c r="S203" s="1">
        <v>2200</v>
      </c>
    </row>
    <row r="204" spans="1:19" ht="15.75" customHeight="1" x14ac:dyDescent="0.2">
      <c r="A204" s="10">
        <v>46085</v>
      </c>
      <c r="B204" s="11">
        <v>0.62067129629629625</v>
      </c>
      <c r="C204" s="1" t="s">
        <v>122</v>
      </c>
      <c r="D204" s="1" t="s">
        <v>218</v>
      </c>
      <c r="E204" s="1"/>
      <c r="F204" s="1">
        <v>156</v>
      </c>
      <c r="G204" s="1" t="s">
        <v>46</v>
      </c>
      <c r="H204" s="1">
        <v>1</v>
      </c>
      <c r="I204" s="1">
        <v>1</v>
      </c>
      <c r="J204" s="1" t="s">
        <v>47</v>
      </c>
      <c r="K204" s="1" t="s">
        <v>48</v>
      </c>
      <c r="L204" s="1">
        <v>9.6699999999999994E-2</v>
      </c>
      <c r="M204" s="1">
        <v>2.12</v>
      </c>
      <c r="N204" s="1">
        <v>58.6</v>
      </c>
      <c r="O204" s="1" t="s">
        <v>49</v>
      </c>
      <c r="P204" s="1" t="s">
        <v>50</v>
      </c>
      <c r="Q204" s="1">
        <v>1.04</v>
      </c>
      <c r="R204" s="1">
        <v>13.4</v>
      </c>
      <c r="S204" s="1">
        <v>1360</v>
      </c>
    </row>
    <row r="205" spans="1:19" ht="15.75" customHeight="1" x14ac:dyDescent="0.2">
      <c r="A205" s="10">
        <v>46085</v>
      </c>
      <c r="B205" s="11">
        <v>0.62156250000000002</v>
      </c>
      <c r="C205" s="1" t="s">
        <v>122</v>
      </c>
      <c r="D205" s="1" t="s">
        <v>219</v>
      </c>
      <c r="E205" s="1"/>
      <c r="F205" s="1">
        <v>157</v>
      </c>
      <c r="G205" s="1" t="s">
        <v>46</v>
      </c>
      <c r="H205" s="1">
        <v>1</v>
      </c>
      <c r="I205" s="1">
        <v>1</v>
      </c>
      <c r="J205" s="1" t="s">
        <v>47</v>
      </c>
      <c r="K205" s="1" t="s">
        <v>48</v>
      </c>
      <c r="L205" s="1">
        <v>3.1899999999999998E-2</v>
      </c>
      <c r="M205" s="1">
        <v>0.875</v>
      </c>
      <c r="N205" s="1">
        <v>15</v>
      </c>
      <c r="O205" s="1" t="s">
        <v>49</v>
      </c>
      <c r="P205" s="1" t="s">
        <v>50</v>
      </c>
      <c r="Q205" s="1">
        <v>0.223</v>
      </c>
      <c r="R205" s="1">
        <v>3.05</v>
      </c>
      <c r="S205" s="1">
        <v>248</v>
      </c>
    </row>
    <row r="206" spans="1:19" ht="15.75" customHeight="1" x14ac:dyDescent="0.2">
      <c r="A206" s="10">
        <v>46085</v>
      </c>
      <c r="B206" s="11">
        <v>0.62245370370370368</v>
      </c>
      <c r="C206" s="1" t="s">
        <v>122</v>
      </c>
      <c r="D206" s="1" t="s">
        <v>220</v>
      </c>
      <c r="E206" s="1"/>
      <c r="F206" s="1">
        <v>158</v>
      </c>
      <c r="G206" s="1" t="s">
        <v>75</v>
      </c>
      <c r="H206" s="1">
        <v>1</v>
      </c>
      <c r="I206" s="1">
        <v>1</v>
      </c>
      <c r="J206" s="1" t="s">
        <v>47</v>
      </c>
      <c r="K206" s="1" t="s">
        <v>48</v>
      </c>
      <c r="L206" s="1">
        <v>2.9399999999999999E-2</v>
      </c>
      <c r="M206" s="1">
        <v>0.78800000000000003</v>
      </c>
      <c r="N206" s="1">
        <v>12</v>
      </c>
      <c r="O206" s="1" t="s">
        <v>49</v>
      </c>
      <c r="P206" s="1" t="s">
        <v>50</v>
      </c>
      <c r="Q206" s="1">
        <v>0.38800000000000001</v>
      </c>
      <c r="R206" s="1">
        <v>5.15</v>
      </c>
      <c r="S206" s="1">
        <v>477</v>
      </c>
    </row>
    <row r="207" spans="1:19" ht="15.75" customHeight="1" x14ac:dyDescent="0.2">
      <c r="A207" s="10">
        <v>46085</v>
      </c>
      <c r="B207" s="11">
        <v>0.62334490740740744</v>
      </c>
      <c r="C207" s="1" t="s">
        <v>122</v>
      </c>
      <c r="D207" s="1" t="s">
        <v>221</v>
      </c>
      <c r="E207" s="1"/>
      <c r="F207" s="1">
        <v>164</v>
      </c>
      <c r="G207" s="1" t="s">
        <v>75</v>
      </c>
      <c r="H207" s="1">
        <v>1</v>
      </c>
      <c r="I207" s="1">
        <v>1</v>
      </c>
      <c r="J207" s="1" t="s">
        <v>47</v>
      </c>
      <c r="K207" s="1" t="s">
        <v>48</v>
      </c>
      <c r="L207" s="1">
        <v>3.2300000000000002E-2</v>
      </c>
      <c r="M207" s="1">
        <v>0.8</v>
      </c>
      <c r="N207" s="1">
        <v>12.4</v>
      </c>
      <c r="O207" s="1" t="s">
        <v>49</v>
      </c>
      <c r="P207" s="1" t="s">
        <v>50</v>
      </c>
      <c r="Q207" s="1">
        <v>0.41</v>
      </c>
      <c r="R207" s="1">
        <v>5.37</v>
      </c>
      <c r="S207" s="1">
        <v>500</v>
      </c>
    </row>
    <row r="208" spans="1:19" ht="15.75" customHeight="1" x14ac:dyDescent="0.2">
      <c r="A208" s="10">
        <v>46085</v>
      </c>
      <c r="B208" s="11">
        <v>0.6242361111111111</v>
      </c>
      <c r="C208" s="1" t="s">
        <v>122</v>
      </c>
      <c r="D208" s="1" t="s">
        <v>222</v>
      </c>
      <c r="E208" s="1"/>
      <c r="F208" s="1">
        <v>159</v>
      </c>
      <c r="G208" s="1" t="s">
        <v>46</v>
      </c>
      <c r="H208" s="1">
        <v>1</v>
      </c>
      <c r="I208" s="1">
        <v>1</v>
      </c>
      <c r="J208" s="1" t="s">
        <v>47</v>
      </c>
      <c r="K208" s="1" t="s">
        <v>48</v>
      </c>
      <c r="L208" s="1">
        <v>2.1499999999999998E-2</v>
      </c>
      <c r="M208" s="1">
        <v>0.60899999999999999</v>
      </c>
      <c r="N208" s="1">
        <v>5.78</v>
      </c>
      <c r="O208" s="1" t="s">
        <v>49</v>
      </c>
      <c r="P208" s="1" t="s">
        <v>50</v>
      </c>
      <c r="Q208" s="1">
        <v>0.313</v>
      </c>
      <c r="R208" s="1">
        <v>4</v>
      </c>
      <c r="S208" s="1">
        <v>352</v>
      </c>
    </row>
    <row r="209" spans="1:19" ht="15.75" customHeight="1" x14ac:dyDescent="0.2">
      <c r="A209" s="10">
        <v>46085</v>
      </c>
      <c r="B209" s="11">
        <v>0.62512731481481476</v>
      </c>
      <c r="C209" s="1" t="s">
        <v>122</v>
      </c>
      <c r="D209" s="1" t="s">
        <v>223</v>
      </c>
      <c r="E209" s="1"/>
      <c r="F209" s="1">
        <v>160</v>
      </c>
      <c r="G209" s="1" t="s">
        <v>46</v>
      </c>
      <c r="H209" s="1">
        <v>1</v>
      </c>
      <c r="I209" s="1">
        <v>1</v>
      </c>
      <c r="J209" s="1" t="s">
        <v>47</v>
      </c>
      <c r="K209" s="1" t="s">
        <v>48</v>
      </c>
      <c r="L209" s="1">
        <v>5.96E-2</v>
      </c>
      <c r="M209" s="1">
        <v>1.38</v>
      </c>
      <c r="N209" s="1">
        <v>32.700000000000003</v>
      </c>
      <c r="O209" s="1" t="s">
        <v>49</v>
      </c>
      <c r="P209" s="1" t="s">
        <v>50</v>
      </c>
      <c r="Q209" s="1">
        <v>1.41</v>
      </c>
      <c r="R209" s="1">
        <v>18</v>
      </c>
      <c r="S209" s="1">
        <v>1830</v>
      </c>
    </row>
    <row r="210" spans="1:19" ht="15.75" customHeight="1" x14ac:dyDescent="0.2">
      <c r="A210" s="10">
        <v>46085</v>
      </c>
      <c r="B210" s="11">
        <v>0.62601851851851853</v>
      </c>
      <c r="C210" s="1" t="s">
        <v>122</v>
      </c>
      <c r="D210" s="1" t="s">
        <v>224</v>
      </c>
      <c r="E210" s="1"/>
      <c r="F210" s="1">
        <v>161</v>
      </c>
      <c r="G210" s="1" t="s">
        <v>46</v>
      </c>
      <c r="H210" s="1">
        <v>1</v>
      </c>
      <c r="I210" s="1">
        <v>1</v>
      </c>
      <c r="J210" s="1" t="s">
        <v>47</v>
      </c>
      <c r="K210" s="1" t="s">
        <v>48</v>
      </c>
      <c r="L210" s="1">
        <v>8.1600000000000006E-2</v>
      </c>
      <c r="M210" s="1">
        <v>1.85</v>
      </c>
      <c r="N210" s="1">
        <v>49</v>
      </c>
      <c r="O210" s="1" t="s">
        <v>49</v>
      </c>
      <c r="P210" s="1" t="s">
        <v>50</v>
      </c>
      <c r="Q210" s="1">
        <v>1.02</v>
      </c>
      <c r="R210" s="1">
        <v>13</v>
      </c>
      <c r="S210" s="1">
        <v>1310</v>
      </c>
    </row>
    <row r="211" spans="1:19" ht="15.75" customHeight="1" x14ac:dyDescent="0.2">
      <c r="A211" s="10">
        <v>46085</v>
      </c>
      <c r="B211" s="11">
        <v>0.62690972222222219</v>
      </c>
      <c r="C211" s="1" t="s">
        <v>122</v>
      </c>
      <c r="D211" s="1" t="s">
        <v>225</v>
      </c>
      <c r="E211" s="1"/>
      <c r="F211" s="1">
        <v>162</v>
      </c>
      <c r="G211" s="1" t="s">
        <v>46</v>
      </c>
      <c r="H211" s="1">
        <v>1</v>
      </c>
      <c r="I211" s="1">
        <v>1</v>
      </c>
      <c r="J211" s="1" t="s">
        <v>47</v>
      </c>
      <c r="K211" s="1" t="s">
        <v>48</v>
      </c>
      <c r="L211" s="1">
        <v>3.8300000000000001E-2</v>
      </c>
      <c r="M211" s="1">
        <v>1.01</v>
      </c>
      <c r="N211" s="1">
        <v>19.8</v>
      </c>
      <c r="O211" s="1" t="s">
        <v>49</v>
      </c>
      <c r="P211" s="1" t="s">
        <v>50</v>
      </c>
      <c r="Q211" s="1">
        <v>0.26600000000000001</v>
      </c>
      <c r="R211" s="1">
        <v>3.55</v>
      </c>
      <c r="S211" s="1">
        <v>302</v>
      </c>
    </row>
    <row r="212" spans="1:19" ht="15.75" customHeight="1" x14ac:dyDescent="0.2">
      <c r="A212" s="10">
        <v>46085</v>
      </c>
      <c r="B212" s="11">
        <v>0.62780092592592596</v>
      </c>
      <c r="C212" s="1" t="s">
        <v>122</v>
      </c>
      <c r="D212" s="1" t="s">
        <v>226</v>
      </c>
      <c r="E212" s="1"/>
      <c r="F212" s="1">
        <v>163</v>
      </c>
      <c r="G212" s="1" t="s">
        <v>84</v>
      </c>
      <c r="H212" s="1">
        <v>1</v>
      </c>
      <c r="I212" s="1">
        <v>1</v>
      </c>
      <c r="J212" s="1" t="s">
        <v>47</v>
      </c>
      <c r="K212" s="1" t="s">
        <v>48</v>
      </c>
      <c r="L212" s="1">
        <v>3.6700000000000003E-2</v>
      </c>
      <c r="M212" s="1">
        <v>0.95599999999999996</v>
      </c>
      <c r="N212" s="1">
        <v>17.8</v>
      </c>
      <c r="O212" s="1" t="s">
        <v>49</v>
      </c>
      <c r="P212" s="1" t="s">
        <v>50</v>
      </c>
      <c r="Q212" s="1">
        <v>0.36</v>
      </c>
      <c r="R212" s="1">
        <v>4.76</v>
      </c>
      <c r="S212" s="1">
        <v>435</v>
      </c>
    </row>
    <row r="213" spans="1:19" ht="15.75" customHeight="1" x14ac:dyDescent="0.2">
      <c r="A213" s="10">
        <v>46085</v>
      </c>
      <c r="B213" s="11">
        <v>0.62869212962962961</v>
      </c>
      <c r="C213" s="1" t="s">
        <v>122</v>
      </c>
      <c r="D213" s="1" t="s">
        <v>227</v>
      </c>
      <c r="E213" s="1"/>
      <c r="F213" s="1">
        <v>165</v>
      </c>
      <c r="G213" s="1" t="s">
        <v>84</v>
      </c>
      <c r="H213" s="1">
        <v>1</v>
      </c>
      <c r="I213" s="1">
        <v>1</v>
      </c>
      <c r="J213" s="1" t="s">
        <v>47</v>
      </c>
      <c r="K213" s="1" t="s">
        <v>48</v>
      </c>
      <c r="L213" s="1">
        <v>8.3500000000000005E-2</v>
      </c>
      <c r="M213" s="1">
        <v>1.87</v>
      </c>
      <c r="N213" s="1">
        <v>49.8</v>
      </c>
      <c r="O213" s="1" t="s">
        <v>49</v>
      </c>
      <c r="P213" s="1" t="s">
        <v>50</v>
      </c>
      <c r="Q213" s="1">
        <v>0.67100000000000004</v>
      </c>
      <c r="R213" s="1">
        <v>8.6999999999999993</v>
      </c>
      <c r="S213" s="1">
        <v>859</v>
      </c>
    </row>
    <row r="214" spans="1:19" ht="15.75" customHeight="1" x14ac:dyDescent="0.2">
      <c r="A214" s="10">
        <v>46085</v>
      </c>
      <c r="B214" s="11">
        <v>0.62958333333333338</v>
      </c>
      <c r="C214" s="1" t="s">
        <v>122</v>
      </c>
      <c r="D214" s="1" t="s">
        <v>139</v>
      </c>
      <c r="E214" s="1"/>
      <c r="F214" s="1" t="s">
        <v>56</v>
      </c>
      <c r="G214" s="1" t="s">
        <v>46</v>
      </c>
      <c r="H214" s="1">
        <v>1</v>
      </c>
      <c r="I214" s="1">
        <v>1</v>
      </c>
      <c r="J214" s="1" t="s">
        <v>47</v>
      </c>
      <c r="K214" s="1" t="s">
        <v>48</v>
      </c>
      <c r="L214" s="1">
        <v>0.13900000000000001</v>
      </c>
      <c r="M214" s="1">
        <v>1.78</v>
      </c>
      <c r="N214" s="1">
        <v>46.4</v>
      </c>
      <c r="O214" s="1" t="s">
        <v>49</v>
      </c>
      <c r="P214" s="1" t="s">
        <v>50</v>
      </c>
      <c r="Q214" s="1">
        <v>5.4000000000000003E-3</v>
      </c>
      <c r="R214" s="1">
        <v>0.13</v>
      </c>
      <c r="S214" s="1">
        <v>-75.8</v>
      </c>
    </row>
    <row r="215" spans="1:19" ht="15.75" customHeight="1" x14ac:dyDescent="0.2">
      <c r="A215" s="10">
        <v>46085</v>
      </c>
      <c r="B215" s="11">
        <v>0.63048611111111108</v>
      </c>
      <c r="C215" s="1" t="s">
        <v>122</v>
      </c>
      <c r="D215" s="1" t="s">
        <v>126</v>
      </c>
      <c r="E215" s="1"/>
      <c r="F215" s="1">
        <v>16</v>
      </c>
      <c r="G215" s="1" t="s">
        <v>88</v>
      </c>
      <c r="H215" s="1">
        <v>1</v>
      </c>
      <c r="I215" s="1">
        <v>1</v>
      </c>
      <c r="J215" s="1" t="s">
        <v>47</v>
      </c>
      <c r="K215" s="1" t="s">
        <v>48</v>
      </c>
      <c r="L215" s="1">
        <v>5.4600000000000003E-2</v>
      </c>
      <c r="M215" s="1">
        <v>1.31</v>
      </c>
      <c r="N215" s="1">
        <v>30.1</v>
      </c>
      <c r="O215" s="1" t="s">
        <v>49</v>
      </c>
      <c r="P215" s="1" t="s">
        <v>50</v>
      </c>
      <c r="Q215" s="1">
        <v>0.36599999999999999</v>
      </c>
      <c r="R215" s="1">
        <v>4.59</v>
      </c>
      <c r="S215" s="1">
        <v>416</v>
      </c>
    </row>
    <row r="216" spans="1:19" ht="15.75" customHeight="1" x14ac:dyDescent="0.2">
      <c r="A216" s="10">
        <v>46085</v>
      </c>
      <c r="B216" s="11">
        <v>0.63137731481481485</v>
      </c>
      <c r="C216" s="1" t="s">
        <v>122</v>
      </c>
      <c r="D216" s="1" t="s">
        <v>228</v>
      </c>
      <c r="E216" s="1"/>
      <c r="F216" s="1">
        <v>166</v>
      </c>
      <c r="G216" s="1" t="s">
        <v>46</v>
      </c>
      <c r="H216" s="1">
        <v>1</v>
      </c>
      <c r="I216" s="1">
        <v>1</v>
      </c>
      <c r="J216" s="1" t="s">
        <v>47</v>
      </c>
      <c r="K216" s="1" t="s">
        <v>48</v>
      </c>
      <c r="L216" s="1">
        <v>5.8099999999999999E-2</v>
      </c>
      <c r="M216" s="1">
        <v>1.39</v>
      </c>
      <c r="N216" s="1">
        <v>32.799999999999997</v>
      </c>
      <c r="O216" s="1" t="s">
        <v>49</v>
      </c>
      <c r="P216" s="1" t="s">
        <v>50</v>
      </c>
      <c r="Q216" s="1">
        <v>0.443</v>
      </c>
      <c r="R216" s="1">
        <v>6.04</v>
      </c>
      <c r="S216" s="1">
        <v>574</v>
      </c>
    </row>
    <row r="217" spans="1:19" ht="15.75" customHeight="1" x14ac:dyDescent="0.2">
      <c r="A217" s="10">
        <v>46085</v>
      </c>
      <c r="B217" s="11">
        <v>0.63226851851851851</v>
      </c>
      <c r="C217" s="1" t="s">
        <v>122</v>
      </c>
      <c r="D217" s="1" t="s">
        <v>229</v>
      </c>
      <c r="E217" s="1"/>
      <c r="F217" s="1">
        <v>167</v>
      </c>
      <c r="G217" s="1" t="s">
        <v>46</v>
      </c>
      <c r="H217" s="1">
        <v>1</v>
      </c>
      <c r="I217" s="1">
        <v>1</v>
      </c>
      <c r="J217" s="1" t="s">
        <v>47</v>
      </c>
      <c r="K217" s="1" t="s">
        <v>48</v>
      </c>
      <c r="L217" s="1">
        <v>4.48E-2</v>
      </c>
      <c r="M217" s="1">
        <v>1.0900000000000001</v>
      </c>
      <c r="N217" s="1">
        <v>22.6</v>
      </c>
      <c r="O217" s="1" t="s">
        <v>49</v>
      </c>
      <c r="P217" s="1" t="s">
        <v>50</v>
      </c>
      <c r="Q217" s="1">
        <v>1.29</v>
      </c>
      <c r="R217" s="1">
        <v>16.5</v>
      </c>
      <c r="S217" s="1">
        <v>1670</v>
      </c>
    </row>
    <row r="218" spans="1:19" ht="15.75" customHeight="1" x14ac:dyDescent="0.2">
      <c r="A218" s="10">
        <v>46085</v>
      </c>
      <c r="B218" s="11">
        <v>0.63315972222222228</v>
      </c>
      <c r="C218" s="1" t="s">
        <v>122</v>
      </c>
      <c r="D218" s="1" t="s">
        <v>230</v>
      </c>
      <c r="E218" s="1"/>
      <c r="F218" s="1">
        <v>168</v>
      </c>
      <c r="G218" s="1" t="s">
        <v>46</v>
      </c>
      <c r="H218" s="1">
        <v>1</v>
      </c>
      <c r="I218" s="1">
        <v>1</v>
      </c>
      <c r="J218" s="1" t="s">
        <v>47</v>
      </c>
      <c r="K218" s="1" t="s">
        <v>48</v>
      </c>
      <c r="L218" s="1">
        <v>9.5200000000000007E-2</v>
      </c>
      <c r="M218" s="1">
        <v>1.84</v>
      </c>
      <c r="N218" s="1">
        <v>48.7</v>
      </c>
      <c r="O218" s="1" t="s">
        <v>49</v>
      </c>
      <c r="P218" s="1" t="s">
        <v>50</v>
      </c>
      <c r="Q218" s="1">
        <v>0.98099999999999998</v>
      </c>
      <c r="R218" s="1">
        <v>12.5</v>
      </c>
      <c r="S218" s="1">
        <v>1260</v>
      </c>
    </row>
    <row r="219" spans="1:19" ht="15.75" customHeight="1" x14ac:dyDescent="0.2">
      <c r="A219" s="10">
        <v>46085</v>
      </c>
      <c r="B219" s="11">
        <v>0.63405092592592593</v>
      </c>
      <c r="C219" s="1" t="s">
        <v>122</v>
      </c>
      <c r="D219" s="1" t="s">
        <v>231</v>
      </c>
      <c r="E219" s="1"/>
      <c r="F219" s="1">
        <v>169</v>
      </c>
      <c r="G219" s="1" t="s">
        <v>46</v>
      </c>
      <c r="H219" s="1">
        <v>1</v>
      </c>
      <c r="I219" s="1">
        <v>1</v>
      </c>
      <c r="J219" s="1" t="s">
        <v>47</v>
      </c>
      <c r="K219" s="1" t="s">
        <v>48</v>
      </c>
      <c r="L219" s="1">
        <v>0.33</v>
      </c>
      <c r="M219" s="1">
        <v>6.23</v>
      </c>
      <c r="N219" s="1">
        <v>206</v>
      </c>
      <c r="O219" s="1" t="s">
        <v>49</v>
      </c>
      <c r="P219" s="1" t="s">
        <v>50</v>
      </c>
      <c r="Q219" s="1">
        <v>0.504</v>
      </c>
      <c r="R219" s="1">
        <v>5.94</v>
      </c>
      <c r="S219" s="1">
        <v>562</v>
      </c>
    </row>
    <row r="220" spans="1:19" ht="15.75" customHeight="1" x14ac:dyDescent="0.2">
      <c r="A220" s="10">
        <v>46085</v>
      </c>
      <c r="B220" s="11">
        <v>0.63495370370370374</v>
      </c>
      <c r="C220" s="1" t="s">
        <v>122</v>
      </c>
      <c r="D220" s="1" t="s">
        <v>232</v>
      </c>
      <c r="E220" s="1"/>
      <c r="F220" s="1">
        <v>170</v>
      </c>
      <c r="G220" s="1" t="s">
        <v>75</v>
      </c>
      <c r="H220" s="1">
        <v>1</v>
      </c>
      <c r="I220" s="1">
        <v>1</v>
      </c>
      <c r="J220" s="1" t="s">
        <v>47</v>
      </c>
      <c r="K220" s="1" t="s">
        <v>48</v>
      </c>
      <c r="L220" s="1">
        <v>5.4399999999999997E-2</v>
      </c>
      <c r="M220" s="1">
        <v>1.23</v>
      </c>
      <c r="N220" s="1">
        <v>27.4</v>
      </c>
      <c r="O220" s="1" t="s">
        <v>49</v>
      </c>
      <c r="P220" s="1" t="s">
        <v>50</v>
      </c>
      <c r="Q220" s="1">
        <v>0.48699999999999999</v>
      </c>
      <c r="R220" s="1">
        <v>6.45</v>
      </c>
      <c r="S220" s="1">
        <v>617</v>
      </c>
    </row>
    <row r="221" spans="1:19" ht="15.75" customHeight="1" x14ac:dyDescent="0.2">
      <c r="A221" s="10">
        <v>46085</v>
      </c>
      <c r="B221" s="11">
        <v>0.6358449074074074</v>
      </c>
      <c r="C221" s="1" t="s">
        <v>122</v>
      </c>
      <c r="D221" s="1" t="s">
        <v>233</v>
      </c>
      <c r="E221" s="1"/>
      <c r="F221" s="1">
        <v>176</v>
      </c>
      <c r="G221" s="1" t="s">
        <v>75</v>
      </c>
      <c r="H221" s="1">
        <v>1</v>
      </c>
      <c r="I221" s="1">
        <v>1</v>
      </c>
      <c r="J221" s="1" t="s">
        <v>47</v>
      </c>
      <c r="K221" s="1" t="s">
        <v>48</v>
      </c>
      <c r="L221" s="1">
        <v>5.2699999999999997E-2</v>
      </c>
      <c r="M221" s="1">
        <v>1.25</v>
      </c>
      <c r="N221" s="1">
        <v>28</v>
      </c>
      <c r="O221" s="1" t="s">
        <v>49</v>
      </c>
      <c r="P221" s="1" t="s">
        <v>50</v>
      </c>
      <c r="Q221" s="1">
        <v>0.46600000000000003</v>
      </c>
      <c r="R221" s="1">
        <v>6.19</v>
      </c>
      <c r="S221" s="1">
        <v>589</v>
      </c>
    </row>
    <row r="222" spans="1:19" ht="15.75" customHeight="1" x14ac:dyDescent="0.2">
      <c r="A222" s="10">
        <v>46085</v>
      </c>
      <c r="B222" s="11">
        <v>0.63673611111111106</v>
      </c>
      <c r="C222" s="1" t="s">
        <v>122</v>
      </c>
      <c r="D222" s="1" t="s">
        <v>234</v>
      </c>
      <c r="E222" s="1"/>
      <c r="F222" s="1">
        <v>171</v>
      </c>
      <c r="G222" s="1" t="s">
        <v>46</v>
      </c>
      <c r="H222" s="1">
        <v>1</v>
      </c>
      <c r="I222" s="1">
        <v>1</v>
      </c>
      <c r="J222" s="1" t="s">
        <v>47</v>
      </c>
      <c r="K222" s="1" t="s">
        <v>48</v>
      </c>
      <c r="L222" s="1">
        <v>7.3099999999999998E-2</v>
      </c>
      <c r="M222" s="1">
        <v>1.6</v>
      </c>
      <c r="N222" s="1">
        <v>40.1</v>
      </c>
      <c r="O222" s="1" t="s">
        <v>49</v>
      </c>
      <c r="P222" s="1" t="s">
        <v>50</v>
      </c>
      <c r="Q222" s="1">
        <v>1.74</v>
      </c>
      <c r="R222" s="1">
        <v>22.2</v>
      </c>
      <c r="S222" s="1">
        <v>2250</v>
      </c>
    </row>
    <row r="223" spans="1:19" ht="15.75" customHeight="1" x14ac:dyDescent="0.2">
      <c r="A223" s="10">
        <v>46085</v>
      </c>
      <c r="B223" s="11">
        <v>0.63761574074074079</v>
      </c>
      <c r="C223" s="1" t="s">
        <v>122</v>
      </c>
      <c r="D223" s="1" t="s">
        <v>235</v>
      </c>
      <c r="E223" s="1"/>
      <c r="F223" s="1">
        <v>172</v>
      </c>
      <c r="G223" s="1" t="s">
        <v>46</v>
      </c>
      <c r="H223" s="1">
        <v>1</v>
      </c>
      <c r="I223" s="1">
        <v>1</v>
      </c>
      <c r="J223" s="1" t="s">
        <v>47</v>
      </c>
      <c r="K223" s="1" t="s">
        <v>48</v>
      </c>
      <c r="L223" s="1">
        <v>6.6900000000000001E-2</v>
      </c>
      <c r="M223" s="1">
        <v>1.54</v>
      </c>
      <c r="N223" s="1">
        <v>38.299999999999997</v>
      </c>
      <c r="O223" s="1" t="s">
        <v>49</v>
      </c>
      <c r="P223" s="1" t="s">
        <v>50</v>
      </c>
      <c r="Q223" s="1">
        <v>1.56</v>
      </c>
      <c r="R223" s="1">
        <v>20</v>
      </c>
      <c r="S223" s="1">
        <v>2020</v>
      </c>
    </row>
    <row r="224" spans="1:19" ht="15.75" customHeight="1" x14ac:dyDescent="0.2">
      <c r="A224" s="10">
        <v>46085</v>
      </c>
      <c r="B224" s="11">
        <v>0.63851851851851849</v>
      </c>
      <c r="C224" s="1" t="s">
        <v>122</v>
      </c>
      <c r="D224" s="1" t="s">
        <v>236</v>
      </c>
      <c r="E224" s="1"/>
      <c r="F224" s="1">
        <v>173</v>
      </c>
      <c r="G224" s="1" t="s">
        <v>46</v>
      </c>
      <c r="H224" s="1">
        <v>1</v>
      </c>
      <c r="I224" s="1">
        <v>1</v>
      </c>
      <c r="J224" s="1" t="s">
        <v>47</v>
      </c>
      <c r="K224" s="1" t="s">
        <v>48</v>
      </c>
      <c r="L224" s="1">
        <v>3.78E-2</v>
      </c>
      <c r="M224" s="1">
        <v>0.86799999999999999</v>
      </c>
      <c r="N224" s="1">
        <v>14.7</v>
      </c>
      <c r="O224" s="1" t="s">
        <v>49</v>
      </c>
      <c r="P224" s="1" t="s">
        <v>50</v>
      </c>
      <c r="Q224" s="1">
        <v>0.44500000000000001</v>
      </c>
      <c r="R224" s="1">
        <v>5.55</v>
      </c>
      <c r="S224" s="1">
        <v>520</v>
      </c>
    </row>
    <row r="225" spans="1:19" ht="15.75" customHeight="1" x14ac:dyDescent="0.2">
      <c r="A225" s="10">
        <v>46085</v>
      </c>
      <c r="B225" s="11">
        <v>0.63940972222222225</v>
      </c>
      <c r="C225" s="1" t="s">
        <v>122</v>
      </c>
      <c r="D225" s="1" t="s">
        <v>237</v>
      </c>
      <c r="E225" s="1"/>
      <c r="F225" s="1">
        <v>174</v>
      </c>
      <c r="G225" s="1" t="s">
        <v>46</v>
      </c>
      <c r="H225" s="1">
        <v>1</v>
      </c>
      <c r="I225" s="1">
        <v>1</v>
      </c>
      <c r="J225" s="1" t="s">
        <v>47</v>
      </c>
      <c r="K225" s="1" t="s">
        <v>48</v>
      </c>
      <c r="L225" s="1">
        <v>0.22500000000000001</v>
      </c>
      <c r="M225" s="1">
        <v>4.53</v>
      </c>
      <c r="N225" s="1">
        <v>144</v>
      </c>
      <c r="O225" s="1" t="s">
        <v>49</v>
      </c>
      <c r="P225" s="1" t="s">
        <v>50</v>
      </c>
      <c r="Q225" s="1">
        <v>1.17</v>
      </c>
      <c r="R225" s="1">
        <v>15.1</v>
      </c>
      <c r="S225" s="1">
        <v>1530</v>
      </c>
    </row>
    <row r="226" spans="1:19" ht="15.75" customHeight="1" x14ac:dyDescent="0.2">
      <c r="A226" s="10">
        <v>46085</v>
      </c>
      <c r="B226" s="11">
        <v>0.64030092592592591</v>
      </c>
      <c r="C226" s="1" t="s">
        <v>122</v>
      </c>
      <c r="D226" s="1" t="s">
        <v>238</v>
      </c>
      <c r="E226" s="1"/>
      <c r="F226" s="1">
        <v>175</v>
      </c>
      <c r="G226" s="1" t="s">
        <v>84</v>
      </c>
      <c r="H226" s="1">
        <v>1</v>
      </c>
      <c r="I226" s="1">
        <v>1</v>
      </c>
      <c r="J226" s="1" t="s">
        <v>47</v>
      </c>
      <c r="K226" s="1" t="s">
        <v>48</v>
      </c>
      <c r="L226" s="1">
        <v>6.3700000000000007E-2</v>
      </c>
      <c r="M226" s="1">
        <v>1.53</v>
      </c>
      <c r="N226" s="1">
        <v>37.9</v>
      </c>
      <c r="O226" s="1" t="s">
        <v>49</v>
      </c>
      <c r="P226" s="1" t="s">
        <v>50</v>
      </c>
      <c r="Q226" s="1">
        <v>0.77600000000000002</v>
      </c>
      <c r="R226" s="1">
        <v>9.91</v>
      </c>
      <c r="S226" s="1">
        <v>987</v>
      </c>
    </row>
    <row r="227" spans="1:19" ht="15.75" customHeight="1" x14ac:dyDescent="0.2">
      <c r="A227" s="10">
        <v>46085</v>
      </c>
      <c r="B227" s="11">
        <v>0.64119212962962968</v>
      </c>
      <c r="C227" s="1" t="s">
        <v>122</v>
      </c>
      <c r="D227" s="1" t="s">
        <v>239</v>
      </c>
      <c r="E227" s="1"/>
      <c r="F227" s="1">
        <v>177</v>
      </c>
      <c r="G227" s="1" t="s">
        <v>84</v>
      </c>
      <c r="H227" s="1">
        <v>1</v>
      </c>
      <c r="I227" s="1">
        <v>1</v>
      </c>
      <c r="J227" s="1" t="s">
        <v>47</v>
      </c>
      <c r="K227" s="1" t="s">
        <v>48</v>
      </c>
      <c r="L227" s="1">
        <v>0.11600000000000001</v>
      </c>
      <c r="M227" s="1">
        <v>2.37</v>
      </c>
      <c r="N227" s="1">
        <v>67.2</v>
      </c>
      <c r="O227" s="1" t="s">
        <v>49</v>
      </c>
      <c r="P227" s="1" t="s">
        <v>50</v>
      </c>
      <c r="Q227" s="1">
        <v>0.97399999999999998</v>
      </c>
      <c r="R227" s="1">
        <v>12.6</v>
      </c>
      <c r="S227" s="1">
        <v>1270</v>
      </c>
    </row>
    <row r="228" spans="1:19" ht="15.75" customHeight="1" x14ac:dyDescent="0.2">
      <c r="A228" s="10">
        <v>46085</v>
      </c>
      <c r="B228" s="11">
        <v>0.64208333333333334</v>
      </c>
      <c r="C228" s="1" t="s">
        <v>122</v>
      </c>
      <c r="D228" s="1" t="s">
        <v>125</v>
      </c>
      <c r="E228" s="1"/>
      <c r="F228" s="1" t="s">
        <v>58</v>
      </c>
      <c r="G228" s="1" t="s">
        <v>46</v>
      </c>
      <c r="H228" s="1">
        <v>1</v>
      </c>
      <c r="I228" s="1">
        <v>1</v>
      </c>
      <c r="J228" s="1" t="s">
        <v>47</v>
      </c>
      <c r="K228" s="1" t="s">
        <v>48</v>
      </c>
      <c r="L228" s="1">
        <v>1.24E-2</v>
      </c>
      <c r="M228" s="1">
        <v>0.14099999999999999</v>
      </c>
      <c r="N228" s="1">
        <v>-10.3</v>
      </c>
      <c r="O228" s="1" t="s">
        <v>49</v>
      </c>
      <c r="P228" s="1" t="s">
        <v>50</v>
      </c>
      <c r="Q228" s="1">
        <v>-1.7399999999999999E-2</v>
      </c>
      <c r="R228" s="1">
        <v>-0.245</v>
      </c>
      <c r="S228" s="1">
        <v>-118</v>
      </c>
    </row>
    <row r="229" spans="1:19" ht="15.75" customHeight="1" x14ac:dyDescent="0.2">
      <c r="A229" s="10">
        <v>46085</v>
      </c>
      <c r="B229" s="11">
        <v>0.64298611111111115</v>
      </c>
      <c r="C229" s="1" t="s">
        <v>122</v>
      </c>
      <c r="D229" s="1" t="s">
        <v>126</v>
      </c>
      <c r="E229" s="1"/>
      <c r="F229" s="1">
        <v>17</v>
      </c>
      <c r="G229" s="1" t="s">
        <v>88</v>
      </c>
      <c r="H229" s="1">
        <v>1</v>
      </c>
      <c r="I229" s="1">
        <v>1</v>
      </c>
      <c r="J229" s="1" t="s">
        <v>47</v>
      </c>
      <c r="K229" s="1" t="s">
        <v>48</v>
      </c>
      <c r="L229" s="1">
        <v>5.6399999999999999E-2</v>
      </c>
      <c r="M229" s="1">
        <v>1.28</v>
      </c>
      <c r="N229" s="1">
        <v>29.2</v>
      </c>
      <c r="O229" s="1" t="s">
        <v>49</v>
      </c>
      <c r="P229" s="1" t="s">
        <v>50</v>
      </c>
      <c r="Q229" s="1">
        <v>0.372</v>
      </c>
      <c r="R229" s="1">
        <v>4.9400000000000004</v>
      </c>
      <c r="S229" s="1">
        <v>454</v>
      </c>
    </row>
    <row r="230" spans="1:19" ht="15.75" customHeight="1" x14ac:dyDescent="0.2">
      <c r="A230" s="10">
        <v>46085</v>
      </c>
      <c r="B230" s="11">
        <v>0.64385416666666662</v>
      </c>
      <c r="C230" s="1" t="s">
        <v>122</v>
      </c>
      <c r="D230" s="1" t="s">
        <v>51</v>
      </c>
      <c r="E230" s="1"/>
      <c r="F230" s="1" t="s">
        <v>52</v>
      </c>
      <c r="G230" s="1" t="s">
        <v>46</v>
      </c>
      <c r="H230" s="1">
        <v>1</v>
      </c>
      <c r="I230" s="1">
        <v>1</v>
      </c>
      <c r="J230" s="1" t="s">
        <v>47</v>
      </c>
      <c r="K230" s="1" t="s">
        <v>48</v>
      </c>
      <c r="L230" s="1">
        <v>0.14599999999999999</v>
      </c>
      <c r="M230" s="1">
        <v>1.81</v>
      </c>
      <c r="N230" s="1">
        <v>47.4</v>
      </c>
      <c r="O230" s="1" t="s">
        <v>49</v>
      </c>
      <c r="P230" s="1" t="s">
        <v>50</v>
      </c>
      <c r="Q230" s="1">
        <v>2.0099999999999998</v>
      </c>
      <c r="R230" s="1">
        <v>26.4</v>
      </c>
      <c r="S230" s="1">
        <v>2660</v>
      </c>
    </row>
    <row r="231" spans="1:19" ht="15.75" customHeight="1" x14ac:dyDescent="0.2">
      <c r="A231" s="10">
        <v>46085</v>
      </c>
      <c r="B231" s="11">
        <v>0.64474537037037039</v>
      </c>
      <c r="C231" s="1" t="s">
        <v>122</v>
      </c>
      <c r="D231" s="1" t="s">
        <v>53</v>
      </c>
      <c r="E231" s="1"/>
      <c r="F231" s="1" t="s">
        <v>54</v>
      </c>
      <c r="G231" s="1" t="s">
        <v>46</v>
      </c>
      <c r="H231" s="1">
        <v>1</v>
      </c>
      <c r="I231" s="1">
        <v>1</v>
      </c>
      <c r="J231" s="1" t="s">
        <v>47</v>
      </c>
      <c r="K231" s="1" t="s">
        <v>48</v>
      </c>
      <c r="L231" s="1">
        <v>0.13400000000000001</v>
      </c>
      <c r="M231" s="1">
        <v>1.65</v>
      </c>
      <c r="N231" s="1">
        <v>41.8</v>
      </c>
      <c r="O231" s="1" t="s">
        <v>49</v>
      </c>
      <c r="P231" s="1" t="s">
        <v>50</v>
      </c>
      <c r="Q231" s="1">
        <v>1.96</v>
      </c>
      <c r="R231" s="1">
        <v>25.1</v>
      </c>
      <c r="S231" s="1">
        <v>2540</v>
      </c>
    </row>
    <row r="232" spans="1:19" ht="15.75" customHeight="1" x14ac:dyDescent="0.2">
      <c r="A232" s="10">
        <v>46085</v>
      </c>
      <c r="B232" s="11">
        <v>0.64563657407407404</v>
      </c>
      <c r="C232" s="1" t="s">
        <v>122</v>
      </c>
      <c r="D232" s="1" t="s">
        <v>240</v>
      </c>
      <c r="E232" s="1"/>
      <c r="F232" s="1">
        <v>178</v>
      </c>
      <c r="G232" s="1" t="s">
        <v>46</v>
      </c>
      <c r="H232" s="1">
        <v>1</v>
      </c>
      <c r="I232" s="1">
        <v>1</v>
      </c>
      <c r="J232" s="1" t="s">
        <v>47</v>
      </c>
      <c r="K232" s="1" t="s">
        <v>48</v>
      </c>
      <c r="L232" s="1">
        <v>7.2400000000000006E-2</v>
      </c>
      <c r="M232" s="1">
        <v>1.65</v>
      </c>
      <c r="N232" s="1">
        <v>41.8</v>
      </c>
      <c r="O232" s="1" t="s">
        <v>49</v>
      </c>
      <c r="P232" s="1" t="s">
        <v>50</v>
      </c>
      <c r="Q232" s="1">
        <v>0.70399999999999996</v>
      </c>
      <c r="R232" s="1">
        <v>9.1</v>
      </c>
      <c r="S232" s="1">
        <v>901</v>
      </c>
    </row>
    <row r="233" spans="1:19" ht="15.75" customHeight="1" x14ac:dyDescent="0.2">
      <c r="A233" s="10">
        <v>46085</v>
      </c>
      <c r="B233" s="11">
        <v>0.64652777777777781</v>
      </c>
      <c r="C233" s="1" t="s">
        <v>122</v>
      </c>
      <c r="D233" s="1" t="s">
        <v>241</v>
      </c>
      <c r="E233" s="1"/>
      <c r="F233" s="1">
        <v>179</v>
      </c>
      <c r="G233" s="1" t="s">
        <v>46</v>
      </c>
      <c r="H233" s="1">
        <v>1</v>
      </c>
      <c r="I233" s="1">
        <v>1</v>
      </c>
      <c r="J233" s="1" t="s">
        <v>47</v>
      </c>
      <c r="K233" s="1" t="s">
        <v>48</v>
      </c>
      <c r="L233" s="1">
        <v>3.1800000000000002E-2</v>
      </c>
      <c r="M233" s="1">
        <v>0.82299999999999995</v>
      </c>
      <c r="N233" s="1">
        <v>13.2</v>
      </c>
      <c r="O233" s="1" t="s">
        <v>49</v>
      </c>
      <c r="P233" s="1" t="s">
        <v>50</v>
      </c>
      <c r="Q233" s="1">
        <v>0.33800000000000002</v>
      </c>
      <c r="R233" s="1">
        <v>4.46</v>
      </c>
      <c r="S233" s="1">
        <v>401</v>
      </c>
    </row>
    <row r="234" spans="1:19" ht="15.75" customHeight="1" x14ac:dyDescent="0.2">
      <c r="A234" s="10">
        <v>46085</v>
      </c>
      <c r="B234" s="11">
        <v>0.64741898148148147</v>
      </c>
      <c r="C234" s="1" t="s">
        <v>122</v>
      </c>
      <c r="D234" s="1" t="s">
        <v>242</v>
      </c>
      <c r="E234" s="1"/>
      <c r="F234" s="1">
        <v>180</v>
      </c>
      <c r="G234" s="1" t="s">
        <v>46</v>
      </c>
      <c r="H234" s="1">
        <v>1</v>
      </c>
      <c r="I234" s="1">
        <v>1</v>
      </c>
      <c r="J234" s="1" t="s">
        <v>47</v>
      </c>
      <c r="K234" s="1" t="s">
        <v>48</v>
      </c>
      <c r="L234" s="1">
        <v>7.9899999999999999E-2</v>
      </c>
      <c r="M234" s="1">
        <v>1.71</v>
      </c>
      <c r="N234" s="1">
        <v>44.2</v>
      </c>
      <c r="O234" s="1" t="s">
        <v>49</v>
      </c>
      <c r="P234" s="1" t="s">
        <v>50</v>
      </c>
      <c r="Q234" s="1">
        <v>1.76</v>
      </c>
      <c r="R234" s="1">
        <v>22.4</v>
      </c>
      <c r="S234" s="1">
        <v>2270</v>
      </c>
    </row>
    <row r="235" spans="1:19" ht="15.75" customHeight="1" x14ac:dyDescent="0.2">
      <c r="A235" s="10">
        <v>46085</v>
      </c>
      <c r="B235" s="11">
        <v>0.64832175925925928</v>
      </c>
      <c r="C235" s="1" t="s">
        <v>122</v>
      </c>
      <c r="D235" s="1" t="s">
        <v>243</v>
      </c>
      <c r="E235" s="1"/>
      <c r="F235" s="1">
        <v>181</v>
      </c>
      <c r="G235" s="1" t="s">
        <v>46</v>
      </c>
      <c r="H235" s="1">
        <v>1</v>
      </c>
      <c r="I235" s="1">
        <v>1</v>
      </c>
      <c r="J235" s="1" t="s">
        <v>47</v>
      </c>
      <c r="K235" s="1" t="s">
        <v>48</v>
      </c>
      <c r="L235" s="1">
        <v>0.191</v>
      </c>
      <c r="M235" s="1">
        <v>3.78</v>
      </c>
      <c r="N235" s="1">
        <v>117</v>
      </c>
      <c r="O235" s="1" t="s">
        <v>49</v>
      </c>
      <c r="P235" s="1" t="s">
        <v>50</v>
      </c>
      <c r="Q235" s="1">
        <v>0.95</v>
      </c>
      <c r="R235" s="1">
        <v>12.2</v>
      </c>
      <c r="S235" s="1">
        <v>1230</v>
      </c>
    </row>
    <row r="236" spans="1:19" ht="15.75" customHeight="1" x14ac:dyDescent="0.2">
      <c r="A236" s="10">
        <v>46085</v>
      </c>
      <c r="B236" s="11">
        <v>0.64921296296296294</v>
      </c>
      <c r="C236" s="1" t="s">
        <v>122</v>
      </c>
      <c r="D236" s="1" t="s">
        <v>244</v>
      </c>
      <c r="E236" s="1"/>
      <c r="F236" s="1">
        <v>182</v>
      </c>
      <c r="G236" s="1" t="s">
        <v>75</v>
      </c>
      <c r="H236" s="1">
        <v>1</v>
      </c>
      <c r="I236" s="1">
        <v>1</v>
      </c>
      <c r="J236" s="1" t="s">
        <v>47</v>
      </c>
      <c r="K236" s="1" t="s">
        <v>48</v>
      </c>
      <c r="L236" s="1">
        <v>9.5299999999999996E-2</v>
      </c>
      <c r="M236" s="1">
        <v>2.21</v>
      </c>
      <c r="N236" s="1">
        <v>61.5</v>
      </c>
      <c r="O236" s="1" t="s">
        <v>49</v>
      </c>
      <c r="P236" s="1" t="s">
        <v>50</v>
      </c>
      <c r="Q236" s="1">
        <v>4.5</v>
      </c>
      <c r="R236" s="1">
        <v>57.8</v>
      </c>
      <c r="S236" s="1">
        <v>5430</v>
      </c>
    </row>
    <row r="237" spans="1:19" ht="15.75" customHeight="1" x14ac:dyDescent="0.2">
      <c r="A237" s="10">
        <v>46085</v>
      </c>
      <c r="B237" s="11">
        <v>0.65011574074074074</v>
      </c>
      <c r="C237" s="1" t="s">
        <v>122</v>
      </c>
      <c r="D237" s="1" t="s">
        <v>245</v>
      </c>
      <c r="E237" s="1"/>
      <c r="F237" s="1">
        <v>188</v>
      </c>
      <c r="G237" s="1" t="s">
        <v>75</v>
      </c>
      <c r="H237" s="1">
        <v>1</v>
      </c>
      <c r="I237" s="1">
        <v>1</v>
      </c>
      <c r="J237" s="1" t="s">
        <v>47</v>
      </c>
      <c r="K237" s="1" t="s">
        <v>48</v>
      </c>
      <c r="L237" s="1">
        <v>9.8400000000000001E-2</v>
      </c>
      <c r="M237" s="1">
        <v>2.0099999999999998</v>
      </c>
      <c r="N237" s="1">
        <v>54.7</v>
      </c>
      <c r="O237" s="1" t="s">
        <v>49</v>
      </c>
      <c r="P237" s="1" t="s">
        <v>50</v>
      </c>
      <c r="Q237" s="1">
        <v>4.5199999999999996</v>
      </c>
      <c r="R237" s="1">
        <v>57.6</v>
      </c>
      <c r="S237" s="1">
        <v>5410</v>
      </c>
    </row>
    <row r="238" spans="1:19" ht="15.75" customHeight="1" x14ac:dyDescent="0.2">
      <c r="A238" s="10">
        <v>46085</v>
      </c>
      <c r="B238" s="11">
        <v>0.65101851851851855</v>
      </c>
      <c r="C238" s="1" t="s">
        <v>122</v>
      </c>
      <c r="D238" s="1" t="s">
        <v>246</v>
      </c>
      <c r="E238" s="1"/>
      <c r="F238" s="1">
        <v>183</v>
      </c>
      <c r="G238" s="1" t="s">
        <v>46</v>
      </c>
      <c r="H238" s="1">
        <v>1</v>
      </c>
      <c r="I238" s="1">
        <v>1</v>
      </c>
      <c r="J238" s="1" t="s">
        <v>47</v>
      </c>
      <c r="K238" s="1" t="s">
        <v>48</v>
      </c>
      <c r="L238" s="1">
        <v>5.9700000000000003E-2</v>
      </c>
      <c r="M238" s="1">
        <v>1.39</v>
      </c>
      <c r="N238" s="1">
        <v>33</v>
      </c>
      <c r="O238" s="1" t="s">
        <v>49</v>
      </c>
      <c r="P238" s="1" t="s">
        <v>50</v>
      </c>
      <c r="Q238" s="1">
        <v>0.59899999999999998</v>
      </c>
      <c r="R238" s="1">
        <v>7.81</v>
      </c>
      <c r="S238" s="1">
        <v>764</v>
      </c>
    </row>
    <row r="239" spans="1:19" ht="15.75" customHeight="1" x14ac:dyDescent="0.2">
      <c r="A239" s="10">
        <v>46085</v>
      </c>
      <c r="B239" s="11">
        <v>0.65190972222222221</v>
      </c>
      <c r="C239" s="1" t="s">
        <v>122</v>
      </c>
      <c r="D239" s="1" t="s">
        <v>247</v>
      </c>
      <c r="E239" s="1"/>
      <c r="F239" s="1">
        <v>184</v>
      </c>
      <c r="G239" s="1" t="s">
        <v>46</v>
      </c>
      <c r="H239" s="1">
        <v>1</v>
      </c>
      <c r="I239" s="1">
        <v>1</v>
      </c>
      <c r="J239" s="1" t="s">
        <v>47</v>
      </c>
      <c r="K239" s="1" t="s">
        <v>48</v>
      </c>
      <c r="L239" s="1">
        <v>7.6399999999999996E-2</v>
      </c>
      <c r="M239" s="1">
        <v>1.54</v>
      </c>
      <c r="N239" s="1">
        <v>38.200000000000003</v>
      </c>
      <c r="O239" s="1" t="s">
        <v>49</v>
      </c>
      <c r="P239" s="1" t="s">
        <v>50</v>
      </c>
      <c r="Q239" s="1">
        <v>0.52400000000000002</v>
      </c>
      <c r="R239" s="1">
        <v>6.91</v>
      </c>
      <c r="S239" s="1">
        <v>667</v>
      </c>
    </row>
    <row r="240" spans="1:19" ht="15.75" customHeight="1" x14ac:dyDescent="0.2">
      <c r="A240" s="10">
        <v>46085</v>
      </c>
      <c r="B240" s="11">
        <v>0.65280092592592598</v>
      </c>
      <c r="C240" s="1" t="s">
        <v>122</v>
      </c>
      <c r="D240" s="1" t="s">
        <v>249</v>
      </c>
      <c r="E240" s="1"/>
      <c r="F240" s="1">
        <v>185</v>
      </c>
      <c r="G240" s="1" t="s">
        <v>46</v>
      </c>
      <c r="H240" s="1">
        <v>1</v>
      </c>
      <c r="I240" s="1">
        <v>1</v>
      </c>
      <c r="J240" s="1" t="s">
        <v>47</v>
      </c>
      <c r="K240" s="1" t="s">
        <v>48</v>
      </c>
      <c r="L240" s="1">
        <v>0.41399999999999998</v>
      </c>
      <c r="M240" s="1">
        <v>7.72</v>
      </c>
      <c r="N240" s="1">
        <v>261</v>
      </c>
      <c r="O240" s="1" t="s">
        <v>49</v>
      </c>
      <c r="P240" s="1" t="s">
        <v>50</v>
      </c>
      <c r="Q240" s="1">
        <v>0.88</v>
      </c>
      <c r="R240" s="1">
        <v>11.3</v>
      </c>
      <c r="S240" s="1">
        <v>1140</v>
      </c>
    </row>
    <row r="241" spans="1:19" ht="15.75" customHeight="1" x14ac:dyDescent="0.2">
      <c r="A241" s="10">
        <v>46085</v>
      </c>
      <c r="B241" s="11">
        <v>0.65370370370370368</v>
      </c>
      <c r="C241" s="1" t="s">
        <v>122</v>
      </c>
      <c r="D241" s="1" t="s">
        <v>250</v>
      </c>
      <c r="E241" s="1"/>
      <c r="F241" s="1">
        <v>186</v>
      </c>
      <c r="G241" s="1" t="s">
        <v>46</v>
      </c>
      <c r="H241" s="1">
        <v>1</v>
      </c>
      <c r="I241" s="1">
        <v>1</v>
      </c>
      <c r="J241" s="1" t="s">
        <v>47</v>
      </c>
      <c r="K241" s="1" t="s">
        <v>48</v>
      </c>
      <c r="L241" s="1">
        <v>7.9500000000000001E-2</v>
      </c>
      <c r="M241" s="1">
        <v>1.75</v>
      </c>
      <c r="N241" s="1">
        <v>45.6</v>
      </c>
      <c r="O241" s="1" t="s">
        <v>49</v>
      </c>
      <c r="P241" s="1" t="s">
        <v>50</v>
      </c>
      <c r="Q241" s="1">
        <v>0.97199999999999998</v>
      </c>
      <c r="R241" s="1">
        <v>12.5</v>
      </c>
      <c r="S241" s="1">
        <v>1270</v>
      </c>
    </row>
    <row r="242" spans="1:19" ht="15.75" customHeight="1" x14ac:dyDescent="0.2">
      <c r="A242" s="10">
        <v>46085</v>
      </c>
      <c r="B242" s="11">
        <v>0.65460648148148148</v>
      </c>
      <c r="C242" s="1" t="s">
        <v>122</v>
      </c>
      <c r="D242" s="1" t="s">
        <v>251</v>
      </c>
      <c r="E242" s="1"/>
      <c r="F242" s="1">
        <v>187</v>
      </c>
      <c r="G242" s="1" t="s">
        <v>84</v>
      </c>
      <c r="H242" s="1">
        <v>1</v>
      </c>
      <c r="I242" s="1">
        <v>1</v>
      </c>
      <c r="J242" s="1" t="s">
        <v>47</v>
      </c>
      <c r="K242" s="1" t="s">
        <v>48</v>
      </c>
      <c r="L242" s="1">
        <v>2.2700000000000001E-2</v>
      </c>
      <c r="M242" s="1">
        <v>0.59399999999999997</v>
      </c>
      <c r="N242" s="1">
        <v>5.27</v>
      </c>
      <c r="O242" s="1" t="s">
        <v>49</v>
      </c>
      <c r="P242" s="1" t="s">
        <v>50</v>
      </c>
      <c r="Q242" s="1">
        <v>0.17</v>
      </c>
      <c r="R242" s="1">
        <v>2.61</v>
      </c>
      <c r="S242" s="1">
        <v>198</v>
      </c>
    </row>
    <row r="243" spans="1:19" ht="15.75" customHeight="1" x14ac:dyDescent="0.2">
      <c r="A243" s="10">
        <v>46085</v>
      </c>
      <c r="B243" s="11">
        <v>0.65549768518518514</v>
      </c>
      <c r="C243" s="1" t="s">
        <v>122</v>
      </c>
      <c r="D243" s="1" t="s">
        <v>252</v>
      </c>
      <c r="E243" s="1"/>
      <c r="F243" s="1">
        <v>189</v>
      </c>
      <c r="G243" s="1" t="s">
        <v>84</v>
      </c>
      <c r="H243" s="1">
        <v>1</v>
      </c>
      <c r="I243" s="1">
        <v>1</v>
      </c>
      <c r="J243" s="1" t="s">
        <v>47</v>
      </c>
      <c r="K243" s="1" t="s">
        <v>48</v>
      </c>
      <c r="L243" s="1">
        <v>6.7100000000000007E-2</v>
      </c>
      <c r="M243" s="1">
        <v>1.45</v>
      </c>
      <c r="N243" s="1">
        <v>35</v>
      </c>
      <c r="O243" s="1" t="s">
        <v>49</v>
      </c>
      <c r="P243" s="1" t="s">
        <v>50</v>
      </c>
      <c r="Q243" s="1">
        <v>0.44800000000000001</v>
      </c>
      <c r="R243" s="1">
        <v>5.86</v>
      </c>
      <c r="S243" s="1">
        <v>553</v>
      </c>
    </row>
    <row r="244" spans="1:19" ht="15.75" customHeight="1" x14ac:dyDescent="0.2">
      <c r="A244" s="10">
        <v>46085</v>
      </c>
      <c r="B244" s="11">
        <v>0.65638888888888891</v>
      </c>
      <c r="C244" s="1" t="s">
        <v>122</v>
      </c>
      <c r="D244" s="1" t="s">
        <v>139</v>
      </c>
      <c r="E244" s="1"/>
      <c r="F244" s="1" t="s">
        <v>56</v>
      </c>
      <c r="G244" s="1" t="s">
        <v>46</v>
      </c>
      <c r="H244" s="1">
        <v>1</v>
      </c>
      <c r="I244" s="1">
        <v>1</v>
      </c>
      <c r="J244" s="1" t="s">
        <v>47</v>
      </c>
      <c r="K244" s="1" t="s">
        <v>48</v>
      </c>
      <c r="L244" s="1">
        <v>0.13500000000000001</v>
      </c>
      <c r="M244" s="1">
        <v>1.64</v>
      </c>
      <c r="N244" s="1">
        <v>41.6</v>
      </c>
      <c r="O244" s="1" t="s">
        <v>49</v>
      </c>
      <c r="P244" s="1" t="s">
        <v>50</v>
      </c>
      <c r="Q244" s="1">
        <v>5.2300000000000003E-3</v>
      </c>
      <c r="R244" s="1">
        <v>7.7700000000000005E-2</v>
      </c>
      <c r="S244" s="1">
        <v>-81.599999999999994</v>
      </c>
    </row>
    <row r="245" spans="1:19" ht="15.75" customHeight="1" x14ac:dyDescent="0.2">
      <c r="A245" s="10">
        <v>46085</v>
      </c>
      <c r="B245" s="11">
        <v>0.65728009259259257</v>
      </c>
      <c r="C245" s="1" t="s">
        <v>122</v>
      </c>
      <c r="D245" s="1" t="s">
        <v>126</v>
      </c>
      <c r="E245" s="1"/>
      <c r="F245" s="1">
        <v>18</v>
      </c>
      <c r="G245" s="1" t="s">
        <v>88</v>
      </c>
      <c r="H245" s="1">
        <v>1</v>
      </c>
      <c r="I245" s="1">
        <v>1</v>
      </c>
      <c r="J245" s="1" t="s">
        <v>47</v>
      </c>
      <c r="K245" s="1" t="s">
        <v>48</v>
      </c>
      <c r="L245" s="1">
        <v>5.4899999999999997E-2</v>
      </c>
      <c r="M245" s="1">
        <v>1.29</v>
      </c>
      <c r="N245" s="1">
        <v>29.3</v>
      </c>
      <c r="O245" s="1" t="s">
        <v>49</v>
      </c>
      <c r="P245" s="1" t="s">
        <v>50</v>
      </c>
      <c r="Q245" s="1">
        <v>0.38300000000000001</v>
      </c>
      <c r="R245" s="1">
        <v>5</v>
      </c>
      <c r="S245" s="1">
        <v>461</v>
      </c>
    </row>
    <row r="246" spans="1:19" ht="15.75" customHeight="1" x14ac:dyDescent="0.2">
      <c r="A246" s="10">
        <v>46085</v>
      </c>
      <c r="B246" s="11">
        <v>0.65818287037037038</v>
      </c>
      <c r="C246" s="1" t="s">
        <v>122</v>
      </c>
      <c r="D246" s="1" t="s">
        <v>253</v>
      </c>
      <c r="E246" s="1"/>
      <c r="F246" s="1">
        <v>190</v>
      </c>
      <c r="G246" s="1" t="s">
        <v>46</v>
      </c>
      <c r="H246" s="1">
        <v>1</v>
      </c>
      <c r="I246" s="1">
        <v>1</v>
      </c>
      <c r="J246" s="1" t="s">
        <v>47</v>
      </c>
      <c r="K246" s="1" t="s">
        <v>48</v>
      </c>
      <c r="L246" s="1">
        <v>8.48E-2</v>
      </c>
      <c r="M246" s="1">
        <v>1.82</v>
      </c>
      <c r="N246" s="1">
        <v>47.8</v>
      </c>
      <c r="O246" s="1" t="s">
        <v>49</v>
      </c>
      <c r="P246" s="1" t="s">
        <v>50</v>
      </c>
      <c r="Q246" s="1">
        <v>1.01</v>
      </c>
      <c r="R246" s="1">
        <v>12.5</v>
      </c>
      <c r="S246" s="1">
        <v>1260</v>
      </c>
    </row>
    <row r="247" spans="1:19" ht="15.75" customHeight="1" x14ac:dyDescent="0.2">
      <c r="A247" s="10">
        <v>46085</v>
      </c>
      <c r="B247" s="11">
        <v>0.65908564814814818</v>
      </c>
      <c r="C247" s="1" t="s">
        <v>122</v>
      </c>
      <c r="D247" s="1" t="s">
        <v>254</v>
      </c>
      <c r="E247" s="1"/>
      <c r="F247" s="1">
        <v>191</v>
      </c>
      <c r="G247" s="1" t="s">
        <v>46</v>
      </c>
      <c r="H247" s="1">
        <v>1</v>
      </c>
      <c r="I247" s="1">
        <v>1</v>
      </c>
      <c r="J247" s="1" t="s">
        <v>47</v>
      </c>
      <c r="K247" s="1" t="s">
        <v>48</v>
      </c>
      <c r="L247" s="1">
        <v>6.5100000000000005E-2</v>
      </c>
      <c r="M247" s="1">
        <v>1.48</v>
      </c>
      <c r="N247" s="1">
        <v>36.1</v>
      </c>
      <c r="O247" s="1" t="s">
        <v>49</v>
      </c>
      <c r="P247" s="1" t="s">
        <v>50</v>
      </c>
      <c r="Q247" s="1">
        <v>0.59699999999999998</v>
      </c>
      <c r="R247" s="1">
        <v>7.83</v>
      </c>
      <c r="S247" s="1">
        <v>765</v>
      </c>
    </row>
    <row r="248" spans="1:19" ht="15.75" customHeight="1" x14ac:dyDescent="0.2">
      <c r="A248" s="10">
        <v>46085</v>
      </c>
      <c r="B248" s="11">
        <v>0.65998842592592588</v>
      </c>
      <c r="C248" s="1" t="s">
        <v>122</v>
      </c>
      <c r="D248" s="1" t="s">
        <v>255</v>
      </c>
      <c r="E248" s="1"/>
      <c r="F248" s="1">
        <v>192</v>
      </c>
      <c r="G248" s="1" t="s">
        <v>46</v>
      </c>
      <c r="H248" s="1">
        <v>1</v>
      </c>
      <c r="I248" s="1">
        <v>1</v>
      </c>
      <c r="J248" s="1" t="s">
        <v>47</v>
      </c>
      <c r="K248" s="1" t="s">
        <v>48</v>
      </c>
      <c r="L248" s="1">
        <v>6.4500000000000002E-2</v>
      </c>
      <c r="M248" s="1">
        <v>1.5</v>
      </c>
      <c r="N248" s="1">
        <v>36.700000000000003</v>
      </c>
      <c r="O248" s="1" t="s">
        <v>49</v>
      </c>
      <c r="P248" s="1" t="s">
        <v>50</v>
      </c>
      <c r="Q248" s="1">
        <v>1.72</v>
      </c>
      <c r="R248" s="1">
        <v>22</v>
      </c>
      <c r="S248" s="1">
        <v>2230</v>
      </c>
    </row>
    <row r="249" spans="1:19" ht="15.75" customHeight="1" x14ac:dyDescent="0.2">
      <c r="A249" s="10">
        <v>46085</v>
      </c>
      <c r="B249" s="11">
        <v>0.66087962962962965</v>
      </c>
      <c r="C249" s="1" t="s">
        <v>122</v>
      </c>
      <c r="D249" s="1" t="s">
        <v>256</v>
      </c>
      <c r="E249" s="1"/>
      <c r="F249" s="1">
        <v>193</v>
      </c>
      <c r="G249" s="1" t="s">
        <v>46</v>
      </c>
      <c r="H249" s="1">
        <v>1</v>
      </c>
      <c r="I249" s="1">
        <v>1</v>
      </c>
      <c r="J249" s="1" t="s">
        <v>47</v>
      </c>
      <c r="K249" s="1" t="s">
        <v>48</v>
      </c>
      <c r="L249" s="1">
        <v>5.8000000000000003E-2</v>
      </c>
      <c r="M249" s="1">
        <v>1.35</v>
      </c>
      <c r="N249" s="1">
        <v>31.7</v>
      </c>
      <c r="O249" s="1" t="s">
        <v>49</v>
      </c>
      <c r="P249" s="1" t="s">
        <v>50</v>
      </c>
      <c r="Q249" s="1">
        <v>0.69299999999999995</v>
      </c>
      <c r="R249" s="1">
        <v>8.66</v>
      </c>
      <c r="S249" s="1">
        <v>854</v>
      </c>
    </row>
    <row r="250" spans="1:19" ht="15.75" customHeight="1" x14ac:dyDescent="0.2">
      <c r="A250" s="10">
        <v>46085</v>
      </c>
      <c r="B250" s="11">
        <v>0.66175925925925927</v>
      </c>
      <c r="C250" s="1" t="s">
        <v>122</v>
      </c>
      <c r="D250" s="1" t="s">
        <v>257</v>
      </c>
      <c r="E250" s="1"/>
      <c r="F250" s="1">
        <v>194</v>
      </c>
      <c r="G250" s="1" t="s">
        <v>75</v>
      </c>
      <c r="H250" s="1">
        <v>1</v>
      </c>
      <c r="I250" s="1">
        <v>1</v>
      </c>
      <c r="J250" s="1" t="s">
        <v>47</v>
      </c>
      <c r="K250" s="1" t="s">
        <v>48</v>
      </c>
      <c r="L250" s="1">
        <v>8.2500000000000004E-2</v>
      </c>
      <c r="M250" s="1">
        <v>1.78</v>
      </c>
      <c r="N250" s="1">
        <v>46.6</v>
      </c>
      <c r="O250" s="1" t="s">
        <v>49</v>
      </c>
      <c r="P250" s="1" t="s">
        <v>50</v>
      </c>
      <c r="Q250" s="1">
        <v>0.83299999999999996</v>
      </c>
      <c r="R250" s="1">
        <v>10.9</v>
      </c>
      <c r="S250" s="1">
        <v>1100</v>
      </c>
    </row>
    <row r="251" spans="1:19" ht="15.75" customHeight="1" x14ac:dyDescent="0.2">
      <c r="A251" s="10">
        <v>46085</v>
      </c>
      <c r="B251" s="11">
        <v>0.66267361111111112</v>
      </c>
      <c r="C251" s="1" t="s">
        <v>122</v>
      </c>
      <c r="D251" s="1" t="s">
        <v>258</v>
      </c>
      <c r="E251" s="1"/>
      <c r="F251" s="1">
        <v>199</v>
      </c>
      <c r="G251" s="1" t="s">
        <v>75</v>
      </c>
      <c r="H251" s="1">
        <v>1</v>
      </c>
      <c r="I251" s="1">
        <v>1</v>
      </c>
      <c r="J251" s="1" t="s">
        <v>47</v>
      </c>
      <c r="K251" s="1" t="s">
        <v>48</v>
      </c>
      <c r="L251" s="1">
        <v>5.7299999999999997E-2</v>
      </c>
      <c r="M251" s="1">
        <v>1.37</v>
      </c>
      <c r="N251" s="1">
        <v>32.299999999999997</v>
      </c>
      <c r="O251" s="1" t="s">
        <v>49</v>
      </c>
      <c r="P251" s="1" t="s">
        <v>50</v>
      </c>
      <c r="Q251" s="1">
        <v>0.47399999999999998</v>
      </c>
      <c r="R251" s="1">
        <v>6.32</v>
      </c>
      <c r="S251" s="1">
        <v>603</v>
      </c>
    </row>
    <row r="252" spans="1:19" ht="15.75" customHeight="1" x14ac:dyDescent="0.2">
      <c r="A252" s="10">
        <v>46085</v>
      </c>
      <c r="B252" s="11">
        <v>0.66357638888888892</v>
      </c>
      <c r="C252" s="1" t="s">
        <v>122</v>
      </c>
      <c r="D252" s="1" t="s">
        <v>260</v>
      </c>
      <c r="E252" s="1"/>
      <c r="F252" s="1">
        <v>195</v>
      </c>
      <c r="G252" s="1" t="s">
        <v>46</v>
      </c>
      <c r="H252" s="1">
        <v>1</v>
      </c>
      <c r="I252" s="1">
        <v>1</v>
      </c>
      <c r="J252" s="1" t="s">
        <v>47</v>
      </c>
      <c r="K252" s="1" t="s">
        <v>48</v>
      </c>
      <c r="L252" s="1">
        <v>3.4299999999999997E-2</v>
      </c>
      <c r="M252" s="1">
        <v>0.93</v>
      </c>
      <c r="N252" s="1">
        <v>16.899999999999999</v>
      </c>
      <c r="O252" s="1" t="s">
        <v>49</v>
      </c>
      <c r="P252" s="1" t="s">
        <v>50</v>
      </c>
      <c r="Q252" s="1">
        <v>0.27900000000000003</v>
      </c>
      <c r="R252" s="1">
        <v>3.75</v>
      </c>
      <c r="S252" s="1">
        <v>324</v>
      </c>
    </row>
    <row r="253" spans="1:19" ht="15.75" customHeight="1" x14ac:dyDescent="0.2">
      <c r="A253" s="10">
        <v>46085</v>
      </c>
      <c r="B253" s="11">
        <v>0.66446759259259258</v>
      </c>
      <c r="C253" s="1" t="s">
        <v>122</v>
      </c>
      <c r="D253" s="1" t="s">
        <v>261</v>
      </c>
      <c r="E253" s="1"/>
      <c r="F253" s="1">
        <v>196</v>
      </c>
      <c r="G253" s="1" t="s">
        <v>46</v>
      </c>
      <c r="H253" s="1">
        <v>1</v>
      </c>
      <c r="I253" s="1">
        <v>1</v>
      </c>
      <c r="J253" s="1" t="s">
        <v>47</v>
      </c>
      <c r="K253" s="1" t="s">
        <v>48</v>
      </c>
      <c r="L253" s="1">
        <v>5.3900000000000003E-2</v>
      </c>
      <c r="M253" s="1">
        <v>1.39</v>
      </c>
      <c r="N253" s="1">
        <v>32.9</v>
      </c>
      <c r="O253" s="1" t="s">
        <v>49</v>
      </c>
      <c r="P253" s="1" t="s">
        <v>50</v>
      </c>
      <c r="Q253" s="1">
        <v>0.316</v>
      </c>
      <c r="R253" s="1">
        <v>4.3</v>
      </c>
      <c r="S253" s="1">
        <v>384</v>
      </c>
    </row>
    <row r="254" spans="1:19" ht="15.75" customHeight="1" x14ac:dyDescent="0.2">
      <c r="A254" s="10">
        <v>46085</v>
      </c>
      <c r="B254" s="11">
        <v>0.66537037037037039</v>
      </c>
      <c r="C254" s="1" t="s">
        <v>122</v>
      </c>
      <c r="D254" s="1" t="s">
        <v>262</v>
      </c>
      <c r="E254" s="1"/>
      <c r="F254" s="1">
        <v>197</v>
      </c>
      <c r="G254" s="1" t="s">
        <v>46</v>
      </c>
      <c r="H254" s="1">
        <v>1</v>
      </c>
      <c r="I254" s="1">
        <v>1</v>
      </c>
      <c r="J254" s="1" t="s">
        <v>47</v>
      </c>
      <c r="K254" s="1" t="s">
        <v>48</v>
      </c>
      <c r="L254" s="1">
        <v>0.06</v>
      </c>
      <c r="M254" s="1">
        <v>1.35</v>
      </c>
      <c r="N254" s="1">
        <v>31.4</v>
      </c>
      <c r="O254" s="1" t="s">
        <v>49</v>
      </c>
      <c r="P254" s="1" t="s">
        <v>50</v>
      </c>
      <c r="Q254" s="1">
        <v>0.61499999999999999</v>
      </c>
      <c r="R254" s="1">
        <v>8.0299999999999994</v>
      </c>
      <c r="S254" s="1">
        <v>787</v>
      </c>
    </row>
    <row r="255" spans="1:19" ht="15.75" customHeight="1" x14ac:dyDescent="0.2">
      <c r="A255" s="10">
        <v>46085</v>
      </c>
      <c r="B255" s="11">
        <v>0.66626157407407405</v>
      </c>
      <c r="C255" s="1" t="s">
        <v>122</v>
      </c>
      <c r="D255" s="1" t="s">
        <v>263</v>
      </c>
      <c r="E255" s="1"/>
      <c r="F255" s="1">
        <v>198</v>
      </c>
      <c r="G255" s="1" t="s">
        <v>46</v>
      </c>
      <c r="H255" s="1">
        <v>1</v>
      </c>
      <c r="I255" s="1">
        <v>1</v>
      </c>
      <c r="J255" s="1" t="s">
        <v>47</v>
      </c>
      <c r="K255" s="1" t="s">
        <v>48</v>
      </c>
      <c r="L255" s="1">
        <v>0.10299999999999999</v>
      </c>
      <c r="M255" s="1">
        <v>2.2200000000000002</v>
      </c>
      <c r="N255" s="1">
        <v>61.9</v>
      </c>
      <c r="O255" s="1" t="s">
        <v>49</v>
      </c>
      <c r="P255" s="1" t="s">
        <v>50</v>
      </c>
      <c r="Q255" s="1">
        <v>0.8</v>
      </c>
      <c r="R255" s="1">
        <v>10.4</v>
      </c>
      <c r="S255" s="1">
        <v>1040</v>
      </c>
    </row>
    <row r="256" spans="1:19" ht="15.75" customHeight="1" x14ac:dyDescent="0.2">
      <c r="A256" s="10">
        <v>46085</v>
      </c>
      <c r="B256" s="11">
        <v>0.66716435185185186</v>
      </c>
      <c r="C256" s="1" t="s">
        <v>122</v>
      </c>
      <c r="D256" s="1" t="s">
        <v>264</v>
      </c>
      <c r="E256" s="1"/>
      <c r="F256" s="1">
        <v>199</v>
      </c>
      <c r="G256" s="1" t="s">
        <v>84</v>
      </c>
      <c r="H256" s="1">
        <v>1</v>
      </c>
      <c r="I256" s="1">
        <v>1</v>
      </c>
      <c r="J256" s="1" t="s">
        <v>47</v>
      </c>
      <c r="K256" s="1" t="s">
        <v>48</v>
      </c>
      <c r="L256" s="1">
        <v>5.8200000000000002E-2</v>
      </c>
      <c r="M256" s="1">
        <v>1.33</v>
      </c>
      <c r="N256" s="1">
        <v>30.8</v>
      </c>
      <c r="O256" s="1" t="s">
        <v>49</v>
      </c>
      <c r="P256" s="1" t="s">
        <v>50</v>
      </c>
      <c r="Q256" s="1">
        <v>0.47599999999999998</v>
      </c>
      <c r="R256" s="1">
        <v>6.18</v>
      </c>
      <c r="S256" s="1">
        <v>588</v>
      </c>
    </row>
    <row r="257" spans="1:19" ht="15.75" customHeight="1" x14ac:dyDescent="0.2">
      <c r="A257" s="10">
        <v>46085</v>
      </c>
      <c r="B257" s="11">
        <v>0.66806712962962966</v>
      </c>
      <c r="C257" s="1" t="s">
        <v>122</v>
      </c>
      <c r="D257" s="1" t="s">
        <v>265</v>
      </c>
      <c r="E257" s="1"/>
      <c r="F257" s="1">
        <v>201</v>
      </c>
      <c r="G257" s="1" t="s">
        <v>84</v>
      </c>
      <c r="H257" s="1">
        <v>1</v>
      </c>
      <c r="I257" s="1">
        <v>1</v>
      </c>
      <c r="J257" s="1" t="s">
        <v>47</v>
      </c>
      <c r="K257" s="1" t="s">
        <v>48</v>
      </c>
      <c r="L257" s="1">
        <v>0.104</v>
      </c>
      <c r="M257" s="1">
        <v>2.17</v>
      </c>
      <c r="N257" s="1">
        <v>60.2</v>
      </c>
      <c r="O257" s="1" t="s">
        <v>49</v>
      </c>
      <c r="P257" s="1" t="s">
        <v>50</v>
      </c>
      <c r="Q257" s="1">
        <v>0.76800000000000002</v>
      </c>
      <c r="R257" s="1">
        <v>10</v>
      </c>
      <c r="S257" s="1">
        <v>1000</v>
      </c>
    </row>
    <row r="258" spans="1:19" ht="15.75" customHeight="1" x14ac:dyDescent="0.2">
      <c r="A258" s="10">
        <v>46085</v>
      </c>
      <c r="B258" s="11">
        <v>0.66895833333333332</v>
      </c>
      <c r="C258" s="1" t="s">
        <v>122</v>
      </c>
      <c r="D258" s="1" t="s">
        <v>125</v>
      </c>
      <c r="E258" s="1"/>
      <c r="F258" s="1" t="s">
        <v>58</v>
      </c>
      <c r="G258" s="1" t="s">
        <v>46</v>
      </c>
      <c r="H258" s="1">
        <v>1</v>
      </c>
      <c r="I258" s="1">
        <v>1</v>
      </c>
      <c r="J258" s="1" t="s">
        <v>47</v>
      </c>
      <c r="K258" s="1" t="s">
        <v>48</v>
      </c>
      <c r="L258" s="1">
        <v>1.0999999999999999E-2</v>
      </c>
      <c r="M258" s="1">
        <v>0.123</v>
      </c>
      <c r="N258" s="1">
        <v>-11</v>
      </c>
      <c r="O258" s="1" t="s">
        <v>49</v>
      </c>
      <c r="P258" s="1" t="s">
        <v>50</v>
      </c>
      <c r="Q258" s="1">
        <v>3.6700000000000003E-2</v>
      </c>
      <c r="R258" s="1">
        <v>0.153</v>
      </c>
      <c r="S258" s="1">
        <v>-73.3</v>
      </c>
    </row>
    <row r="259" spans="1:19" ht="15.75" customHeight="1" x14ac:dyDescent="0.2">
      <c r="A259" s="10">
        <v>46085</v>
      </c>
      <c r="B259" s="11">
        <v>0.66984953703703709</v>
      </c>
      <c r="C259" s="1" t="s">
        <v>122</v>
      </c>
      <c r="D259" s="1" t="s">
        <v>126</v>
      </c>
      <c r="E259" s="1"/>
      <c r="F259" s="1">
        <v>17</v>
      </c>
      <c r="G259" s="1" t="s">
        <v>88</v>
      </c>
      <c r="H259" s="1">
        <v>1</v>
      </c>
      <c r="I259" s="1">
        <v>1</v>
      </c>
      <c r="J259" s="1" t="s">
        <v>47</v>
      </c>
      <c r="K259" s="1" t="s">
        <v>48</v>
      </c>
      <c r="L259" s="1">
        <v>5.4899999999999997E-2</v>
      </c>
      <c r="M259" s="1">
        <v>1.28</v>
      </c>
      <c r="N259" s="1">
        <v>29.2</v>
      </c>
      <c r="O259" s="1" t="s">
        <v>49</v>
      </c>
      <c r="P259" s="1" t="s">
        <v>50</v>
      </c>
      <c r="Q259" s="1">
        <v>0.39600000000000002</v>
      </c>
      <c r="R259" s="1">
        <v>5.2</v>
      </c>
      <c r="S259" s="1">
        <v>482</v>
      </c>
    </row>
    <row r="260" spans="1:19" ht="15.75" customHeight="1" x14ac:dyDescent="0.2">
      <c r="A260" s="10">
        <v>46085</v>
      </c>
      <c r="B260" s="11">
        <v>0.67072916666666671</v>
      </c>
      <c r="C260" s="1" t="s">
        <v>122</v>
      </c>
      <c r="D260" s="1" t="s">
        <v>51</v>
      </c>
      <c r="E260" s="1"/>
      <c r="F260" s="1" t="s">
        <v>52</v>
      </c>
      <c r="G260" s="1" t="s">
        <v>46</v>
      </c>
      <c r="H260" s="1">
        <v>1</v>
      </c>
      <c r="I260" s="1">
        <v>1</v>
      </c>
      <c r="J260" s="1" t="s">
        <v>47</v>
      </c>
      <c r="K260" s="1" t="s">
        <v>48</v>
      </c>
      <c r="L260" s="1">
        <v>0.14000000000000001</v>
      </c>
      <c r="M260" s="1">
        <v>1.78</v>
      </c>
      <c r="N260" s="1">
        <v>46.5</v>
      </c>
      <c r="O260" s="1" t="s">
        <v>49</v>
      </c>
      <c r="P260" s="1" t="s">
        <v>50</v>
      </c>
      <c r="Q260" s="1">
        <v>1.83</v>
      </c>
      <c r="R260" s="1">
        <v>24</v>
      </c>
      <c r="S260" s="1">
        <v>2430</v>
      </c>
    </row>
    <row r="261" spans="1:19" ht="15.75" customHeight="1" x14ac:dyDescent="0.2">
      <c r="A261" s="10">
        <v>46085</v>
      </c>
      <c r="B261" s="11">
        <v>0.67159722222222218</v>
      </c>
      <c r="C261" s="1" t="s">
        <v>122</v>
      </c>
      <c r="D261" s="1" t="s">
        <v>53</v>
      </c>
      <c r="E261" s="1"/>
      <c r="F261" s="1" t="s">
        <v>54</v>
      </c>
      <c r="G261" s="1" t="s">
        <v>46</v>
      </c>
      <c r="H261" s="1">
        <v>1</v>
      </c>
      <c r="I261" s="1">
        <v>1</v>
      </c>
      <c r="J261" s="1" t="s">
        <v>47</v>
      </c>
      <c r="K261" s="1" t="s">
        <v>48</v>
      </c>
      <c r="L261" s="1">
        <v>0.13700000000000001</v>
      </c>
      <c r="M261" s="1">
        <v>1.7</v>
      </c>
      <c r="N261" s="1">
        <v>43.7</v>
      </c>
      <c r="O261" s="1" t="s">
        <v>49</v>
      </c>
      <c r="P261" s="1" t="s">
        <v>50</v>
      </c>
      <c r="Q261" s="1">
        <v>1.7</v>
      </c>
      <c r="R261" s="1">
        <v>21.9</v>
      </c>
      <c r="S261" s="1">
        <v>2220</v>
      </c>
    </row>
    <row r="262" spans="1:19" ht="15.75" customHeight="1" x14ac:dyDescent="0.2">
      <c r="A262" s="10">
        <v>46085</v>
      </c>
      <c r="B262" s="11">
        <v>0.67248842592592595</v>
      </c>
      <c r="C262" s="1" t="s">
        <v>122</v>
      </c>
      <c r="D262" s="1" t="s">
        <v>266</v>
      </c>
      <c r="E262" s="1"/>
      <c r="F262" s="1">
        <v>202</v>
      </c>
      <c r="G262" s="1" t="s">
        <v>46</v>
      </c>
      <c r="H262" s="1">
        <v>1</v>
      </c>
      <c r="I262" s="1">
        <v>1</v>
      </c>
      <c r="J262" s="1" t="s">
        <v>47</v>
      </c>
      <c r="K262" s="1" t="s">
        <v>48</v>
      </c>
      <c r="L262" s="1">
        <v>3.5299999999999998E-2</v>
      </c>
      <c r="M262" s="1">
        <v>0.88900000000000001</v>
      </c>
      <c r="N262" s="1">
        <v>15.5</v>
      </c>
      <c r="O262" s="1" t="s">
        <v>49</v>
      </c>
      <c r="P262" s="1" t="s">
        <v>50</v>
      </c>
      <c r="Q262" s="1">
        <v>0.308</v>
      </c>
      <c r="R262" s="1">
        <v>3.58</v>
      </c>
      <c r="S262" s="1">
        <v>305</v>
      </c>
    </row>
    <row r="263" spans="1:19" ht="15.75" customHeight="1" x14ac:dyDescent="0.2">
      <c r="A263" s="10">
        <v>46085</v>
      </c>
      <c r="B263" s="11">
        <v>0.67340277777777779</v>
      </c>
      <c r="C263" s="1" t="s">
        <v>122</v>
      </c>
      <c r="D263" s="1" t="s">
        <v>267</v>
      </c>
      <c r="E263" s="1"/>
      <c r="F263" s="1">
        <v>203</v>
      </c>
      <c r="G263" s="1" t="s">
        <v>46</v>
      </c>
      <c r="H263" s="1">
        <v>1</v>
      </c>
      <c r="I263" s="1">
        <v>1</v>
      </c>
      <c r="J263" s="1" t="s">
        <v>47</v>
      </c>
      <c r="K263" s="1" t="s">
        <v>48</v>
      </c>
      <c r="L263" s="1">
        <v>3.8399999999999997E-2</v>
      </c>
      <c r="M263" s="1">
        <v>1</v>
      </c>
      <c r="N263" s="1">
        <v>19.5</v>
      </c>
      <c r="O263" s="1" t="s">
        <v>49</v>
      </c>
      <c r="P263" s="1" t="s">
        <v>50</v>
      </c>
      <c r="Q263" s="1">
        <v>0.377</v>
      </c>
      <c r="R263" s="1">
        <v>4.9800000000000004</v>
      </c>
      <c r="S263" s="1">
        <v>458</v>
      </c>
    </row>
    <row r="264" spans="1:19" ht="15.75" customHeight="1" x14ac:dyDescent="0.2">
      <c r="A264" s="10">
        <v>46085</v>
      </c>
      <c r="B264" s="11">
        <v>0.6743055555555556</v>
      </c>
      <c r="C264" s="1" t="s">
        <v>122</v>
      </c>
      <c r="D264" s="1" t="s">
        <v>268</v>
      </c>
      <c r="E264" s="1"/>
      <c r="F264" s="1">
        <v>204</v>
      </c>
      <c r="G264" s="1" t="s">
        <v>46</v>
      </c>
      <c r="H264" s="1">
        <v>1</v>
      </c>
      <c r="I264" s="1">
        <v>1</v>
      </c>
      <c r="J264" s="1" t="s">
        <v>47</v>
      </c>
      <c r="K264" s="1" t="s">
        <v>48</v>
      </c>
      <c r="L264" s="1">
        <v>6.1800000000000001E-2</v>
      </c>
      <c r="M264" s="1">
        <v>1.47</v>
      </c>
      <c r="N264" s="1">
        <v>35.6</v>
      </c>
      <c r="O264" s="1" t="s">
        <v>49</v>
      </c>
      <c r="P264" s="1" t="s">
        <v>50</v>
      </c>
      <c r="Q264" s="1">
        <v>0.65600000000000003</v>
      </c>
      <c r="R264" s="1">
        <v>8.49</v>
      </c>
      <c r="S264" s="1">
        <v>837</v>
      </c>
    </row>
    <row r="265" spans="1:19" ht="15.75" customHeight="1" x14ac:dyDescent="0.2">
      <c r="A265" s="10">
        <v>46085</v>
      </c>
      <c r="B265" s="11">
        <v>0.67519675925925926</v>
      </c>
      <c r="C265" s="1" t="s">
        <v>122</v>
      </c>
      <c r="D265" s="1" t="s">
        <v>269</v>
      </c>
      <c r="E265" s="1"/>
      <c r="F265" s="1">
        <v>205</v>
      </c>
      <c r="G265" s="1" t="s">
        <v>46</v>
      </c>
      <c r="H265" s="1">
        <v>1</v>
      </c>
      <c r="I265" s="1">
        <v>1</v>
      </c>
      <c r="J265" s="1" t="s">
        <v>47</v>
      </c>
      <c r="K265" s="1" t="s">
        <v>48</v>
      </c>
      <c r="L265" s="1">
        <v>2.7099999999999999E-2</v>
      </c>
      <c r="M265" s="1">
        <v>0.70799999999999996</v>
      </c>
      <c r="N265" s="1">
        <v>9.1999999999999993</v>
      </c>
      <c r="O265" s="1" t="s">
        <v>49</v>
      </c>
      <c r="P265" s="1" t="s">
        <v>50</v>
      </c>
      <c r="Q265" s="1">
        <v>0.41399999999999998</v>
      </c>
      <c r="R265" s="1">
        <v>5.41</v>
      </c>
      <c r="S265" s="1">
        <v>505</v>
      </c>
    </row>
    <row r="266" spans="1:19" ht="15.75" customHeight="1" x14ac:dyDescent="0.2">
      <c r="A266" s="10">
        <v>46085</v>
      </c>
      <c r="B266" s="11">
        <v>0.67609953703703707</v>
      </c>
      <c r="C266" s="1" t="s">
        <v>122</v>
      </c>
      <c r="D266" s="1" t="s">
        <v>270</v>
      </c>
      <c r="E266" s="1"/>
      <c r="F266" s="1">
        <v>206</v>
      </c>
      <c r="G266" s="1" t="s">
        <v>75</v>
      </c>
      <c r="H266" s="1">
        <v>1</v>
      </c>
      <c r="I266" s="1">
        <v>1</v>
      </c>
      <c r="J266" s="1" t="s">
        <v>47</v>
      </c>
      <c r="K266" s="1" t="s">
        <v>48</v>
      </c>
      <c r="L266" s="1">
        <v>7.2300000000000003E-2</v>
      </c>
      <c r="M266" s="1">
        <v>1.63</v>
      </c>
      <c r="N266" s="1">
        <v>41.3</v>
      </c>
      <c r="O266" s="1" t="s">
        <v>49</v>
      </c>
      <c r="P266" s="1" t="s">
        <v>50</v>
      </c>
      <c r="Q266" s="1">
        <v>0.66700000000000004</v>
      </c>
      <c r="R266" s="1">
        <v>8.68</v>
      </c>
      <c r="S266" s="1">
        <v>856</v>
      </c>
    </row>
    <row r="267" spans="1:19" ht="15.75" customHeight="1" x14ac:dyDescent="0.2">
      <c r="A267" s="10">
        <v>46085</v>
      </c>
      <c r="B267" s="11">
        <v>0.67700231481481477</v>
      </c>
      <c r="C267" s="1" t="s">
        <v>122</v>
      </c>
      <c r="D267" s="1" t="s">
        <v>271</v>
      </c>
      <c r="E267" s="1"/>
      <c r="F267" s="1">
        <v>207</v>
      </c>
      <c r="G267" s="1" t="s">
        <v>75</v>
      </c>
      <c r="H267" s="1">
        <v>1</v>
      </c>
      <c r="I267" s="1">
        <v>1</v>
      </c>
      <c r="J267" s="1" t="s">
        <v>47</v>
      </c>
      <c r="K267" s="1" t="s">
        <v>48</v>
      </c>
      <c r="L267" s="1">
        <v>8.1000000000000003E-2</v>
      </c>
      <c r="M267" s="1">
        <v>1.72</v>
      </c>
      <c r="N267" s="1">
        <v>44.3</v>
      </c>
      <c r="O267" s="1" t="s">
        <v>49</v>
      </c>
      <c r="P267" s="1" t="s">
        <v>50</v>
      </c>
      <c r="Q267" s="1">
        <v>0.69099999999999995</v>
      </c>
      <c r="R267" s="1">
        <v>8.64</v>
      </c>
      <c r="S267" s="1">
        <v>853</v>
      </c>
    </row>
    <row r="268" spans="1:19" ht="15.75" customHeight="1" x14ac:dyDescent="0.2">
      <c r="A268" s="10">
        <v>46085</v>
      </c>
      <c r="B268" s="11">
        <v>0.67789351851851853</v>
      </c>
      <c r="C268" s="1" t="s">
        <v>122</v>
      </c>
      <c r="D268" s="1" t="s">
        <v>168</v>
      </c>
      <c r="E268" s="1"/>
      <c r="F268" s="1">
        <v>1</v>
      </c>
      <c r="G268" s="1" t="s">
        <v>88</v>
      </c>
      <c r="H268" s="1">
        <v>1</v>
      </c>
      <c r="I268" s="1">
        <v>1</v>
      </c>
      <c r="J268" s="1" t="s">
        <v>47</v>
      </c>
      <c r="K268" s="1" t="s">
        <v>48</v>
      </c>
      <c r="L268" s="1">
        <v>0.29499999999999998</v>
      </c>
      <c r="M268" s="1">
        <v>5.57</v>
      </c>
      <c r="N268" s="1">
        <v>182</v>
      </c>
      <c r="O268" s="1" t="s">
        <v>49</v>
      </c>
      <c r="P268" s="1" t="s">
        <v>50</v>
      </c>
      <c r="Q268" s="1">
        <v>2.29</v>
      </c>
      <c r="R268" s="1">
        <v>29.1</v>
      </c>
      <c r="S268" s="1">
        <v>2920</v>
      </c>
    </row>
    <row r="269" spans="1:19" ht="15.75" customHeight="1" x14ac:dyDescent="0.2">
      <c r="A269" s="10">
        <v>46085</v>
      </c>
      <c r="B269" s="11">
        <v>0.67878472222222219</v>
      </c>
      <c r="C269" s="1" t="s">
        <v>122</v>
      </c>
      <c r="D269" s="1" t="s">
        <v>169</v>
      </c>
      <c r="E269" s="1"/>
      <c r="F269" s="1">
        <v>3</v>
      </c>
      <c r="G269" s="1" t="s">
        <v>88</v>
      </c>
      <c r="H269" s="1">
        <v>1</v>
      </c>
      <c r="I269" s="1">
        <v>1</v>
      </c>
      <c r="J269" s="1" t="s">
        <v>47</v>
      </c>
      <c r="K269" s="1" t="s">
        <v>48</v>
      </c>
      <c r="L269" s="1">
        <v>0.20300000000000001</v>
      </c>
      <c r="M269" s="1">
        <v>3.89</v>
      </c>
      <c r="N269" s="1">
        <v>121</v>
      </c>
      <c r="O269" s="1" t="s">
        <v>49</v>
      </c>
      <c r="P269" s="1" t="s">
        <v>50</v>
      </c>
      <c r="Q269" s="1">
        <v>1.37</v>
      </c>
      <c r="R269" s="1">
        <v>17.2</v>
      </c>
      <c r="S269" s="1">
        <v>1740</v>
      </c>
    </row>
    <row r="270" spans="1:19" ht="15.75" customHeight="1" x14ac:dyDescent="0.2">
      <c r="A270" s="10">
        <v>46085</v>
      </c>
      <c r="B270" s="11">
        <v>0.67967592592592596</v>
      </c>
      <c r="C270" s="1" t="s">
        <v>122</v>
      </c>
      <c r="D270" s="1" t="s">
        <v>170</v>
      </c>
      <c r="E270" s="1"/>
      <c r="F270" s="1">
        <v>5</v>
      </c>
      <c r="G270" s="1" t="s">
        <v>88</v>
      </c>
      <c r="H270" s="1">
        <v>1</v>
      </c>
      <c r="I270" s="1">
        <v>1</v>
      </c>
      <c r="J270" s="1" t="s">
        <v>47</v>
      </c>
      <c r="K270" s="1" t="s">
        <v>48</v>
      </c>
      <c r="L270" s="1">
        <v>0.10199999999999999</v>
      </c>
      <c r="M270" s="1">
        <v>2.11</v>
      </c>
      <c r="N270" s="1">
        <v>57.9</v>
      </c>
      <c r="O270" s="1" t="s">
        <v>49</v>
      </c>
      <c r="P270" s="1" t="s">
        <v>50</v>
      </c>
      <c r="Q270" s="1">
        <v>0.69399999999999995</v>
      </c>
      <c r="R270" s="1">
        <v>8.5299999999999994</v>
      </c>
      <c r="S270" s="1">
        <v>840</v>
      </c>
    </row>
    <row r="271" spans="1:19" ht="15.75" customHeight="1" x14ac:dyDescent="0.2">
      <c r="A271" s="10">
        <v>46085</v>
      </c>
      <c r="B271" s="11">
        <v>0.68054398148148143</v>
      </c>
      <c r="C271" s="1" t="s">
        <v>122</v>
      </c>
      <c r="D271" s="1" t="s">
        <v>126</v>
      </c>
      <c r="E271" s="1"/>
      <c r="F271" s="1">
        <v>7</v>
      </c>
      <c r="G271" s="1" t="s">
        <v>88</v>
      </c>
      <c r="H271" s="1">
        <v>1</v>
      </c>
      <c r="I271" s="1">
        <v>1</v>
      </c>
      <c r="J271" s="1" t="s">
        <v>47</v>
      </c>
      <c r="K271" s="1" t="s">
        <v>48</v>
      </c>
      <c r="L271" s="1">
        <v>5.5599999999999997E-2</v>
      </c>
      <c r="M271" s="1">
        <v>1.27</v>
      </c>
      <c r="N271" s="1">
        <v>28.7</v>
      </c>
      <c r="O271" s="1" t="s">
        <v>49</v>
      </c>
      <c r="P271" s="1" t="s">
        <v>50</v>
      </c>
      <c r="Q271" s="1">
        <v>0.317</v>
      </c>
      <c r="R271" s="1">
        <v>4.1900000000000004</v>
      </c>
      <c r="S271" s="1">
        <v>373</v>
      </c>
    </row>
    <row r="272" spans="1:19" ht="15.75" customHeight="1" x14ac:dyDescent="0.2">
      <c r="A272" s="10">
        <v>46085</v>
      </c>
      <c r="B272" s="11">
        <v>0.6814351851851852</v>
      </c>
      <c r="C272" s="1" t="s">
        <v>122</v>
      </c>
      <c r="D272" s="1" t="s">
        <v>171</v>
      </c>
      <c r="E272" s="1"/>
      <c r="F272" s="1">
        <v>9</v>
      </c>
      <c r="G272" s="1" t="s">
        <v>88</v>
      </c>
      <c r="H272" s="1">
        <v>1</v>
      </c>
      <c r="I272" s="1">
        <v>1</v>
      </c>
      <c r="J272" s="1" t="s">
        <v>47</v>
      </c>
      <c r="K272" s="1" t="s">
        <v>48</v>
      </c>
      <c r="L272" s="1">
        <v>2.8899999999999999E-2</v>
      </c>
      <c r="M272" s="1">
        <v>0.77800000000000002</v>
      </c>
      <c r="N272" s="1">
        <v>11.6</v>
      </c>
      <c r="O272" s="1" t="s">
        <v>49</v>
      </c>
      <c r="P272" s="1" t="s">
        <v>50</v>
      </c>
      <c r="Q272" s="1">
        <v>0.18</v>
      </c>
      <c r="R272" s="1">
        <v>2.57</v>
      </c>
      <c r="S272" s="1">
        <v>194</v>
      </c>
    </row>
    <row r="273" spans="1:19" ht="15.75" customHeight="1" x14ac:dyDescent="0.2">
      <c r="A273" s="10">
        <v>46085</v>
      </c>
      <c r="B273" s="11">
        <v>0.68232638888888886</v>
      </c>
      <c r="C273" s="1" t="s">
        <v>122</v>
      </c>
      <c r="D273" s="1" t="s">
        <v>172</v>
      </c>
      <c r="E273" s="1"/>
      <c r="F273" s="1">
        <v>11</v>
      </c>
      <c r="G273" s="1" t="s">
        <v>88</v>
      </c>
      <c r="H273" s="1">
        <v>1</v>
      </c>
      <c r="I273" s="1">
        <v>1</v>
      </c>
      <c r="J273" s="1" t="s">
        <v>47</v>
      </c>
      <c r="K273" s="1" t="s">
        <v>48</v>
      </c>
      <c r="L273" s="1">
        <v>2.58E-2</v>
      </c>
      <c r="M273" s="1">
        <v>0.75600000000000001</v>
      </c>
      <c r="N273" s="1">
        <v>10.9</v>
      </c>
      <c r="O273" s="1" t="s">
        <v>49</v>
      </c>
      <c r="P273" s="1" t="s">
        <v>50</v>
      </c>
      <c r="Q273" s="1">
        <v>0.13700000000000001</v>
      </c>
      <c r="R273" s="1">
        <v>2.04</v>
      </c>
      <c r="S273" s="1">
        <v>136</v>
      </c>
    </row>
    <row r="274" spans="1:19" ht="15.75" customHeight="1" x14ac:dyDescent="0.2">
      <c r="A274" s="10">
        <v>46085</v>
      </c>
      <c r="B274" s="11">
        <v>0.68320601851851848</v>
      </c>
      <c r="C274" s="1" t="s">
        <v>122</v>
      </c>
      <c r="D274" s="1" t="s">
        <v>173</v>
      </c>
      <c r="E274" s="1"/>
      <c r="F274" s="1">
        <v>13</v>
      </c>
      <c r="G274" s="1" t="s">
        <v>88</v>
      </c>
      <c r="H274" s="1">
        <v>1</v>
      </c>
      <c r="I274" s="1">
        <v>1</v>
      </c>
      <c r="J274" s="1" t="s">
        <v>47</v>
      </c>
      <c r="K274" s="1" t="s">
        <v>48</v>
      </c>
      <c r="L274" s="1">
        <v>2.06E-2</v>
      </c>
      <c r="M274" s="1">
        <v>0.46800000000000003</v>
      </c>
      <c r="N274" s="1">
        <v>0.91700000000000004</v>
      </c>
      <c r="O274" s="1" t="s">
        <v>49</v>
      </c>
      <c r="P274" s="1" t="s">
        <v>50</v>
      </c>
      <c r="Q274" s="1">
        <v>7.8399999999999997E-2</v>
      </c>
      <c r="R274" s="1">
        <v>1.28</v>
      </c>
      <c r="S274" s="1">
        <v>52.2</v>
      </c>
    </row>
    <row r="275" spans="1:19" ht="15.75" customHeight="1" x14ac:dyDescent="0.2">
      <c r="A275" s="10">
        <v>46085</v>
      </c>
      <c r="B275" s="11">
        <v>0.68407407407407406</v>
      </c>
      <c r="C275" s="1" t="s">
        <v>122</v>
      </c>
      <c r="D275" s="1" t="s">
        <v>51</v>
      </c>
      <c r="E275" s="1"/>
      <c r="F275" s="1" t="s">
        <v>52</v>
      </c>
      <c r="G275" s="1" t="s">
        <v>46</v>
      </c>
      <c r="H275" s="1">
        <v>1</v>
      </c>
      <c r="I275" s="1">
        <v>1</v>
      </c>
      <c r="J275" s="1" t="s">
        <v>47</v>
      </c>
      <c r="K275" s="1" t="s">
        <v>48</v>
      </c>
      <c r="L275" s="1">
        <v>0.13700000000000001</v>
      </c>
      <c r="M275" s="1">
        <v>1.67</v>
      </c>
      <c r="N275" s="1">
        <v>42.7</v>
      </c>
      <c r="O275" s="1" t="s">
        <v>49</v>
      </c>
      <c r="P275" s="1" t="s">
        <v>50</v>
      </c>
      <c r="Q275" s="1">
        <v>1.83</v>
      </c>
      <c r="R275" s="1">
        <v>23.8</v>
      </c>
      <c r="S275" s="1">
        <v>2410</v>
      </c>
    </row>
    <row r="276" spans="1:19" ht="15.75" customHeight="1" x14ac:dyDescent="0.2">
      <c r="A276" s="10">
        <v>46085</v>
      </c>
      <c r="B276" s="11">
        <v>0.68497685185185186</v>
      </c>
      <c r="C276" s="1" t="s">
        <v>122</v>
      </c>
      <c r="D276" s="1" t="s">
        <v>53</v>
      </c>
      <c r="E276" s="1"/>
      <c r="F276" s="1" t="s">
        <v>54</v>
      </c>
      <c r="G276" s="1" t="s">
        <v>46</v>
      </c>
      <c r="H276" s="1">
        <v>1</v>
      </c>
      <c r="I276" s="1">
        <v>1</v>
      </c>
      <c r="J276" s="1" t="s">
        <v>47</v>
      </c>
      <c r="K276" s="1" t="s">
        <v>48</v>
      </c>
      <c r="L276" s="1">
        <v>0.14000000000000001</v>
      </c>
      <c r="M276" s="1">
        <v>1.74</v>
      </c>
      <c r="N276" s="1">
        <v>45</v>
      </c>
      <c r="O276" s="1" t="s">
        <v>49</v>
      </c>
      <c r="P276" s="1" t="s">
        <v>50</v>
      </c>
      <c r="Q276" s="1">
        <v>1.94</v>
      </c>
      <c r="R276" s="1">
        <v>24.9</v>
      </c>
      <c r="S276" s="1">
        <v>2520</v>
      </c>
    </row>
    <row r="277" spans="1:19" ht="15.75" customHeight="1" x14ac:dyDescent="0.2">
      <c r="A277" s="10">
        <v>46085</v>
      </c>
      <c r="B277" s="11">
        <v>0.68586805555555552</v>
      </c>
      <c r="C277" s="1" t="s">
        <v>122</v>
      </c>
      <c r="D277" s="1" t="s">
        <v>273</v>
      </c>
      <c r="E277" s="1"/>
      <c r="F277" s="1">
        <v>211</v>
      </c>
      <c r="G277" s="1" t="s">
        <v>46</v>
      </c>
      <c r="H277" s="1">
        <v>1</v>
      </c>
      <c r="I277" s="1">
        <v>1</v>
      </c>
      <c r="J277" s="1" t="s">
        <v>47</v>
      </c>
      <c r="K277" s="1" t="s">
        <v>48</v>
      </c>
      <c r="L277" s="1">
        <v>2.9899999999999999E-2</v>
      </c>
      <c r="M277" s="1">
        <v>0.80500000000000005</v>
      </c>
      <c r="N277" s="1">
        <v>12.6</v>
      </c>
      <c r="O277" s="1" t="s">
        <v>49</v>
      </c>
      <c r="P277" s="1" t="s">
        <v>50</v>
      </c>
      <c r="Q277" s="1">
        <v>1.82</v>
      </c>
      <c r="R277" s="1">
        <v>19.2</v>
      </c>
      <c r="S277" s="1">
        <v>1950</v>
      </c>
    </row>
    <row r="278" spans="1:19" ht="15.75" customHeight="1" x14ac:dyDescent="0.2">
      <c r="A278" s="10">
        <v>46085</v>
      </c>
      <c r="B278" s="11">
        <v>0.68677083333333333</v>
      </c>
      <c r="C278" s="1" t="s">
        <v>122</v>
      </c>
      <c r="D278" s="1" t="s">
        <v>275</v>
      </c>
      <c r="E278" s="1"/>
      <c r="F278" s="1">
        <v>212</v>
      </c>
      <c r="G278" s="1" t="s">
        <v>46</v>
      </c>
      <c r="H278" s="1">
        <v>1</v>
      </c>
      <c r="I278" s="1">
        <v>1</v>
      </c>
      <c r="J278" s="1" t="s">
        <v>47</v>
      </c>
      <c r="K278" s="1" t="s">
        <v>48</v>
      </c>
      <c r="L278" s="1">
        <v>0.193</v>
      </c>
      <c r="M278" s="1">
        <v>3.87</v>
      </c>
      <c r="N278" s="1">
        <v>121</v>
      </c>
      <c r="O278" s="1" t="s">
        <v>49</v>
      </c>
      <c r="P278" s="1" t="s">
        <v>50</v>
      </c>
      <c r="Q278" s="1">
        <v>1.03</v>
      </c>
      <c r="R278" s="1">
        <v>13.1</v>
      </c>
      <c r="S278" s="1">
        <v>1320</v>
      </c>
    </row>
    <row r="279" spans="1:19" ht="15.75" customHeight="1" x14ac:dyDescent="0.2">
      <c r="A279" s="10">
        <v>46085</v>
      </c>
      <c r="B279" s="11">
        <v>0.68767361111111114</v>
      </c>
      <c r="C279" s="1" t="s">
        <v>122</v>
      </c>
      <c r="D279" s="1" t="s">
        <v>276</v>
      </c>
      <c r="E279" s="1"/>
      <c r="F279" s="1">
        <v>213</v>
      </c>
      <c r="G279" s="1" t="s">
        <v>46</v>
      </c>
      <c r="H279" s="1">
        <v>1</v>
      </c>
      <c r="I279" s="1">
        <v>1</v>
      </c>
      <c r="J279" s="1" t="s">
        <v>47</v>
      </c>
      <c r="K279" s="1" t="s">
        <v>48</v>
      </c>
      <c r="L279" s="1">
        <v>3.2899999999999999E-2</v>
      </c>
      <c r="M279" s="1">
        <v>0.85699999999999998</v>
      </c>
      <c r="N279" s="1">
        <v>14.4</v>
      </c>
      <c r="O279" s="1" t="s">
        <v>49</v>
      </c>
      <c r="P279" s="1" t="s">
        <v>50</v>
      </c>
      <c r="Q279" s="1">
        <v>1.01</v>
      </c>
      <c r="R279" s="1">
        <v>13</v>
      </c>
      <c r="S279" s="1">
        <v>1320</v>
      </c>
    </row>
    <row r="280" spans="1:19" ht="15.75" customHeight="1" x14ac:dyDescent="0.2">
      <c r="A280" s="10">
        <v>46085</v>
      </c>
      <c r="B280" s="11">
        <v>0.6885648148148148</v>
      </c>
      <c r="C280" s="1" t="s">
        <v>122</v>
      </c>
      <c r="D280" s="1" t="s">
        <v>277</v>
      </c>
      <c r="E280" s="1"/>
      <c r="F280" s="1">
        <v>214</v>
      </c>
      <c r="G280" s="1" t="s">
        <v>46</v>
      </c>
      <c r="H280" s="1">
        <v>1</v>
      </c>
      <c r="I280" s="1">
        <v>1</v>
      </c>
      <c r="J280" s="1" t="s">
        <v>47</v>
      </c>
      <c r="K280" s="1" t="s">
        <v>48</v>
      </c>
      <c r="L280" s="1">
        <v>0.16700000000000001</v>
      </c>
      <c r="M280" s="1">
        <v>3.31</v>
      </c>
      <c r="N280" s="1">
        <v>101</v>
      </c>
      <c r="O280" s="1" t="s">
        <v>49</v>
      </c>
      <c r="P280" s="1" t="s">
        <v>50</v>
      </c>
      <c r="Q280" s="1">
        <v>0.96799999999999997</v>
      </c>
      <c r="R280" s="1">
        <v>12.6</v>
      </c>
      <c r="S280" s="1">
        <v>1270</v>
      </c>
    </row>
    <row r="281" spans="1:19" ht="15.75" customHeight="1" x14ac:dyDescent="0.2">
      <c r="A281" s="10">
        <v>46085</v>
      </c>
      <c r="B281" s="11">
        <v>0.68944444444444442</v>
      </c>
      <c r="C281" s="1" t="s">
        <v>122</v>
      </c>
      <c r="D281" s="1" t="s">
        <v>279</v>
      </c>
      <c r="E281" s="1"/>
      <c r="F281" s="1">
        <v>215</v>
      </c>
      <c r="G281" s="1" t="s">
        <v>46</v>
      </c>
      <c r="H281" s="1">
        <v>1</v>
      </c>
      <c r="I281" s="1">
        <v>1</v>
      </c>
      <c r="J281" s="1" t="s">
        <v>47</v>
      </c>
      <c r="K281" s="1" t="s">
        <v>48</v>
      </c>
      <c r="L281" s="1">
        <v>3.6700000000000003E-2</v>
      </c>
      <c r="M281" s="1">
        <v>0.95699999999999996</v>
      </c>
      <c r="N281" s="1">
        <v>17.8</v>
      </c>
      <c r="O281" s="1" t="s">
        <v>49</v>
      </c>
      <c r="P281" s="1" t="s">
        <v>50</v>
      </c>
      <c r="Q281" s="1">
        <v>0.75</v>
      </c>
      <c r="R281" s="1">
        <v>9.7100000000000009</v>
      </c>
      <c r="S281" s="1">
        <v>967</v>
      </c>
    </row>
    <row r="282" spans="1:19" ht="15.75" customHeight="1" x14ac:dyDescent="0.2">
      <c r="A282" s="10">
        <v>46085</v>
      </c>
      <c r="B282" s="11">
        <v>0.69035879629629626</v>
      </c>
      <c r="C282" s="1" t="s">
        <v>122</v>
      </c>
      <c r="D282" s="1" t="s">
        <v>280</v>
      </c>
      <c r="E282" s="1"/>
      <c r="F282" s="1">
        <v>216</v>
      </c>
      <c r="G282" s="1" t="s">
        <v>46</v>
      </c>
      <c r="H282" s="1">
        <v>1</v>
      </c>
      <c r="I282" s="1">
        <v>1</v>
      </c>
      <c r="J282" s="1" t="s">
        <v>47</v>
      </c>
      <c r="K282" s="1" t="s">
        <v>48</v>
      </c>
      <c r="L282" s="1">
        <v>0.183</v>
      </c>
      <c r="M282" s="1">
        <v>3.68</v>
      </c>
      <c r="N282" s="1">
        <v>114</v>
      </c>
      <c r="O282" s="1" t="s">
        <v>49</v>
      </c>
      <c r="P282" s="1" t="s">
        <v>50</v>
      </c>
      <c r="Q282" s="1">
        <v>0.31</v>
      </c>
      <c r="R282" s="1">
        <v>4.28</v>
      </c>
      <c r="S282" s="1">
        <v>382</v>
      </c>
    </row>
    <row r="283" spans="1:19" ht="15.75" customHeight="1" x14ac:dyDescent="0.2">
      <c r="A283" s="10">
        <v>46085</v>
      </c>
      <c r="B283" s="11">
        <v>0.69126157407407407</v>
      </c>
      <c r="C283" s="1" t="s">
        <v>122</v>
      </c>
      <c r="D283" s="1" t="s">
        <v>281</v>
      </c>
      <c r="E283" s="1"/>
      <c r="F283" s="1">
        <v>217</v>
      </c>
      <c r="G283" s="1" t="s">
        <v>46</v>
      </c>
      <c r="H283" s="1">
        <v>1</v>
      </c>
      <c r="I283" s="1">
        <v>1</v>
      </c>
      <c r="J283" s="1" t="s">
        <v>47</v>
      </c>
      <c r="K283" s="1" t="s">
        <v>48</v>
      </c>
      <c r="L283" s="1">
        <v>0.112</v>
      </c>
      <c r="M283" s="1">
        <v>2.35</v>
      </c>
      <c r="N283" s="1">
        <v>66.7</v>
      </c>
      <c r="O283" s="1" t="s">
        <v>49</v>
      </c>
      <c r="P283" s="1" t="s">
        <v>50</v>
      </c>
      <c r="Q283" s="1">
        <v>0.28199999999999997</v>
      </c>
      <c r="R283" s="1">
        <v>3.66</v>
      </c>
      <c r="S283" s="1">
        <v>314</v>
      </c>
    </row>
    <row r="284" spans="1:19" ht="15.75" customHeight="1" x14ac:dyDescent="0.2">
      <c r="A284" s="10">
        <v>46085</v>
      </c>
      <c r="B284" s="11">
        <v>0.69215277777777773</v>
      </c>
      <c r="C284" s="1" t="s">
        <v>122</v>
      </c>
      <c r="D284" s="1" t="s">
        <v>282</v>
      </c>
      <c r="E284" s="1"/>
      <c r="F284" s="1">
        <v>218</v>
      </c>
      <c r="G284" s="1" t="s">
        <v>46</v>
      </c>
      <c r="H284" s="1">
        <v>1</v>
      </c>
      <c r="I284" s="1">
        <v>1</v>
      </c>
      <c r="J284" s="1" t="s">
        <v>47</v>
      </c>
      <c r="K284" s="1" t="s">
        <v>48</v>
      </c>
      <c r="L284" s="1">
        <v>3.6900000000000002E-2</v>
      </c>
      <c r="M284" s="1">
        <v>0.91600000000000004</v>
      </c>
      <c r="N284" s="1">
        <v>16.399999999999999</v>
      </c>
      <c r="O284" s="1" t="s">
        <v>49</v>
      </c>
      <c r="P284" s="1" t="s">
        <v>50</v>
      </c>
      <c r="Q284" s="1">
        <v>1.2</v>
      </c>
      <c r="R284" s="1">
        <v>15.4</v>
      </c>
      <c r="S284" s="1">
        <v>1560</v>
      </c>
    </row>
    <row r="285" spans="1:19" ht="15.75" customHeight="1" x14ac:dyDescent="0.2">
      <c r="A285" s="10">
        <v>46085</v>
      </c>
      <c r="B285" s="11">
        <v>0.69305555555555554</v>
      </c>
      <c r="C285" s="1" t="s">
        <v>122</v>
      </c>
      <c r="D285" s="1" t="s">
        <v>283</v>
      </c>
      <c r="E285" s="1"/>
      <c r="F285" s="1">
        <v>109</v>
      </c>
      <c r="G285" s="1" t="s">
        <v>46</v>
      </c>
      <c r="H285" s="1">
        <v>1</v>
      </c>
      <c r="I285" s="1">
        <v>1</v>
      </c>
      <c r="J285" s="1" t="s">
        <v>47</v>
      </c>
      <c r="K285" s="1" t="s">
        <v>48</v>
      </c>
      <c r="L285" s="1">
        <v>8.0799999999999997E-2</v>
      </c>
      <c r="M285" s="1">
        <v>1.73</v>
      </c>
      <c r="N285" s="1">
        <v>44.6</v>
      </c>
      <c r="O285" s="1" t="s">
        <v>49</v>
      </c>
      <c r="P285" s="1" t="s">
        <v>50</v>
      </c>
      <c r="Q285" s="1">
        <v>0.79500000000000004</v>
      </c>
      <c r="R285" s="1">
        <v>10.199999999999999</v>
      </c>
      <c r="S285" s="1">
        <v>1020</v>
      </c>
    </row>
    <row r="286" spans="1:19" ht="15.75" customHeight="1" x14ac:dyDescent="0.2">
      <c r="A286" s="10">
        <v>46085</v>
      </c>
      <c r="B286" s="11">
        <v>0.6939467592592593</v>
      </c>
      <c r="C286" s="1" t="s">
        <v>122</v>
      </c>
      <c r="D286" s="1" t="s">
        <v>284</v>
      </c>
      <c r="E286" s="1"/>
      <c r="F286" s="1">
        <v>115</v>
      </c>
      <c r="G286" s="1" t="s">
        <v>46</v>
      </c>
      <c r="H286" s="1">
        <v>1</v>
      </c>
      <c r="I286" s="1">
        <v>1</v>
      </c>
      <c r="J286" s="1" t="s">
        <v>47</v>
      </c>
      <c r="K286" s="1" t="s">
        <v>48</v>
      </c>
      <c r="L286" s="1">
        <v>3.7999999999999999E-2</v>
      </c>
      <c r="M286" s="1">
        <v>0.97299999999999998</v>
      </c>
      <c r="N286" s="1">
        <v>18.399999999999999</v>
      </c>
      <c r="O286" s="1" t="s">
        <v>49</v>
      </c>
      <c r="P286" s="1" t="s">
        <v>50</v>
      </c>
      <c r="Q286" s="1">
        <v>0.35099999999999998</v>
      </c>
      <c r="R286" s="1">
        <v>4.68</v>
      </c>
      <c r="S286" s="1">
        <v>426</v>
      </c>
    </row>
    <row r="287" spans="1:19" ht="15.75" customHeight="1" x14ac:dyDescent="0.2">
      <c r="A287" s="10">
        <v>46085</v>
      </c>
      <c r="B287" s="11">
        <v>0.69483796296296296</v>
      </c>
      <c r="C287" s="1" t="s">
        <v>122</v>
      </c>
      <c r="D287" s="1" t="s">
        <v>285</v>
      </c>
      <c r="E287" s="1"/>
      <c r="F287" s="1">
        <v>139</v>
      </c>
      <c r="G287" s="1" t="s">
        <v>46</v>
      </c>
      <c r="H287" s="1">
        <v>1</v>
      </c>
      <c r="I287" s="1">
        <v>1</v>
      </c>
      <c r="J287" s="1" t="s">
        <v>47</v>
      </c>
      <c r="K287" s="1" t="s">
        <v>48</v>
      </c>
      <c r="L287" s="1">
        <v>6.5100000000000005E-2</v>
      </c>
      <c r="M287" s="1">
        <v>1.43</v>
      </c>
      <c r="N287" s="1">
        <v>34.200000000000003</v>
      </c>
      <c r="O287" s="1" t="s">
        <v>49</v>
      </c>
      <c r="P287" s="1" t="s">
        <v>50</v>
      </c>
      <c r="Q287" s="1">
        <v>0.57199999999999995</v>
      </c>
      <c r="R287" s="1">
        <v>7.46</v>
      </c>
      <c r="S287" s="1">
        <v>726</v>
      </c>
    </row>
    <row r="288" spans="1:19" ht="15.75" customHeight="1" x14ac:dyDescent="0.2">
      <c r="A288" s="10">
        <v>46085</v>
      </c>
      <c r="B288" s="11">
        <v>0.69571759259259258</v>
      </c>
      <c r="C288" s="1" t="s">
        <v>122</v>
      </c>
      <c r="D288" s="1" t="s">
        <v>286</v>
      </c>
      <c r="E288" s="1"/>
      <c r="F288" s="1">
        <v>168</v>
      </c>
      <c r="G288" s="1" t="s">
        <v>46</v>
      </c>
      <c r="H288" s="1">
        <v>1</v>
      </c>
      <c r="I288" s="1">
        <v>1</v>
      </c>
      <c r="J288" s="1" t="s">
        <v>47</v>
      </c>
      <c r="K288" s="1" t="s">
        <v>48</v>
      </c>
      <c r="L288" s="1">
        <v>8.0600000000000005E-2</v>
      </c>
      <c r="M288" s="1">
        <v>1.76</v>
      </c>
      <c r="N288" s="1">
        <v>45.9</v>
      </c>
      <c r="O288" s="1" t="s">
        <v>49</v>
      </c>
      <c r="P288" s="1" t="s">
        <v>50</v>
      </c>
      <c r="Q288" s="1">
        <v>0.91</v>
      </c>
      <c r="R288" s="1">
        <v>11.6</v>
      </c>
      <c r="S288" s="1">
        <v>1160</v>
      </c>
    </row>
    <row r="289" spans="1:19" ht="15.75" customHeight="1" x14ac:dyDescent="0.2">
      <c r="A289" s="10">
        <v>46085</v>
      </c>
      <c r="B289" s="11">
        <v>0.69662037037037039</v>
      </c>
      <c r="C289" s="1" t="s">
        <v>122</v>
      </c>
      <c r="D289" s="1" t="s">
        <v>287</v>
      </c>
      <c r="E289" s="1"/>
      <c r="F289" s="1">
        <v>195</v>
      </c>
      <c r="G289" s="1" t="s">
        <v>46</v>
      </c>
      <c r="H289" s="1">
        <v>1</v>
      </c>
      <c r="I289" s="1">
        <v>1</v>
      </c>
      <c r="J289" s="1" t="s">
        <v>47</v>
      </c>
      <c r="K289" s="1" t="s">
        <v>48</v>
      </c>
      <c r="L289" s="1">
        <v>5.7500000000000002E-2</v>
      </c>
      <c r="M289" s="1">
        <v>0.86799999999999999</v>
      </c>
      <c r="N289" s="1">
        <v>14.8</v>
      </c>
      <c r="O289" s="1" t="s">
        <v>49</v>
      </c>
      <c r="P289" s="1" t="s">
        <v>50</v>
      </c>
      <c r="Q289" s="1">
        <v>0.26900000000000002</v>
      </c>
      <c r="R289" s="1">
        <v>3.59</v>
      </c>
      <c r="S289" s="1">
        <v>307</v>
      </c>
    </row>
    <row r="290" spans="1:19" ht="15.75" customHeight="1" x14ac:dyDescent="0.2">
      <c r="A290" s="10">
        <v>46085</v>
      </c>
      <c r="B290" s="11">
        <v>0.6975231481481482</v>
      </c>
      <c r="C290" s="1" t="s">
        <v>122</v>
      </c>
      <c r="D290" s="1" t="s">
        <v>288</v>
      </c>
      <c r="E290" s="1"/>
      <c r="F290" s="1">
        <v>196</v>
      </c>
      <c r="G290" s="1" t="s">
        <v>46</v>
      </c>
      <c r="H290" s="1">
        <v>1</v>
      </c>
      <c r="I290" s="1">
        <v>1</v>
      </c>
      <c r="J290" s="1" t="s">
        <v>47</v>
      </c>
      <c r="K290" s="1" t="s">
        <v>48</v>
      </c>
      <c r="L290" s="1">
        <v>2.9399999999999999E-2</v>
      </c>
      <c r="M290" s="1">
        <v>0.76700000000000002</v>
      </c>
      <c r="N290" s="1">
        <v>11.3</v>
      </c>
      <c r="O290" s="1" t="s">
        <v>49</v>
      </c>
      <c r="P290" s="1" t="s">
        <v>50</v>
      </c>
      <c r="Q290" s="1">
        <v>0.318</v>
      </c>
      <c r="R290" s="1">
        <v>4.24</v>
      </c>
      <c r="S290" s="1">
        <v>377</v>
      </c>
    </row>
    <row r="291" spans="1:19" ht="15.75" customHeight="1" x14ac:dyDescent="0.2">
      <c r="A291" s="10">
        <v>46085</v>
      </c>
      <c r="B291" s="11">
        <v>0.69840277777777782</v>
      </c>
      <c r="C291" s="1" t="s">
        <v>122</v>
      </c>
      <c r="D291" s="1" t="s">
        <v>289</v>
      </c>
      <c r="E291" s="1"/>
      <c r="F291" s="1">
        <v>102</v>
      </c>
      <c r="G291" s="1" t="s">
        <v>46</v>
      </c>
      <c r="H291" s="1">
        <v>1</v>
      </c>
      <c r="I291" s="1">
        <v>1</v>
      </c>
      <c r="J291" s="1" t="s">
        <v>47</v>
      </c>
      <c r="K291" s="1" t="s">
        <v>48</v>
      </c>
      <c r="L291" s="1">
        <v>0.17399999999999999</v>
      </c>
      <c r="M291" s="1">
        <v>3.31</v>
      </c>
      <c r="N291" s="1">
        <v>101</v>
      </c>
      <c r="O291" s="1" t="s">
        <v>49</v>
      </c>
      <c r="P291" s="1" t="s">
        <v>50</v>
      </c>
      <c r="Q291" s="1">
        <v>1.96</v>
      </c>
      <c r="R291" s="1">
        <v>25.1</v>
      </c>
      <c r="S291" s="1">
        <v>2530</v>
      </c>
    </row>
    <row r="292" spans="1:19" ht="15.75" customHeight="1" x14ac:dyDescent="0.2">
      <c r="A292" s="10">
        <v>46085</v>
      </c>
      <c r="B292" s="11">
        <v>0.69929398148148147</v>
      </c>
      <c r="C292" s="1" t="s">
        <v>122</v>
      </c>
      <c r="D292" s="1" t="s">
        <v>290</v>
      </c>
      <c r="E292" s="1"/>
      <c r="F292" s="1">
        <v>113</v>
      </c>
      <c r="G292" s="1" t="s">
        <v>46</v>
      </c>
      <c r="H292" s="1">
        <v>1</v>
      </c>
      <c r="I292" s="1">
        <v>1</v>
      </c>
      <c r="J292" s="1" t="s">
        <v>47</v>
      </c>
      <c r="K292" s="1" t="s">
        <v>48</v>
      </c>
      <c r="L292" s="1">
        <v>5.4199999999999998E-2</v>
      </c>
      <c r="M292" s="1">
        <v>1.25</v>
      </c>
      <c r="N292" s="1">
        <v>28</v>
      </c>
      <c r="O292" s="1" t="s">
        <v>49</v>
      </c>
      <c r="P292" s="1" t="s">
        <v>50</v>
      </c>
      <c r="Q292" s="1">
        <v>0.53600000000000003</v>
      </c>
      <c r="R292" s="1">
        <v>7</v>
      </c>
      <c r="S292" s="1">
        <v>677</v>
      </c>
    </row>
    <row r="293" spans="1:19" ht="15.75" customHeight="1" x14ac:dyDescent="0.2">
      <c r="A293" s="10">
        <v>46085</v>
      </c>
      <c r="B293" s="11">
        <v>0.70019675925925928</v>
      </c>
      <c r="C293" s="1" t="s">
        <v>122</v>
      </c>
      <c r="D293" s="1" t="s">
        <v>291</v>
      </c>
      <c r="E293" s="1"/>
      <c r="F293" s="1">
        <v>121</v>
      </c>
      <c r="G293" s="1" t="s">
        <v>46</v>
      </c>
      <c r="H293" s="1">
        <v>1</v>
      </c>
      <c r="I293" s="1">
        <v>1</v>
      </c>
      <c r="J293" s="1" t="s">
        <v>47</v>
      </c>
      <c r="K293" s="1" t="s">
        <v>48</v>
      </c>
      <c r="L293" s="1">
        <v>3.5000000000000003E-2</v>
      </c>
      <c r="M293" s="1">
        <v>0.88900000000000001</v>
      </c>
      <c r="N293" s="1">
        <v>15.5</v>
      </c>
      <c r="O293" s="1" t="s">
        <v>49</v>
      </c>
      <c r="P293" s="1" t="s">
        <v>50</v>
      </c>
      <c r="Q293" s="1">
        <v>0.33500000000000002</v>
      </c>
      <c r="R293" s="1">
        <v>4.6900000000000004</v>
      </c>
      <c r="S293" s="1">
        <v>427</v>
      </c>
    </row>
    <row r="294" spans="1:19" ht="15.75" customHeight="1" x14ac:dyDescent="0.2">
      <c r="A294" s="10">
        <v>46085</v>
      </c>
      <c r="B294" s="11">
        <v>0.70109953703703709</v>
      </c>
      <c r="C294" s="1" t="s">
        <v>122</v>
      </c>
      <c r="D294" s="1" t="s">
        <v>292</v>
      </c>
      <c r="E294" s="1"/>
      <c r="F294" s="1">
        <v>136</v>
      </c>
      <c r="G294" s="1" t="s">
        <v>46</v>
      </c>
      <c r="H294" s="1">
        <v>1</v>
      </c>
      <c r="I294" s="1">
        <v>1</v>
      </c>
      <c r="J294" s="1" t="s">
        <v>47</v>
      </c>
      <c r="K294" s="1" t="s">
        <v>48</v>
      </c>
      <c r="L294" s="1">
        <v>0.14499999999999999</v>
      </c>
      <c r="M294" s="1">
        <v>2.92</v>
      </c>
      <c r="N294" s="1">
        <v>86.8</v>
      </c>
      <c r="O294" s="1" t="s">
        <v>49</v>
      </c>
      <c r="P294" s="1" t="s">
        <v>50</v>
      </c>
      <c r="Q294" s="1">
        <v>0.97299999999999998</v>
      </c>
      <c r="R294" s="1">
        <v>12</v>
      </c>
      <c r="S294" s="1">
        <v>1210</v>
      </c>
    </row>
    <row r="295" spans="1:19" ht="15.75" customHeight="1" x14ac:dyDescent="0.2">
      <c r="A295" s="10">
        <v>46085</v>
      </c>
      <c r="B295" s="11">
        <v>0.70199074074074075</v>
      </c>
      <c r="C295" s="1" t="s">
        <v>122</v>
      </c>
      <c r="D295" s="1" t="s">
        <v>293</v>
      </c>
      <c r="E295" s="1"/>
      <c r="F295" s="1">
        <v>146</v>
      </c>
      <c r="G295" s="1" t="s">
        <v>46</v>
      </c>
      <c r="H295" s="1">
        <v>1</v>
      </c>
      <c r="I295" s="1">
        <v>1</v>
      </c>
      <c r="J295" s="1" t="s">
        <v>47</v>
      </c>
      <c r="K295" s="1" t="s">
        <v>48</v>
      </c>
      <c r="L295" s="1">
        <v>2.2599999999999999E-2</v>
      </c>
      <c r="M295" s="1">
        <v>0.63900000000000001</v>
      </c>
      <c r="N295" s="1">
        <v>6.83</v>
      </c>
      <c r="O295" s="1" t="s">
        <v>49</v>
      </c>
      <c r="P295" s="1" t="s">
        <v>50</v>
      </c>
      <c r="Q295" s="1">
        <v>0.29599999999999999</v>
      </c>
      <c r="R295" s="1">
        <v>4.04</v>
      </c>
      <c r="S295" s="1">
        <v>356</v>
      </c>
    </row>
    <row r="296" spans="1:19" ht="15.75" customHeight="1" x14ac:dyDescent="0.2">
      <c r="A296" s="10">
        <v>46085</v>
      </c>
      <c r="B296" s="11">
        <v>0.70288194444444441</v>
      </c>
      <c r="C296" s="1" t="s">
        <v>122</v>
      </c>
      <c r="D296" s="1" t="s">
        <v>294</v>
      </c>
      <c r="E296" s="1"/>
      <c r="F296" s="1">
        <v>162</v>
      </c>
      <c r="G296" s="1" t="s">
        <v>46</v>
      </c>
      <c r="H296" s="1">
        <v>1</v>
      </c>
      <c r="I296" s="1">
        <v>1</v>
      </c>
      <c r="J296" s="1" t="s">
        <v>47</v>
      </c>
      <c r="K296" s="1" t="s">
        <v>48</v>
      </c>
      <c r="L296" s="1">
        <v>5.4800000000000001E-2</v>
      </c>
      <c r="M296" s="1">
        <v>1.03</v>
      </c>
      <c r="N296" s="1">
        <v>20.3</v>
      </c>
      <c r="O296" s="1" t="s">
        <v>49</v>
      </c>
      <c r="P296" s="1" t="s">
        <v>50</v>
      </c>
      <c r="Q296" s="1">
        <v>0.28699999999999998</v>
      </c>
      <c r="R296" s="1">
        <v>3.91</v>
      </c>
      <c r="S296" s="1">
        <v>342</v>
      </c>
    </row>
    <row r="297" spans="1:19" ht="15.75" customHeight="1" x14ac:dyDescent="0.2">
      <c r="A297" s="10">
        <v>46085</v>
      </c>
      <c r="B297" s="11">
        <v>0.70377314814814818</v>
      </c>
      <c r="C297" s="1" t="s">
        <v>122</v>
      </c>
      <c r="D297" s="1" t="s">
        <v>295</v>
      </c>
      <c r="E297" s="1"/>
      <c r="F297" s="1">
        <v>184</v>
      </c>
      <c r="G297" s="1" t="s">
        <v>46</v>
      </c>
      <c r="H297" s="1">
        <v>1</v>
      </c>
      <c r="I297" s="1">
        <v>1</v>
      </c>
      <c r="J297" s="1" t="s">
        <v>47</v>
      </c>
      <c r="K297" s="1" t="s">
        <v>48</v>
      </c>
      <c r="L297" s="1">
        <v>7.2400000000000006E-2</v>
      </c>
      <c r="M297" s="1">
        <v>1.53</v>
      </c>
      <c r="N297" s="1">
        <v>37.9</v>
      </c>
      <c r="O297" s="1" t="s">
        <v>49</v>
      </c>
      <c r="P297" s="1" t="s">
        <v>50</v>
      </c>
      <c r="Q297" s="1">
        <v>0.56399999999999995</v>
      </c>
      <c r="R297" s="1">
        <v>7.19</v>
      </c>
      <c r="S297" s="1">
        <v>697</v>
      </c>
    </row>
    <row r="298" spans="1:19" ht="15.75" customHeight="1" x14ac:dyDescent="0.2">
      <c r="A298" s="10">
        <v>46085</v>
      </c>
      <c r="B298" s="11">
        <v>0.70467592592592587</v>
      </c>
      <c r="C298" s="1" t="s">
        <v>122</v>
      </c>
      <c r="D298" s="1" t="s">
        <v>296</v>
      </c>
      <c r="E298" s="1"/>
      <c r="F298" s="1">
        <v>200</v>
      </c>
      <c r="G298" s="1" t="s">
        <v>46</v>
      </c>
      <c r="H298" s="1">
        <v>1</v>
      </c>
      <c r="I298" s="1">
        <v>1</v>
      </c>
      <c r="J298" s="1" t="s">
        <v>47</v>
      </c>
      <c r="K298" s="1" t="s">
        <v>48</v>
      </c>
      <c r="L298" s="1">
        <v>8.7499999999999994E-2</v>
      </c>
      <c r="M298" s="1">
        <v>1.87</v>
      </c>
      <c r="N298" s="1">
        <v>49.7</v>
      </c>
      <c r="O298" s="1" t="s">
        <v>49</v>
      </c>
      <c r="P298" s="1" t="s">
        <v>50</v>
      </c>
      <c r="Q298" s="1">
        <v>0.95</v>
      </c>
      <c r="R298" s="1">
        <v>12.2</v>
      </c>
      <c r="S298" s="1">
        <v>1230</v>
      </c>
    </row>
    <row r="299" spans="1:19" ht="15.75" customHeight="1" x14ac:dyDescent="0.2">
      <c r="A299" s="10">
        <v>46085</v>
      </c>
      <c r="B299" s="11">
        <v>0.70557870370370368</v>
      </c>
      <c r="C299" s="1" t="s">
        <v>122</v>
      </c>
      <c r="D299" s="1" t="s">
        <v>297</v>
      </c>
      <c r="E299" s="1"/>
      <c r="F299" s="1">
        <v>202</v>
      </c>
      <c r="G299" s="1" t="s">
        <v>46</v>
      </c>
      <c r="H299" s="1">
        <v>1</v>
      </c>
      <c r="I299" s="1">
        <v>1</v>
      </c>
      <c r="J299" s="1" t="s">
        <v>47</v>
      </c>
      <c r="K299" s="1" t="s">
        <v>48</v>
      </c>
      <c r="L299" s="1">
        <v>3.5700000000000003E-2</v>
      </c>
      <c r="M299" s="1">
        <v>0.89700000000000002</v>
      </c>
      <c r="N299" s="1">
        <v>15.8</v>
      </c>
      <c r="O299" s="1" t="s">
        <v>49</v>
      </c>
      <c r="P299" s="1" t="s">
        <v>50</v>
      </c>
      <c r="Q299" s="1">
        <v>0.30399999999999999</v>
      </c>
      <c r="R299" s="1">
        <v>4.05</v>
      </c>
      <c r="S299" s="1">
        <v>356</v>
      </c>
    </row>
    <row r="300" spans="1:19" ht="15.75" customHeight="1" x14ac:dyDescent="0.2"/>
    <row r="301" spans="1:19" ht="15.75" customHeight="1" x14ac:dyDescent="0.2"/>
    <row r="302" spans="1:19" ht="15.75" customHeight="1" x14ac:dyDescent="0.2"/>
    <row r="303" spans="1:19" ht="15.75" customHeight="1" x14ac:dyDescent="0.2"/>
    <row r="304" spans="1:19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1" x14ac:dyDescent="0.2">
      <c r="A1" s="1" t="s">
        <v>323</v>
      </c>
    </row>
    <row r="3" spans="1:21" x14ac:dyDescent="0.2">
      <c r="A3" s="1" t="s">
        <v>49</v>
      </c>
      <c r="M3" s="1" t="s">
        <v>47</v>
      </c>
    </row>
    <row r="5" spans="1:21" x14ac:dyDescent="0.2">
      <c r="A5" s="1" t="s">
        <v>324</v>
      </c>
      <c r="M5" s="1" t="s">
        <v>324</v>
      </c>
    </row>
    <row r="6" spans="1:21" x14ac:dyDescent="0.2">
      <c r="A6" s="1" t="s">
        <v>325</v>
      </c>
      <c r="M6" s="1" t="s">
        <v>325</v>
      </c>
    </row>
    <row r="8" spans="1:21" x14ac:dyDescent="0.2">
      <c r="A8" s="1" t="s">
        <v>326</v>
      </c>
      <c r="M8" s="1" t="s">
        <v>326</v>
      </c>
    </row>
    <row r="9" spans="1:21" x14ac:dyDescent="0.2">
      <c r="A9" s="1" t="s">
        <v>327</v>
      </c>
      <c r="M9" s="1" t="s">
        <v>328</v>
      </c>
    </row>
    <row r="10" spans="1:21" x14ac:dyDescent="0.2">
      <c r="A10" s="1" t="s">
        <v>329</v>
      </c>
      <c r="H10" s="1" t="s">
        <v>330</v>
      </c>
      <c r="M10" s="1" t="s">
        <v>331</v>
      </c>
      <c r="T10" s="1" t="s">
        <v>330</v>
      </c>
    </row>
    <row r="11" spans="1:21" x14ac:dyDescent="0.2">
      <c r="H11" s="1" t="s">
        <v>332</v>
      </c>
      <c r="I11" s="1">
        <v>-0.84219999999999995</v>
      </c>
      <c r="T11" s="1" t="s">
        <v>332</v>
      </c>
      <c r="U11" s="1">
        <v>-0.36270000000000002</v>
      </c>
    </row>
    <row r="12" spans="1:21" x14ac:dyDescent="0.2">
      <c r="A12" s="1" t="s">
        <v>333</v>
      </c>
      <c r="H12" s="1" t="s">
        <v>334</v>
      </c>
      <c r="I12" s="1">
        <v>79.232100000000003</v>
      </c>
      <c r="M12" s="1" t="s">
        <v>333</v>
      </c>
      <c r="T12" s="1" t="s">
        <v>334</v>
      </c>
      <c r="U12" s="1">
        <v>31.352499999999999</v>
      </c>
    </row>
    <row r="13" spans="1:21" x14ac:dyDescent="0.2">
      <c r="A13" s="1" t="s">
        <v>335</v>
      </c>
      <c r="H13" s="1" t="s">
        <v>336</v>
      </c>
      <c r="I13" s="1">
        <v>-99.655900000000003</v>
      </c>
      <c r="M13" s="1" t="s">
        <v>335</v>
      </c>
      <c r="T13" s="1" t="s">
        <v>336</v>
      </c>
      <c r="U13" s="1">
        <v>-14.1767</v>
      </c>
    </row>
    <row r="14" spans="1:21" x14ac:dyDescent="0.2">
      <c r="A14" s="1" t="s">
        <v>337</v>
      </c>
      <c r="M14" s="1" t="s">
        <v>338</v>
      </c>
    </row>
    <row r="15" spans="1:21" x14ac:dyDescent="0.2">
      <c r="A15" s="1" t="s">
        <v>339</v>
      </c>
      <c r="M15" s="1" t="s">
        <v>340</v>
      </c>
    </row>
    <row r="16" spans="1:21" x14ac:dyDescent="0.2">
      <c r="A16" s="1" t="s">
        <v>341</v>
      </c>
      <c r="M16" s="1" t="s">
        <v>342</v>
      </c>
    </row>
    <row r="17" spans="1:13" x14ac:dyDescent="0.2">
      <c r="A17" s="1" t="s">
        <v>343</v>
      </c>
      <c r="M17" s="1" t="s">
        <v>343</v>
      </c>
    </row>
    <row r="18" spans="1:13" x14ac:dyDescent="0.2">
      <c r="A18" s="1" t="s">
        <v>344</v>
      </c>
      <c r="M18" s="1" t="s">
        <v>344</v>
      </c>
    </row>
    <row r="20" spans="1:13" x14ac:dyDescent="0.2">
      <c r="A20" s="1" t="s">
        <v>345</v>
      </c>
      <c r="M20" s="1" t="s">
        <v>346</v>
      </c>
    </row>
    <row r="21" spans="1:13" ht="15.75" customHeight="1" x14ac:dyDescent="0.2">
      <c r="A21" s="1" t="s">
        <v>347</v>
      </c>
      <c r="M21" s="1" t="s">
        <v>348</v>
      </c>
    </row>
    <row r="22" spans="1:13" ht="15.75" customHeight="1" x14ac:dyDescent="0.2">
      <c r="A22" s="1" t="s">
        <v>349</v>
      </c>
      <c r="M22" s="1" t="s">
        <v>350</v>
      </c>
    </row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QAQC</vt:lpstr>
      <vt:lpstr>method checks</vt:lpstr>
      <vt:lpstr>Raw Data</vt:lpstr>
      <vt:lpstr>Calibration-S40 to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Niederlehner, Barbara</dc:creator>
  <cp:lastModifiedBy>Edwards, Dominique</cp:lastModifiedBy>
  <dcterms:created xsi:type="dcterms:W3CDTF">2019-09-17T18:32:24Z</dcterms:created>
  <dcterms:modified xsi:type="dcterms:W3CDTF">2026-04-15T18:41:29Z</dcterms:modified>
</cp:coreProperties>
</file>