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8"/>
  <workbookPr/>
  <mc:AlternateContent xmlns:mc="http://schemas.openxmlformats.org/markup-compatibility/2006">
    <mc:Choice Requires="x15">
      <x15ac:absPath xmlns:x15ac="http://schemas.microsoft.com/office/spreadsheetml/2010/11/ac" url="/Users/dominiqueedwards/Macrophyte2025/Nutrients/"/>
    </mc:Choice>
  </mc:AlternateContent>
  <xr:revisionPtr revIDLastSave="0" documentId="13_ncr:1_{CE2E0FBD-8696-8E45-B27E-3E4CF70C5EC9}" xr6:coauthVersionLast="47" xr6:coauthVersionMax="47" xr10:uidLastSave="{00000000-0000-0000-0000-000000000000}"/>
  <bookViews>
    <workbookView xWindow="0" yWindow="500" windowWidth="28800" windowHeight="16460" activeTab="3" xr2:uid="{00000000-000D-0000-FFFF-FFFF00000000}"/>
  </bookViews>
  <sheets>
    <sheet name="Notes" sheetId="19" r:id="rId1"/>
    <sheet name="QAQC" sheetId="18" r:id="rId2"/>
    <sheet name="method checks" sheetId="17" r:id="rId3"/>
    <sheet name="Raw Data" sheetId="2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56" i="17" l="1"/>
  <c r="AI56" i="17" s="1"/>
  <c r="Y56" i="17"/>
  <c r="W56" i="17"/>
  <c r="X56" i="17" s="1"/>
  <c r="AH55" i="17"/>
  <c r="AJ55" i="17" s="1"/>
  <c r="W55" i="17"/>
  <c r="X55" i="17" s="1"/>
  <c r="AH54" i="17"/>
  <c r="AJ54" i="17" s="1"/>
  <c r="W54" i="17"/>
  <c r="Y54" i="17" s="1"/>
  <c r="AJ53" i="17"/>
  <c r="AI53" i="17"/>
  <c r="AH53" i="17"/>
  <c r="W53" i="17"/>
  <c r="Y53" i="17" s="1"/>
  <c r="AH52" i="17"/>
  <c r="AJ52" i="17" s="1"/>
  <c r="Y52" i="17"/>
  <c r="W52" i="17"/>
  <c r="X52" i="17" s="1"/>
  <c r="AJ34" i="17"/>
  <c r="AI34" i="17"/>
  <c r="AH34" i="17"/>
  <c r="W34" i="17"/>
  <c r="Y34" i="17" s="1"/>
  <c r="AJ33" i="17"/>
  <c r="AI33" i="17"/>
  <c r="AH33" i="17"/>
  <c r="W33" i="17"/>
  <c r="Y33" i="17" s="1"/>
  <c r="AJ32" i="17"/>
  <c r="AI32" i="17"/>
  <c r="AH32" i="17"/>
  <c r="Y32" i="17"/>
  <c r="W32" i="17"/>
  <c r="X32" i="17" s="1"/>
  <c r="AH31" i="17"/>
  <c r="AJ31" i="17" s="1"/>
  <c r="W31" i="17"/>
  <c r="Y31" i="17" s="1"/>
  <c r="AH30" i="17"/>
  <c r="AJ30" i="17" s="1"/>
  <c r="W30" i="17"/>
  <c r="X30" i="17" s="1"/>
  <c r="AH7" i="17"/>
  <c r="AJ7" i="17" s="1"/>
  <c r="W7" i="17"/>
  <c r="X7" i="17" s="1"/>
  <c r="AH6" i="17"/>
  <c r="AJ6" i="17" s="1"/>
  <c r="W6" i="17"/>
  <c r="X6" i="17" s="1"/>
  <c r="AJ5" i="17"/>
  <c r="AI5" i="17"/>
  <c r="AH5" i="17"/>
  <c r="W5" i="17"/>
  <c r="X5" i="17" s="1"/>
  <c r="AJ4" i="17"/>
  <c r="AI4" i="17"/>
  <c r="AH4" i="17"/>
  <c r="Y4" i="17"/>
  <c r="X4" i="17"/>
  <c r="W4" i="17"/>
  <c r="AH3" i="17"/>
  <c r="AJ3" i="17" s="1"/>
  <c r="W3" i="17"/>
  <c r="Y3" i="17" s="1"/>
  <c r="AK243" i="18"/>
  <c r="AL243" i="18" s="1"/>
  <c r="AK242" i="18"/>
  <c r="AL242" i="18" s="1"/>
  <c r="AK241" i="18"/>
  <c r="AL241" i="18" s="1"/>
  <c r="AK240" i="18"/>
  <c r="AL240" i="18" s="1"/>
  <c r="AK239" i="18"/>
  <c r="AL239" i="18" s="1"/>
  <c r="AK238" i="18"/>
  <c r="AL238" i="18" s="1"/>
  <c r="AK221" i="18"/>
  <c r="AL221" i="18" s="1"/>
  <c r="AK208" i="18"/>
  <c r="AL208" i="18" s="1"/>
  <c r="AK193" i="18"/>
  <c r="AL193" i="18" s="1"/>
  <c r="AK177" i="18"/>
  <c r="AL177" i="18" s="1"/>
  <c r="AK165" i="18"/>
  <c r="AL165" i="18" s="1"/>
  <c r="AK149" i="18"/>
  <c r="AL149" i="18" s="1"/>
  <c r="AK136" i="18"/>
  <c r="AL136" i="18" s="1"/>
  <c r="AK135" i="18"/>
  <c r="AL135" i="18" s="1"/>
  <c r="AK134" i="18"/>
  <c r="AL134" i="18" s="1"/>
  <c r="AK133" i="18"/>
  <c r="AL133" i="18" s="1"/>
  <c r="AK132" i="18"/>
  <c r="AL132" i="18" s="1"/>
  <c r="AK131" i="18"/>
  <c r="AL131" i="18" s="1"/>
  <c r="AK116" i="18"/>
  <c r="AL116" i="18" s="1"/>
  <c r="Z243" i="18"/>
  <c r="AA243" i="18" s="1"/>
  <c r="AA242" i="18"/>
  <c r="Z242" i="18"/>
  <c r="Z241" i="18"/>
  <c r="AA241" i="18" s="1"/>
  <c r="Z240" i="18"/>
  <c r="AA240" i="18" s="1"/>
  <c r="Z239" i="18"/>
  <c r="AA239" i="18" s="1"/>
  <c r="AA238" i="18"/>
  <c r="Z238" i="18"/>
  <c r="AA221" i="18"/>
  <c r="Z221" i="18"/>
  <c r="Z208" i="18"/>
  <c r="AA208" i="18" s="1"/>
  <c r="Z193" i="18"/>
  <c r="AA193" i="18" s="1"/>
  <c r="Z177" i="18"/>
  <c r="AA177" i="18" s="1"/>
  <c r="Z165" i="18"/>
  <c r="AA165" i="18" s="1"/>
  <c r="Z149" i="18"/>
  <c r="AA149" i="18" s="1"/>
  <c r="Z136" i="18"/>
  <c r="AA136" i="18" s="1"/>
  <c r="Z135" i="18"/>
  <c r="AA135" i="18" s="1"/>
  <c r="Z134" i="18"/>
  <c r="AA134" i="18" s="1"/>
  <c r="Z133" i="18"/>
  <c r="AA133" i="18" s="1"/>
  <c r="Z132" i="18"/>
  <c r="AA132" i="18" s="1"/>
  <c r="Z131" i="18"/>
  <c r="AA131" i="18" s="1"/>
  <c r="Z116" i="18"/>
  <c r="AA116" i="18" s="1"/>
  <c r="W27" i="18"/>
  <c r="Y27" i="18" s="1"/>
  <c r="AH27" i="18"/>
  <c r="AJ27" i="18" s="1"/>
  <c r="AI27" i="18"/>
  <c r="W28" i="18"/>
  <c r="X28" i="18"/>
  <c r="Y28" i="18"/>
  <c r="AH28" i="18"/>
  <c r="AI28" i="18" s="1"/>
  <c r="S245" i="18"/>
  <c r="S205" i="18"/>
  <c r="S178" i="18"/>
  <c r="S150" i="18"/>
  <c r="S117" i="18"/>
  <c r="S9" i="18"/>
  <c r="Y55" i="17" l="1"/>
  <c r="AJ56" i="17"/>
  <c r="AI55" i="17"/>
  <c r="X53" i="17"/>
  <c r="X54" i="17"/>
  <c r="AI54" i="17"/>
  <c r="AI52" i="17"/>
  <c r="X31" i="17"/>
  <c r="X34" i="17"/>
  <c r="Y30" i="17"/>
  <c r="AI31" i="17"/>
  <c r="X33" i="17"/>
  <c r="AI30" i="17"/>
  <c r="Y7" i="17"/>
  <c r="AI3" i="17"/>
  <c r="Y6" i="17"/>
  <c r="Y5" i="17"/>
  <c r="AI6" i="17"/>
  <c r="AI7" i="17"/>
  <c r="X3" i="17"/>
  <c r="X27" i="18"/>
  <c r="AJ28" i="18"/>
  <c r="W233" i="18"/>
  <c r="Y233" i="18" s="1"/>
  <c r="X233" i="18"/>
  <c r="AH233" i="18"/>
  <c r="AI233" i="18" s="1"/>
  <c r="W234" i="18"/>
  <c r="AH234" i="18"/>
  <c r="AI234" i="18"/>
  <c r="AJ234" i="18" s="1"/>
  <c r="W235" i="18"/>
  <c r="X235" i="18" s="1"/>
  <c r="AH235" i="18"/>
  <c r="AI235" i="18" s="1"/>
  <c r="W236" i="18"/>
  <c r="X236" i="18" s="1"/>
  <c r="AH236" i="18"/>
  <c r="W237" i="18"/>
  <c r="X237" i="18" s="1"/>
  <c r="Y237" i="18" s="1"/>
  <c r="AH237" i="18"/>
  <c r="AI237" i="18" s="1"/>
  <c r="AJ237" i="18" s="1"/>
  <c r="W238" i="18"/>
  <c r="X238" i="18" s="1"/>
  <c r="AH238" i="18"/>
  <c r="AI238" i="18"/>
  <c r="AJ238" i="18" s="1"/>
  <c r="W239" i="18"/>
  <c r="X239" i="18" s="1"/>
  <c r="Y239" i="18" s="1"/>
  <c r="AH239" i="18"/>
  <c r="AI239" i="18" s="1"/>
  <c r="W240" i="18"/>
  <c r="X240" i="18" s="1"/>
  <c r="Y240" i="18" s="1"/>
  <c r="AH240" i="18"/>
  <c r="AI240" i="18" s="1"/>
  <c r="W241" i="18"/>
  <c r="X241" i="18" s="1"/>
  <c r="Y241" i="18" s="1"/>
  <c r="AH241" i="18"/>
  <c r="AI241" i="18" s="1"/>
  <c r="AJ241" i="18" s="1"/>
  <c r="W242" i="18"/>
  <c r="X242" i="18" s="1"/>
  <c r="AH242" i="18"/>
  <c r="AI242" i="18" s="1"/>
  <c r="W243" i="18"/>
  <c r="X243" i="18" s="1"/>
  <c r="Y243" i="18" s="1"/>
  <c r="AH243" i="18"/>
  <c r="AI243" i="18" s="1"/>
  <c r="W244" i="18"/>
  <c r="X244" i="18" s="1"/>
  <c r="Y244" i="18" s="1"/>
  <c r="AH244" i="18"/>
  <c r="AJ244" i="18" s="1"/>
  <c r="W245" i="18"/>
  <c r="X245" i="18" s="1"/>
  <c r="AH245" i="18"/>
  <c r="AI245" i="18"/>
  <c r="AJ245" i="18" s="1"/>
  <c r="W246" i="18"/>
  <c r="X246" i="18" s="1"/>
  <c r="AH246" i="18"/>
  <c r="AI246" i="18" s="1"/>
  <c r="AJ246" i="18" s="1"/>
  <c r="W247" i="18"/>
  <c r="X247" i="18"/>
  <c r="Y247" i="18" s="1"/>
  <c r="AH247" i="18"/>
  <c r="AI247" i="18" s="1"/>
  <c r="S36" i="18"/>
  <c r="S88" i="18"/>
  <c r="AH228" i="18"/>
  <c r="AH229" i="18"/>
  <c r="AH230" i="18"/>
  <c r="AI230" i="18" s="1"/>
  <c r="AH231" i="18"/>
  <c r="AI231" i="18" s="1"/>
  <c r="AH232" i="18"/>
  <c r="AI232" i="18" s="1"/>
  <c r="W228" i="18"/>
  <c r="W229" i="18"/>
  <c r="W230" i="18"/>
  <c r="X230" i="18" s="1"/>
  <c r="Y230" i="18" s="1"/>
  <c r="W231" i="18"/>
  <c r="X231" i="18" s="1"/>
  <c r="W232" i="18"/>
  <c r="X232" i="18" s="1"/>
  <c r="AH3" i="18"/>
  <c r="W3" i="18"/>
  <c r="AJ236" i="18" l="1"/>
  <c r="AI244" i="18"/>
  <c r="AI236" i="18"/>
  <c r="AJ240" i="18"/>
  <c r="Y236" i="18"/>
  <c r="Y245" i="18"/>
  <c r="AJ233" i="18"/>
  <c r="AJ242" i="18"/>
  <c r="Y235" i="18"/>
  <c r="X234" i="18"/>
  <c r="Y234" i="18" s="1"/>
  <c r="Y246" i="18"/>
  <c r="Y242" i="18"/>
  <c r="Y238" i="18"/>
  <c r="AJ247" i="18"/>
  <c r="AJ243" i="18"/>
  <c r="AJ239" i="18"/>
  <c r="AJ235" i="18"/>
  <c r="Y21" i="17"/>
  <c r="AJ230" i="18"/>
  <c r="X229" i="18"/>
  <c r="Y229" i="18" s="1"/>
  <c r="AI229" i="18"/>
  <c r="AJ229" i="18" s="1"/>
  <c r="X228" i="18"/>
  <c r="Y228" i="18" s="1"/>
  <c r="AI228" i="18"/>
  <c r="AJ228" i="18" s="1"/>
  <c r="AJ232" i="18"/>
  <c r="AJ231" i="18"/>
  <c r="Y232" i="18"/>
  <c r="Y231" i="18"/>
  <c r="M42" i="17"/>
  <c r="W10" i="18"/>
  <c r="S5" i="18"/>
  <c r="S7" i="18"/>
  <c r="Y64" i="17"/>
  <c r="M61" i="17"/>
  <c r="R61" i="17"/>
  <c r="R67" i="17" s="1"/>
  <c r="M62" i="17"/>
  <c r="M66" i="17" s="1"/>
  <c r="R62" i="17"/>
  <c r="M64" i="17"/>
  <c r="R64" i="17"/>
  <c r="M39" i="17"/>
  <c r="M47" i="17" s="1"/>
  <c r="R39" i="17"/>
  <c r="R47" i="17" s="1"/>
  <c r="M40" i="17"/>
  <c r="R40" i="17"/>
  <c r="R43" i="17" s="1"/>
  <c r="R42" i="17"/>
  <c r="L12" i="17"/>
  <c r="M12" i="17"/>
  <c r="L13" i="17"/>
  <c r="M13" i="17"/>
  <c r="L15" i="17"/>
  <c r="M15" i="17"/>
  <c r="L23" i="17"/>
  <c r="L25" i="17" s="1"/>
  <c r="Q12" i="17"/>
  <c r="R12" i="17"/>
  <c r="Q13" i="17"/>
  <c r="R13" i="17"/>
  <c r="Q15" i="17"/>
  <c r="R15" i="17"/>
  <c r="Q23" i="17"/>
  <c r="Q25" i="17" s="1"/>
  <c r="W61" i="18"/>
  <c r="W62" i="18"/>
  <c r="W63" i="18"/>
  <c r="W64" i="18"/>
  <c r="W65" i="18"/>
  <c r="W66" i="18"/>
  <c r="W67" i="18"/>
  <c r="W68" i="18"/>
  <c r="W69" i="18"/>
  <c r="W70" i="18"/>
  <c r="W71" i="18"/>
  <c r="W72" i="18"/>
  <c r="W73" i="18"/>
  <c r="W74" i="18"/>
  <c r="W75" i="18"/>
  <c r="W76" i="18"/>
  <c r="W77" i="18"/>
  <c r="W78" i="18"/>
  <c r="W79" i="18"/>
  <c r="W80" i="18"/>
  <c r="W81" i="18"/>
  <c r="W82" i="18"/>
  <c r="W83" i="18"/>
  <c r="W84" i="18"/>
  <c r="W85" i="18"/>
  <c r="W86" i="18"/>
  <c r="W87" i="18"/>
  <c r="W88" i="18"/>
  <c r="W89" i="18"/>
  <c r="W90" i="18"/>
  <c r="W91" i="18"/>
  <c r="W92" i="18"/>
  <c r="W93" i="18"/>
  <c r="W94" i="18"/>
  <c r="W95" i="18"/>
  <c r="W96" i="18"/>
  <c r="W97" i="18"/>
  <c r="W98" i="18"/>
  <c r="W99" i="18"/>
  <c r="W100" i="18"/>
  <c r="W101" i="18"/>
  <c r="W102" i="18"/>
  <c r="W103" i="18"/>
  <c r="W104" i="18"/>
  <c r="W105" i="18"/>
  <c r="W106" i="18"/>
  <c r="W107" i="18"/>
  <c r="W108" i="18"/>
  <c r="W109" i="18"/>
  <c r="W110" i="18"/>
  <c r="W111" i="18"/>
  <c r="W112" i="18"/>
  <c r="W113" i="18"/>
  <c r="W114" i="18"/>
  <c r="W115" i="18"/>
  <c r="W116" i="18"/>
  <c r="W117" i="18"/>
  <c r="W118" i="18"/>
  <c r="W119" i="18"/>
  <c r="W120" i="18"/>
  <c r="W121" i="18"/>
  <c r="W122" i="18"/>
  <c r="W123" i="18"/>
  <c r="W124" i="18"/>
  <c r="W125" i="18"/>
  <c r="W126" i="18"/>
  <c r="W127" i="18"/>
  <c r="W128" i="18"/>
  <c r="W129" i="18"/>
  <c r="W130" i="18"/>
  <c r="W131" i="18"/>
  <c r="W132" i="18"/>
  <c r="W133" i="18"/>
  <c r="W134" i="18"/>
  <c r="W135" i="18"/>
  <c r="W136" i="18"/>
  <c r="W137" i="18"/>
  <c r="W138" i="18"/>
  <c r="W139" i="18"/>
  <c r="W140" i="18"/>
  <c r="W141" i="18"/>
  <c r="W142" i="18"/>
  <c r="W143" i="18"/>
  <c r="W144" i="18"/>
  <c r="W145" i="18"/>
  <c r="W146" i="18"/>
  <c r="W147" i="18"/>
  <c r="W148" i="18"/>
  <c r="W149" i="18"/>
  <c r="W150" i="18"/>
  <c r="W151" i="18"/>
  <c r="W152" i="18"/>
  <c r="W153" i="18"/>
  <c r="W154" i="18"/>
  <c r="W155" i="18"/>
  <c r="W156" i="18"/>
  <c r="W157" i="18"/>
  <c r="W158" i="18"/>
  <c r="W159" i="18"/>
  <c r="W160" i="18"/>
  <c r="W161" i="18"/>
  <c r="W162" i="18"/>
  <c r="W163" i="18"/>
  <c r="W164" i="18"/>
  <c r="W165" i="18"/>
  <c r="W166" i="18"/>
  <c r="W167" i="18"/>
  <c r="W168" i="18"/>
  <c r="W169" i="18"/>
  <c r="W170" i="18"/>
  <c r="W171" i="18"/>
  <c r="W172" i="18"/>
  <c r="W173" i="18"/>
  <c r="W174" i="18"/>
  <c r="W175" i="18"/>
  <c r="W176" i="18"/>
  <c r="W177" i="18"/>
  <c r="W178" i="18"/>
  <c r="W179" i="18"/>
  <c r="W180" i="18"/>
  <c r="W181" i="18"/>
  <c r="W182" i="18"/>
  <c r="W183" i="18"/>
  <c r="W184" i="18"/>
  <c r="W185" i="18"/>
  <c r="W186" i="18"/>
  <c r="W187" i="18"/>
  <c r="W188" i="18"/>
  <c r="W189" i="18"/>
  <c r="W190" i="18"/>
  <c r="W191" i="18"/>
  <c r="W192" i="18"/>
  <c r="W193" i="18"/>
  <c r="W194" i="18"/>
  <c r="W195" i="18"/>
  <c r="W196" i="18"/>
  <c r="W197" i="18"/>
  <c r="W198" i="18"/>
  <c r="W199" i="18"/>
  <c r="W200" i="18"/>
  <c r="W201" i="18"/>
  <c r="W202" i="18"/>
  <c r="W203" i="18"/>
  <c r="W204" i="18"/>
  <c r="W205" i="18"/>
  <c r="W206" i="18"/>
  <c r="W207" i="18"/>
  <c r="W208" i="18"/>
  <c r="W209" i="18"/>
  <c r="W210" i="18"/>
  <c r="W211" i="18"/>
  <c r="W212" i="18"/>
  <c r="W213" i="18"/>
  <c r="W214" i="18"/>
  <c r="W215" i="18"/>
  <c r="W216" i="18"/>
  <c r="W217" i="18"/>
  <c r="W218" i="18"/>
  <c r="W219" i="18"/>
  <c r="W220" i="18"/>
  <c r="W221" i="18"/>
  <c r="W222" i="18"/>
  <c r="W223" i="18"/>
  <c r="W224" i="18"/>
  <c r="W225" i="18"/>
  <c r="W226" i="18"/>
  <c r="W227" i="18"/>
  <c r="W60" i="18"/>
  <c r="W37" i="18"/>
  <c r="W38" i="18"/>
  <c r="W39" i="18"/>
  <c r="W40" i="18"/>
  <c r="W41" i="18"/>
  <c r="W42" i="18"/>
  <c r="W43" i="18"/>
  <c r="W44" i="18"/>
  <c r="W45" i="18"/>
  <c r="W46" i="18"/>
  <c r="W47" i="18"/>
  <c r="W48" i="18"/>
  <c r="W49" i="18"/>
  <c r="W50" i="18"/>
  <c r="W51" i="18"/>
  <c r="W52" i="18"/>
  <c r="W53" i="18"/>
  <c r="W36" i="18"/>
  <c r="AH61" i="18"/>
  <c r="AH62" i="18"/>
  <c r="AH63" i="18"/>
  <c r="AH64" i="18"/>
  <c r="AH65" i="18"/>
  <c r="AH66" i="18"/>
  <c r="AH67" i="18"/>
  <c r="AH68" i="18"/>
  <c r="AH69" i="18"/>
  <c r="AH70" i="18"/>
  <c r="AH71" i="18"/>
  <c r="AH72" i="18"/>
  <c r="AH73" i="18"/>
  <c r="AH74" i="18"/>
  <c r="AH75" i="18"/>
  <c r="AH76" i="18"/>
  <c r="AH77" i="18"/>
  <c r="AH78" i="18"/>
  <c r="AH79" i="18"/>
  <c r="AH80" i="18"/>
  <c r="AH81" i="18"/>
  <c r="AH82" i="18"/>
  <c r="AH83" i="18"/>
  <c r="AH84" i="18"/>
  <c r="AH85" i="18"/>
  <c r="AH86" i="18"/>
  <c r="AH87" i="18"/>
  <c r="AH88" i="18"/>
  <c r="AH89" i="18"/>
  <c r="AH90" i="18"/>
  <c r="AH91" i="18"/>
  <c r="AH92" i="18"/>
  <c r="AH93" i="18"/>
  <c r="AH94" i="18"/>
  <c r="AH95" i="18"/>
  <c r="AH96" i="18"/>
  <c r="AH97" i="18"/>
  <c r="AH98" i="18"/>
  <c r="AH99" i="18"/>
  <c r="AH100" i="18"/>
  <c r="AH101" i="18"/>
  <c r="AH102" i="18"/>
  <c r="AH103" i="18"/>
  <c r="AH104" i="18"/>
  <c r="AH105" i="18"/>
  <c r="AH106" i="18"/>
  <c r="AH107" i="18"/>
  <c r="AH108" i="18"/>
  <c r="AH109" i="18"/>
  <c r="AH110" i="18"/>
  <c r="AH111" i="18"/>
  <c r="AH112" i="18"/>
  <c r="AH113" i="18"/>
  <c r="AH114" i="18"/>
  <c r="AH115" i="18"/>
  <c r="AH116" i="18"/>
  <c r="AH117" i="18"/>
  <c r="AH118" i="18"/>
  <c r="AH119" i="18"/>
  <c r="AH120" i="18"/>
  <c r="AH121" i="18"/>
  <c r="AH122" i="18"/>
  <c r="AH123" i="18"/>
  <c r="AH124" i="18"/>
  <c r="AH125" i="18"/>
  <c r="AH126" i="18"/>
  <c r="AH127" i="18"/>
  <c r="AH128" i="18"/>
  <c r="AH129" i="18"/>
  <c r="AH130" i="18"/>
  <c r="AH131" i="18"/>
  <c r="AH132" i="18"/>
  <c r="AH133" i="18"/>
  <c r="AH134" i="18"/>
  <c r="AH135" i="18"/>
  <c r="AH136" i="18"/>
  <c r="AH137" i="18"/>
  <c r="AH138" i="18"/>
  <c r="AH139" i="18"/>
  <c r="AH140" i="18"/>
  <c r="AH141" i="18"/>
  <c r="AH142" i="18"/>
  <c r="AH143" i="18"/>
  <c r="AH144" i="18"/>
  <c r="AH145" i="18"/>
  <c r="AH146" i="18"/>
  <c r="AH147" i="18"/>
  <c r="AH148" i="18"/>
  <c r="AH149" i="18"/>
  <c r="AH150" i="18"/>
  <c r="AH151" i="18"/>
  <c r="AH152" i="18"/>
  <c r="AH153" i="18"/>
  <c r="AH154" i="18"/>
  <c r="AH155" i="18"/>
  <c r="AH156" i="18"/>
  <c r="AH157" i="18"/>
  <c r="AH158" i="18"/>
  <c r="AH159" i="18"/>
  <c r="AH160" i="18"/>
  <c r="AH161" i="18"/>
  <c r="AH162" i="18"/>
  <c r="AH163" i="18"/>
  <c r="AH164" i="18"/>
  <c r="AH165" i="18"/>
  <c r="AH166" i="18"/>
  <c r="AH167" i="18"/>
  <c r="AH168" i="18"/>
  <c r="AH169" i="18"/>
  <c r="AH170" i="18"/>
  <c r="AH171" i="18"/>
  <c r="AH172" i="18"/>
  <c r="AH173" i="18"/>
  <c r="AH174" i="18"/>
  <c r="AH175" i="18"/>
  <c r="AH176" i="18"/>
  <c r="AH177" i="18"/>
  <c r="AH178" i="18"/>
  <c r="AH179" i="18"/>
  <c r="AH180" i="18"/>
  <c r="AH181" i="18"/>
  <c r="AH182" i="18"/>
  <c r="AH183" i="18"/>
  <c r="AH184" i="18"/>
  <c r="AH185" i="18"/>
  <c r="AH186" i="18"/>
  <c r="AH187" i="18"/>
  <c r="AH188" i="18"/>
  <c r="AH189" i="18"/>
  <c r="AH190" i="18"/>
  <c r="AH191" i="18"/>
  <c r="AH192" i="18"/>
  <c r="AH193" i="18"/>
  <c r="AH194" i="18"/>
  <c r="AH195" i="18"/>
  <c r="AH196" i="18"/>
  <c r="AH197" i="18"/>
  <c r="AH198" i="18"/>
  <c r="AH199" i="18"/>
  <c r="AH200" i="18"/>
  <c r="AH201" i="18"/>
  <c r="AH202" i="18"/>
  <c r="AH203" i="18"/>
  <c r="AH204" i="18"/>
  <c r="AH205" i="18"/>
  <c r="AH206" i="18"/>
  <c r="AH207" i="18"/>
  <c r="AH208" i="18"/>
  <c r="AH209" i="18"/>
  <c r="AH210" i="18"/>
  <c r="AH211" i="18"/>
  <c r="AH212" i="18"/>
  <c r="AH213" i="18"/>
  <c r="AH214" i="18"/>
  <c r="AH215" i="18"/>
  <c r="AH216" i="18"/>
  <c r="AH217" i="18"/>
  <c r="AH218" i="18"/>
  <c r="AH219" i="18"/>
  <c r="AH220" i="18"/>
  <c r="AH221" i="18"/>
  <c r="AH222" i="18"/>
  <c r="AH223" i="18"/>
  <c r="AH224" i="18"/>
  <c r="AH225" i="18"/>
  <c r="AH226" i="18"/>
  <c r="AH227" i="18"/>
  <c r="AH60" i="18"/>
  <c r="AH37" i="18"/>
  <c r="AH38" i="18"/>
  <c r="AH39" i="18"/>
  <c r="AH40" i="18"/>
  <c r="AH41" i="18"/>
  <c r="AH42" i="18"/>
  <c r="AH43" i="18"/>
  <c r="AH44" i="18"/>
  <c r="AH45" i="18"/>
  <c r="AH46" i="18"/>
  <c r="AH47" i="18"/>
  <c r="AH48" i="18"/>
  <c r="AH49" i="18"/>
  <c r="AH50" i="18"/>
  <c r="AH51" i="18"/>
  <c r="AH52" i="18"/>
  <c r="AH53" i="18"/>
  <c r="AH36" i="18"/>
  <c r="AH4" i="18"/>
  <c r="AH5" i="18"/>
  <c r="AH6" i="18"/>
  <c r="AH7" i="18"/>
  <c r="AH8" i="18"/>
  <c r="AH9" i="18"/>
  <c r="AH10" i="18"/>
  <c r="AH11" i="18"/>
  <c r="AH12" i="18"/>
  <c r="AH13" i="18"/>
  <c r="AH14" i="18"/>
  <c r="AH15" i="18"/>
  <c r="AH16" i="18"/>
  <c r="AH17" i="18"/>
  <c r="AH18" i="18"/>
  <c r="AH19" i="18"/>
  <c r="AH20" i="18"/>
  <c r="AH21" i="18"/>
  <c r="AH22" i="18"/>
  <c r="AH23" i="18"/>
  <c r="AH24" i="18"/>
  <c r="AH25" i="18"/>
  <c r="AH26" i="18"/>
  <c r="W4" i="18"/>
  <c r="W5" i="18"/>
  <c r="W6" i="18"/>
  <c r="W7" i="18"/>
  <c r="W8" i="18"/>
  <c r="W9" i="18"/>
  <c r="W11" i="18"/>
  <c r="W12" i="18"/>
  <c r="W13" i="18"/>
  <c r="W14" i="18"/>
  <c r="W15" i="18"/>
  <c r="W16" i="18"/>
  <c r="W17" i="18"/>
  <c r="W18" i="18"/>
  <c r="W19" i="18"/>
  <c r="W20" i="18"/>
  <c r="W21" i="18"/>
  <c r="W22" i="18"/>
  <c r="W23" i="18"/>
  <c r="W24" i="18"/>
  <c r="W25" i="18"/>
  <c r="W26" i="18"/>
  <c r="AI3" i="18"/>
  <c r="Q24" i="17" l="1"/>
  <c r="Q26" i="17" s="1"/>
  <c r="Q27" i="17" s="1"/>
  <c r="M70" i="17"/>
  <c r="R16" i="17"/>
  <c r="Q16" i="17"/>
  <c r="R65" i="17"/>
  <c r="M16" i="17"/>
  <c r="X4" i="18"/>
  <c r="Y4" i="18"/>
  <c r="L14" i="17"/>
  <c r="R69" i="17"/>
  <c r="M43" i="17"/>
  <c r="R21" i="17"/>
  <c r="AJ3" i="18"/>
  <c r="R63" i="17"/>
  <c r="R41" i="17"/>
  <c r="R45" i="17"/>
  <c r="M44" i="17"/>
  <c r="R14" i="17"/>
  <c r="Q14" i="17"/>
  <c r="R66" i="17"/>
  <c r="M63" i="17"/>
  <c r="M65" i="17"/>
  <c r="M41" i="17"/>
  <c r="M45" i="17"/>
  <c r="R44" i="17"/>
  <c r="R48" i="17"/>
  <c r="L21" i="17"/>
  <c r="M17" i="17"/>
  <c r="Q21" i="17"/>
  <c r="L17" i="17"/>
  <c r="R17" i="17"/>
  <c r="Q17" i="17"/>
  <c r="L16" i="17"/>
  <c r="M21" i="17"/>
  <c r="L24" i="17"/>
  <c r="L26" i="17" s="1"/>
  <c r="L27" i="17" s="1"/>
  <c r="M69" i="17"/>
  <c r="M67" i="17"/>
  <c r="R70" i="17"/>
  <c r="M48" i="17"/>
  <c r="M14" i="17"/>
  <c r="X36" i="18" l="1"/>
  <c r="Y36" i="18" l="1"/>
  <c r="X5" i="18"/>
  <c r="X6" i="18"/>
  <c r="X7" i="18"/>
  <c r="X8" i="18"/>
  <c r="X9" i="18"/>
  <c r="X10" i="18"/>
  <c r="X11" i="18"/>
  <c r="X12" i="18"/>
  <c r="X13" i="18"/>
  <c r="X15" i="18"/>
  <c r="X16" i="18"/>
  <c r="X18" i="18"/>
  <c r="X19" i="18"/>
  <c r="X20" i="18"/>
  <c r="X21" i="18"/>
  <c r="X22" i="18"/>
  <c r="X23" i="18"/>
  <c r="X24" i="18"/>
  <c r="X25" i="18"/>
  <c r="X37" i="18"/>
  <c r="X38" i="18"/>
  <c r="X40" i="18"/>
  <c r="X41" i="18"/>
  <c r="X42" i="18"/>
  <c r="X43" i="18"/>
  <c r="X44" i="18"/>
  <c r="X45" i="18"/>
  <c r="X48" i="18"/>
  <c r="X49" i="18"/>
  <c r="X50" i="18"/>
  <c r="X51" i="18"/>
  <c r="X52" i="18"/>
  <c r="X53" i="18"/>
  <c r="X60" i="18"/>
  <c r="X61" i="18"/>
  <c r="X63" i="18"/>
  <c r="X64" i="18"/>
  <c r="X65" i="18"/>
  <c r="X68" i="18"/>
  <c r="X69" i="18"/>
  <c r="X70" i="18"/>
  <c r="X71" i="18"/>
  <c r="X72" i="18"/>
  <c r="X73" i="18"/>
  <c r="X74" i="18"/>
  <c r="X76" i="18"/>
  <c r="X77" i="18"/>
  <c r="X78" i="18"/>
  <c r="X79" i="18"/>
  <c r="X80" i="18"/>
  <c r="X81" i="18"/>
  <c r="X82" i="18"/>
  <c r="X84" i="18"/>
  <c r="X85" i="18"/>
  <c r="X86" i="18"/>
  <c r="X87" i="18"/>
  <c r="X88" i="18"/>
  <c r="X89" i="18"/>
  <c r="X90" i="18"/>
  <c r="X92" i="18"/>
  <c r="X93" i="18"/>
  <c r="X94" i="18"/>
  <c r="X95" i="18"/>
  <c r="X96" i="18"/>
  <c r="X97" i="18"/>
  <c r="X98" i="18"/>
  <c r="X100" i="18"/>
  <c r="X101" i="18"/>
  <c r="X103" i="18"/>
  <c r="X104" i="18"/>
  <c r="X105" i="18"/>
  <c r="X106" i="18"/>
  <c r="X108" i="18"/>
  <c r="X109" i="18"/>
  <c r="X110" i="18"/>
  <c r="X111" i="18"/>
  <c r="X112" i="18"/>
  <c r="X113" i="18"/>
  <c r="X116" i="18"/>
  <c r="X117" i="18"/>
  <c r="X118" i="18"/>
  <c r="X119" i="18"/>
  <c r="X120" i="18"/>
  <c r="X121" i="18"/>
  <c r="X122" i="18"/>
  <c r="X124" i="18"/>
  <c r="X125" i="18"/>
  <c r="X126" i="18"/>
  <c r="X127" i="18"/>
  <c r="X128" i="18"/>
  <c r="X129" i="18"/>
  <c r="X132" i="18"/>
  <c r="X133" i="18"/>
  <c r="X134" i="18"/>
  <c r="X135" i="18"/>
  <c r="X136" i="18"/>
  <c r="X137" i="18"/>
  <c r="X138" i="18"/>
  <c r="X140" i="18"/>
  <c r="X141" i="18"/>
  <c r="X142" i="18"/>
  <c r="X143" i="18"/>
  <c r="X144" i="18"/>
  <c r="X145" i="18"/>
  <c r="X146" i="18"/>
  <c r="X148" i="18"/>
  <c r="X149" i="18"/>
  <c r="X150" i="18"/>
  <c r="X151" i="18"/>
  <c r="X152" i="18"/>
  <c r="X153" i="18"/>
  <c r="X154" i="18"/>
  <c r="X156" i="18"/>
  <c r="X157" i="18"/>
  <c r="X158" i="18"/>
  <c r="X159" i="18"/>
  <c r="X160" i="18"/>
  <c r="X161" i="18"/>
  <c r="X162" i="18"/>
  <c r="X164" i="18"/>
  <c r="X165" i="18"/>
  <c r="X166" i="18"/>
  <c r="X167" i="18"/>
  <c r="X168" i="18"/>
  <c r="X169" i="18"/>
  <c r="X170" i="18"/>
  <c r="X172" i="18"/>
  <c r="X173" i="18"/>
  <c r="X174" i="18"/>
  <c r="X175" i="18"/>
  <c r="X176" i="18"/>
  <c r="X177" i="18"/>
  <c r="X180" i="18"/>
  <c r="X181" i="18"/>
  <c r="X182" i="18"/>
  <c r="X183" i="18"/>
  <c r="X184" i="18"/>
  <c r="X185" i="18"/>
  <c r="X186" i="18"/>
  <c r="X188" i="18"/>
  <c r="X189" i="18"/>
  <c r="X190" i="18"/>
  <c r="X191" i="18"/>
  <c r="X192" i="18"/>
  <c r="X193" i="18"/>
  <c r="X196" i="18"/>
  <c r="X197" i="18"/>
  <c r="X199" i="18"/>
  <c r="X200" i="18"/>
  <c r="X201" i="18"/>
  <c r="X202" i="18"/>
  <c r="X204" i="18"/>
  <c r="X205" i="18"/>
  <c r="X206" i="18"/>
  <c r="X207" i="18"/>
  <c r="X208" i="18"/>
  <c r="X209" i="18"/>
  <c r="X210" i="18"/>
  <c r="X212" i="18"/>
  <c r="X213" i="18"/>
  <c r="X214" i="18"/>
  <c r="X215" i="18"/>
  <c r="X216" i="18"/>
  <c r="X217" i="18"/>
  <c r="X218" i="18"/>
  <c r="X220" i="18"/>
  <c r="X221" i="18"/>
  <c r="X223" i="18"/>
  <c r="X224" i="18"/>
  <c r="X225" i="18"/>
  <c r="X226" i="18"/>
  <c r="X227" i="18"/>
  <c r="X3" i="18"/>
  <c r="AI4" i="18"/>
  <c r="AI5" i="18"/>
  <c r="AI6" i="18"/>
  <c r="AI7" i="18"/>
  <c r="AI8" i="18"/>
  <c r="AI9" i="18"/>
  <c r="AI10" i="18"/>
  <c r="AI11" i="18"/>
  <c r="AI12" i="18"/>
  <c r="AI13" i="18"/>
  <c r="AI14" i="18"/>
  <c r="AI15" i="18"/>
  <c r="AI16" i="18"/>
  <c r="AI17" i="18"/>
  <c r="AI18" i="18"/>
  <c r="AI19" i="18"/>
  <c r="AI20" i="18"/>
  <c r="AI22" i="18"/>
  <c r="AI23" i="18"/>
  <c r="AI24" i="18"/>
  <c r="AI25" i="18"/>
  <c r="AI26" i="18"/>
  <c r="AI36" i="18"/>
  <c r="AI37" i="18"/>
  <c r="AI38" i="18"/>
  <c r="AI39" i="18"/>
  <c r="AI40" i="18"/>
  <c r="AI41" i="18"/>
  <c r="AI42" i="18"/>
  <c r="AI44" i="18"/>
  <c r="AI45" i="18"/>
  <c r="AI46" i="18"/>
  <c r="AI47" i="18"/>
  <c r="AI48" i="18"/>
  <c r="AI49" i="18"/>
  <c r="AI50" i="18"/>
  <c r="AI51" i="18"/>
  <c r="AI53" i="18"/>
  <c r="AI60" i="18"/>
  <c r="AI61" i="18"/>
  <c r="AI62" i="18"/>
  <c r="AI63" i="18"/>
  <c r="AI64" i="18"/>
  <c r="AI65" i="18"/>
  <c r="AI66" i="18"/>
  <c r="AI67" i="18"/>
  <c r="AI68" i="18"/>
  <c r="AI69" i="18"/>
  <c r="AI70" i="18"/>
  <c r="AI71" i="18"/>
  <c r="AI72" i="18"/>
  <c r="AI73" i="18"/>
  <c r="AI74" i="18"/>
  <c r="AI75" i="18"/>
  <c r="AI76" i="18"/>
  <c r="AI77" i="18"/>
  <c r="AI78" i="18"/>
  <c r="AI79" i="18"/>
  <c r="AI80" i="18"/>
  <c r="AI82" i="18"/>
  <c r="AI83" i="18"/>
  <c r="AI84" i="18"/>
  <c r="AI85" i="18"/>
  <c r="AI86" i="18"/>
  <c r="AI87" i="18"/>
  <c r="AI88" i="18"/>
  <c r="AI89" i="18"/>
  <c r="AI90" i="18"/>
  <c r="AI91" i="18"/>
  <c r="AI92" i="18"/>
  <c r="AI93" i="18"/>
  <c r="AI94" i="18"/>
  <c r="AI95" i="18"/>
  <c r="AI96" i="18"/>
  <c r="AI97" i="18"/>
  <c r="AI98" i="18"/>
  <c r="AI99" i="18"/>
  <c r="AI100" i="18"/>
  <c r="AI101" i="18"/>
  <c r="AI102" i="18"/>
  <c r="AI103" i="18"/>
  <c r="AI104" i="18"/>
  <c r="AI105" i="18"/>
  <c r="AI106" i="18"/>
  <c r="AI107" i="18"/>
  <c r="AI108" i="18"/>
  <c r="AI109" i="18"/>
  <c r="AI110" i="18"/>
  <c r="AI111" i="18"/>
  <c r="AI112" i="18"/>
  <c r="AI113" i="18"/>
  <c r="AI114" i="18"/>
  <c r="AI115" i="18"/>
  <c r="AI116" i="18"/>
  <c r="AI117" i="18"/>
  <c r="AI118" i="18"/>
  <c r="AI119" i="18"/>
  <c r="AI120" i="18"/>
  <c r="AI121" i="18"/>
  <c r="AI122" i="18"/>
  <c r="AI123" i="18"/>
  <c r="AI124" i="18"/>
  <c r="AI125" i="18"/>
  <c r="AI126" i="18"/>
  <c r="AI127" i="18"/>
  <c r="AI128" i="18"/>
  <c r="AI129" i="18"/>
  <c r="AI130" i="18"/>
  <c r="AI131" i="18"/>
  <c r="AI132" i="18"/>
  <c r="AI133" i="18"/>
  <c r="AI134" i="18"/>
  <c r="AI135" i="18"/>
  <c r="AI136" i="18"/>
  <c r="AI137" i="18"/>
  <c r="AI138" i="18"/>
  <c r="AI139" i="18"/>
  <c r="AI140" i="18"/>
  <c r="AI141" i="18"/>
  <c r="AI142" i="18"/>
  <c r="AI143" i="18"/>
  <c r="AI144" i="18"/>
  <c r="AI145" i="18"/>
  <c r="AI146" i="18"/>
  <c r="AI147" i="18"/>
  <c r="AI148" i="18"/>
  <c r="AI149" i="18"/>
  <c r="AI150" i="18"/>
  <c r="AI151" i="18"/>
  <c r="AI152" i="18"/>
  <c r="AI153" i="18"/>
  <c r="AI154" i="18"/>
  <c r="AI155" i="18"/>
  <c r="AI156" i="18"/>
  <c r="AI157" i="18"/>
  <c r="AI158" i="18"/>
  <c r="AI159" i="18"/>
  <c r="AI160" i="18"/>
  <c r="AI161" i="18"/>
  <c r="AI162" i="18"/>
  <c r="AI163" i="18"/>
  <c r="AI164" i="18"/>
  <c r="AI165" i="18"/>
  <c r="AI166" i="18"/>
  <c r="AI167" i="18"/>
  <c r="AI168" i="18"/>
  <c r="AI169" i="18"/>
  <c r="AI170" i="18"/>
  <c r="AI171" i="18"/>
  <c r="AI172" i="18"/>
  <c r="AI173" i="18"/>
  <c r="AI174" i="18"/>
  <c r="AI175" i="18"/>
  <c r="AI176" i="18"/>
  <c r="AI177" i="18"/>
  <c r="AI178" i="18"/>
  <c r="AI179" i="18"/>
  <c r="AI180" i="18"/>
  <c r="AI181" i="18"/>
  <c r="AI182" i="18"/>
  <c r="AI183" i="18"/>
  <c r="AI184" i="18"/>
  <c r="AI185" i="18"/>
  <c r="AI186" i="18"/>
  <c r="AI187" i="18"/>
  <c r="AI188" i="18"/>
  <c r="AI189" i="18"/>
  <c r="AI190" i="18"/>
  <c r="AI191" i="18"/>
  <c r="AI192" i="18"/>
  <c r="AI193" i="18"/>
  <c r="AI194" i="18"/>
  <c r="AI195" i="18"/>
  <c r="AI196" i="18"/>
  <c r="AI197" i="18"/>
  <c r="AI198" i="18"/>
  <c r="AI199" i="18"/>
  <c r="AI200" i="18"/>
  <c r="AI201" i="18"/>
  <c r="AI202" i="18"/>
  <c r="AI203" i="18"/>
  <c r="AI204" i="18"/>
  <c r="AI205" i="18"/>
  <c r="AI206" i="18"/>
  <c r="AI207" i="18"/>
  <c r="AI208" i="18"/>
  <c r="AI209" i="18"/>
  <c r="AI210" i="18"/>
  <c r="AI211" i="18"/>
  <c r="AI212" i="18"/>
  <c r="AI213" i="18"/>
  <c r="AI214" i="18"/>
  <c r="AI215" i="18"/>
  <c r="AI216" i="18"/>
  <c r="AI217" i="18"/>
  <c r="AI218" i="18"/>
  <c r="AI219" i="18"/>
  <c r="AI220" i="18"/>
  <c r="AI221" i="18"/>
  <c r="AI222" i="18"/>
  <c r="AI223" i="18"/>
  <c r="AI224" i="18"/>
  <c r="AI225" i="18"/>
  <c r="AI227" i="18"/>
  <c r="X14" i="18"/>
  <c r="X17" i="18"/>
  <c r="X26" i="18"/>
  <c r="X39" i="18"/>
  <c r="X46" i="18"/>
  <c r="X47" i="18"/>
  <c r="X62" i="18"/>
  <c r="X66" i="18"/>
  <c r="X67" i="18"/>
  <c r="X75" i="18"/>
  <c r="X83" i="18"/>
  <c r="X91" i="18"/>
  <c r="X99" i="18"/>
  <c r="X102" i="18"/>
  <c r="X107" i="18"/>
  <c r="X114" i="18"/>
  <c r="X115" i="18"/>
  <c r="X123" i="18"/>
  <c r="X130" i="18"/>
  <c r="X131" i="18"/>
  <c r="X139" i="18"/>
  <c r="X147" i="18"/>
  <c r="X155" i="18"/>
  <c r="X163" i="18"/>
  <c r="X171" i="18"/>
  <c r="X178" i="18"/>
  <c r="X179" i="18"/>
  <c r="X187" i="18"/>
  <c r="X194" i="18"/>
  <c r="X195" i="18"/>
  <c r="X198" i="18"/>
  <c r="X203" i="18"/>
  <c r="X211" i="18"/>
  <c r="X219" i="18"/>
  <c r="X222" i="18"/>
  <c r="AI21" i="18"/>
  <c r="AI43" i="18"/>
  <c r="AI52" i="18"/>
  <c r="AI81" i="18"/>
  <c r="Y224" i="18"/>
  <c r="AJ223" i="18" l="1"/>
  <c r="AI226" i="18"/>
  <c r="AJ226" i="18" s="1"/>
  <c r="AJ227" i="18"/>
  <c r="AJ222" i="18"/>
  <c r="Y225" i="18"/>
  <c r="AJ224" i="18"/>
  <c r="Y226" i="18"/>
  <c r="Y222" i="18"/>
  <c r="AJ225" i="18"/>
  <c r="Y227" i="18"/>
  <c r="Y223" i="18"/>
  <c r="Y37" i="18" l="1"/>
  <c r="Y38" i="18"/>
  <c r="AJ36" i="18"/>
  <c r="AJ38" i="18"/>
  <c r="AJ21" i="18"/>
  <c r="AJ22" i="18"/>
  <c r="Y22" i="18"/>
  <c r="AJ23" i="18"/>
  <c r="AJ24" i="18"/>
  <c r="Y24" i="18"/>
  <c r="AJ25" i="18"/>
  <c r="AJ26" i="18"/>
  <c r="Y26" i="18"/>
  <c r="Y40" i="17" l="1"/>
  <c r="Y39" i="17"/>
  <c r="Y45" i="17" s="1"/>
  <c r="AJ62" i="17"/>
  <c r="AJ61" i="17"/>
  <c r="Y62" i="17"/>
  <c r="Y61" i="17"/>
  <c r="Y67" i="17" s="1"/>
  <c r="AJ37" i="18"/>
  <c r="Y25" i="18"/>
  <c r="Y21" i="18"/>
  <c r="Y23" i="18"/>
  <c r="AJ40" i="17" l="1"/>
  <c r="AJ39" i="17"/>
  <c r="AJ45" i="17" s="1"/>
  <c r="Y73" i="18" l="1"/>
  <c r="Z73" i="18" s="1"/>
  <c r="AA73" i="18" s="1"/>
  <c r="Y127" i="18"/>
  <c r="Y131" i="18"/>
  <c r="Y135" i="18"/>
  <c r="Y139" i="18"/>
  <c r="Y143" i="18"/>
  <c r="Y147" i="18"/>
  <c r="Y151" i="18"/>
  <c r="Y155" i="18"/>
  <c r="Y159" i="18"/>
  <c r="Y163" i="18"/>
  <c r="Y167" i="18"/>
  <c r="Y171" i="18"/>
  <c r="Y175" i="18"/>
  <c r="Y183" i="18"/>
  <c r="Y191" i="18"/>
  <c r="Y199" i="18"/>
  <c r="Y207" i="18"/>
  <c r="Y215" i="18"/>
  <c r="AJ64" i="18"/>
  <c r="AJ72" i="18"/>
  <c r="AJ73" i="18"/>
  <c r="AK73" i="18" s="1"/>
  <c r="AL73" i="18" s="1"/>
  <c r="AJ77" i="18"/>
  <c r="AJ78" i="18"/>
  <c r="AJ84" i="18"/>
  <c r="AJ88" i="18"/>
  <c r="AJ92" i="18"/>
  <c r="AJ93" i="18"/>
  <c r="AJ96" i="18"/>
  <c r="AJ97" i="18"/>
  <c r="AJ102" i="18"/>
  <c r="AJ108" i="18"/>
  <c r="AJ110" i="18"/>
  <c r="AJ114" i="18"/>
  <c r="AJ118" i="18"/>
  <c r="AJ120" i="18"/>
  <c r="AJ121" i="18"/>
  <c r="AJ124" i="18"/>
  <c r="AJ126" i="18"/>
  <c r="AJ128" i="18"/>
  <c r="AJ129" i="18"/>
  <c r="AJ132" i="18"/>
  <c r="AJ137" i="18"/>
  <c r="AJ140" i="18"/>
  <c r="AJ144" i="18"/>
  <c r="AJ150" i="18"/>
  <c r="AJ158" i="18"/>
  <c r="AJ165" i="18"/>
  <c r="AJ166" i="18"/>
  <c r="AJ172" i="18"/>
  <c r="AJ176" i="18"/>
  <c r="AJ178" i="18"/>
  <c r="AJ180" i="18"/>
  <c r="AJ182" i="18"/>
  <c r="AJ184" i="18"/>
  <c r="AJ185" i="18"/>
  <c r="AJ186" i="18"/>
  <c r="AJ188" i="18"/>
  <c r="AJ192" i="18"/>
  <c r="AJ194" i="18"/>
  <c r="AJ196" i="18"/>
  <c r="AJ200" i="18"/>
  <c r="AJ204" i="18"/>
  <c r="AJ206" i="18"/>
  <c r="AJ208" i="18"/>
  <c r="AJ209" i="18"/>
  <c r="AJ210" i="18"/>
  <c r="AJ213" i="18"/>
  <c r="AJ216" i="18"/>
  <c r="AJ217" i="18"/>
  <c r="AJ218" i="18"/>
  <c r="AD191" i="18" l="1"/>
  <c r="AE191" i="18" s="1"/>
  <c r="AB143" i="18"/>
  <c r="AC143" i="18" s="1"/>
  <c r="AJ220" i="18"/>
  <c r="AJ197" i="18"/>
  <c r="AJ160" i="18"/>
  <c r="AJ154" i="18"/>
  <c r="AJ153" i="18"/>
  <c r="AJ113" i="18"/>
  <c r="AJ81" i="18"/>
  <c r="AJ74" i="18"/>
  <c r="AJ134" i="18"/>
  <c r="AJ60" i="18"/>
  <c r="Y121" i="18"/>
  <c r="AJ122" i="18"/>
  <c r="Y105" i="18"/>
  <c r="AJ138" i="18"/>
  <c r="AJ104" i="18"/>
  <c r="AJ221" i="18"/>
  <c r="AJ198" i="18"/>
  <c r="Y19" i="18"/>
  <c r="Y166" i="18"/>
  <c r="AJ214" i="18"/>
  <c r="AJ205" i="18"/>
  <c r="AJ201" i="18"/>
  <c r="AJ148" i="18"/>
  <c r="Y214" i="18"/>
  <c r="Y198" i="18"/>
  <c r="AB199" i="18" s="1"/>
  <c r="AC199" i="18" s="1"/>
  <c r="Y182" i="18"/>
  <c r="Y142" i="18"/>
  <c r="Y118" i="18"/>
  <c r="Y65" i="18"/>
  <c r="AJ157" i="18"/>
  <c r="AJ152" i="18"/>
  <c r="AJ53" i="18"/>
  <c r="Y211" i="18"/>
  <c r="Y195" i="18"/>
  <c r="Y179" i="18"/>
  <c r="Y113" i="18"/>
  <c r="Y53" i="18"/>
  <c r="AJ133" i="18"/>
  <c r="Y158" i="18"/>
  <c r="Y110" i="18"/>
  <c r="Y45" i="18"/>
  <c r="AJ190" i="18"/>
  <c r="AJ106" i="18"/>
  <c r="AJ89" i="18"/>
  <c r="AJ85" i="18"/>
  <c r="AO85" i="18" s="1"/>
  <c r="AP85" i="18" s="1"/>
  <c r="Y134" i="18"/>
  <c r="AJ141" i="18"/>
  <c r="AJ169" i="18"/>
  <c r="AJ146" i="18"/>
  <c r="AJ116" i="18"/>
  <c r="AJ65" i="18"/>
  <c r="AM65" i="18" s="1"/>
  <c r="AN65" i="18" s="1"/>
  <c r="Y206" i="18"/>
  <c r="Y190" i="18"/>
  <c r="Y174" i="18"/>
  <c r="Y97" i="18"/>
  <c r="Y15" i="18"/>
  <c r="Y219" i="18"/>
  <c r="Y203" i="18"/>
  <c r="Y187" i="18"/>
  <c r="Y150" i="18"/>
  <c r="Y89" i="18"/>
  <c r="Y13" i="18"/>
  <c r="AJ202" i="18"/>
  <c r="AJ164" i="18"/>
  <c r="AJ80" i="18"/>
  <c r="AJ70" i="18"/>
  <c r="AJ173" i="18"/>
  <c r="AJ168" i="18"/>
  <c r="AJ49" i="18"/>
  <c r="Y126" i="18"/>
  <c r="Y81" i="18"/>
  <c r="AJ136" i="18"/>
  <c r="AJ62" i="18"/>
  <c r="Y220" i="18"/>
  <c r="Y212" i="18"/>
  <c r="Y204" i="18"/>
  <c r="Y196" i="18"/>
  <c r="Y188" i="18"/>
  <c r="Y180" i="18"/>
  <c r="Y172" i="18"/>
  <c r="Y164" i="18"/>
  <c r="Y156" i="18"/>
  <c r="Y148" i="18"/>
  <c r="Y140" i="18"/>
  <c r="Y132" i="18"/>
  <c r="Y124" i="18"/>
  <c r="Y116" i="18"/>
  <c r="Y108" i="18"/>
  <c r="Y100" i="18"/>
  <c r="Y92" i="18"/>
  <c r="Y84" i="18"/>
  <c r="Y76" i="18"/>
  <c r="Y68" i="18"/>
  <c r="Y60" i="18"/>
  <c r="Y48" i="18"/>
  <c r="AJ161" i="18"/>
  <c r="AJ117" i="18"/>
  <c r="AJ61" i="18"/>
  <c r="AJ42" i="18"/>
  <c r="AJ48" i="18"/>
  <c r="Y218" i="18"/>
  <c r="Y210" i="18"/>
  <c r="Y202" i="18"/>
  <c r="Y194" i="18"/>
  <c r="Y186" i="18"/>
  <c r="Y178" i="18"/>
  <c r="Y170" i="18"/>
  <c r="AB171" i="18" s="1"/>
  <c r="AC171" i="18" s="1"/>
  <c r="Y162" i="18"/>
  <c r="AD163" i="18" s="1"/>
  <c r="AE163" i="18" s="1"/>
  <c r="Y154" i="18"/>
  <c r="Y146" i="18"/>
  <c r="Y138" i="18"/>
  <c r="Y130" i="18"/>
  <c r="Y122" i="18"/>
  <c r="Y114" i="18"/>
  <c r="Y106" i="18"/>
  <c r="Y98" i="18"/>
  <c r="Y90" i="18"/>
  <c r="Y82" i="18"/>
  <c r="Y74" i="18"/>
  <c r="Y66" i="18"/>
  <c r="Y46" i="18"/>
  <c r="AJ142" i="18"/>
  <c r="AJ112" i="18"/>
  <c r="AJ125" i="18"/>
  <c r="AJ212" i="18"/>
  <c r="AJ193" i="18"/>
  <c r="AJ174" i="18"/>
  <c r="AJ45" i="18"/>
  <c r="AJ156" i="18"/>
  <c r="AJ189" i="18"/>
  <c r="AJ181" i="18"/>
  <c r="AJ170" i="18"/>
  <c r="AJ162" i="18"/>
  <c r="AJ145" i="18"/>
  <c r="AJ101" i="18"/>
  <c r="AJ82" i="18"/>
  <c r="AJ69" i="18"/>
  <c r="AJ50" i="18"/>
  <c r="AJ177" i="18"/>
  <c r="AJ149" i="18"/>
  <c r="AJ100" i="18"/>
  <c r="AJ68" i="18"/>
  <c r="Y221" i="18"/>
  <c r="Y213" i="18"/>
  <c r="Y205" i="18"/>
  <c r="Y197" i="18"/>
  <c r="Y189" i="18"/>
  <c r="Y181" i="18"/>
  <c r="Y173" i="18"/>
  <c r="Y165" i="18"/>
  <c r="Y157" i="18"/>
  <c r="Y149" i="18"/>
  <c r="Y141" i="18"/>
  <c r="Y133" i="18"/>
  <c r="Y125" i="18"/>
  <c r="Y117" i="18"/>
  <c r="Y109" i="18"/>
  <c r="Y101" i="18"/>
  <c r="Y93" i="18"/>
  <c r="Y85" i="18"/>
  <c r="Y77" i="18"/>
  <c r="Y69" i="18"/>
  <c r="Y61" i="18"/>
  <c r="Y49" i="18"/>
  <c r="Y41" i="18"/>
  <c r="Y123" i="18"/>
  <c r="Y119" i="18"/>
  <c r="Y115" i="18"/>
  <c r="Y111" i="18"/>
  <c r="Y107" i="18"/>
  <c r="Y103" i="18"/>
  <c r="Z103" i="18" s="1"/>
  <c r="AA103" i="18" s="1"/>
  <c r="Y99" i="18"/>
  <c r="Y95" i="18"/>
  <c r="Y91" i="18"/>
  <c r="Y87" i="18"/>
  <c r="Z87" i="18" s="1"/>
  <c r="AA87" i="18" s="1"/>
  <c r="Y83" i="18"/>
  <c r="Y79" i="18"/>
  <c r="Y75" i="18"/>
  <c r="Y71" i="18"/>
  <c r="Y67" i="18"/>
  <c r="Y63" i="18"/>
  <c r="Y51" i="18"/>
  <c r="Y47" i="18"/>
  <c r="Y43" i="18"/>
  <c r="Y39" i="18"/>
  <c r="Y102" i="18"/>
  <c r="Y94" i="18"/>
  <c r="Y86" i="18"/>
  <c r="Y78" i="18"/>
  <c r="Y70" i="18"/>
  <c r="Y62" i="18"/>
  <c r="Y50" i="18"/>
  <c r="Y42" i="18"/>
  <c r="Y217" i="18"/>
  <c r="Y209" i="18"/>
  <c r="Y201" i="18"/>
  <c r="Y193" i="18"/>
  <c r="Y185" i="18"/>
  <c r="Y177" i="18"/>
  <c r="Y169" i="18"/>
  <c r="Y161" i="18"/>
  <c r="Y153" i="18"/>
  <c r="Y145" i="18"/>
  <c r="Y137" i="18"/>
  <c r="Y129" i="18"/>
  <c r="AJ109" i="18"/>
  <c r="AM109" i="18" s="1"/>
  <c r="AN109" i="18" s="1"/>
  <c r="AJ98" i="18"/>
  <c r="AJ76" i="18"/>
  <c r="AJ66" i="18"/>
  <c r="AJ52" i="18"/>
  <c r="AJ44" i="18"/>
  <c r="Y216" i="18"/>
  <c r="Y208" i="18"/>
  <c r="Y200" i="18"/>
  <c r="Y192" i="18"/>
  <c r="Y184" i="18"/>
  <c r="Y176" i="18"/>
  <c r="Y168" i="18"/>
  <c r="Y160" i="18"/>
  <c r="Y152" i="18"/>
  <c r="Y144" i="18"/>
  <c r="Y136" i="18"/>
  <c r="Y128" i="18"/>
  <c r="Y120" i="18"/>
  <c r="Y112" i="18"/>
  <c r="Y104" i="18"/>
  <c r="Y96" i="18"/>
  <c r="Y88" i="18"/>
  <c r="Y80" i="18"/>
  <c r="Y72" i="18"/>
  <c r="Y64" i="18"/>
  <c r="Y52" i="18"/>
  <c r="Y44" i="18"/>
  <c r="Y40" i="18"/>
  <c r="AJ105" i="18"/>
  <c r="AJ90" i="18"/>
  <c r="Y18" i="18"/>
  <c r="Y14" i="18"/>
  <c r="Y17" i="18"/>
  <c r="Y20" i="18"/>
  <c r="Y16" i="18"/>
  <c r="AJ130" i="18"/>
  <c r="AJ94" i="18"/>
  <c r="AJ86" i="18"/>
  <c r="AJ46" i="18"/>
  <c r="AJ219" i="18"/>
  <c r="AJ215" i="18"/>
  <c r="AJ211" i="18"/>
  <c r="AJ207" i="18"/>
  <c r="AJ203" i="18"/>
  <c r="AJ199" i="18"/>
  <c r="AM199" i="18" s="1"/>
  <c r="AN199" i="18" s="1"/>
  <c r="AJ195" i="18"/>
  <c r="AJ191" i="18"/>
  <c r="AO191" i="18" s="1"/>
  <c r="AP191" i="18" s="1"/>
  <c r="AJ187" i="18"/>
  <c r="AJ183" i="18"/>
  <c r="AJ179" i="18"/>
  <c r="AJ175" i="18"/>
  <c r="AJ171" i="18"/>
  <c r="AJ167" i="18"/>
  <c r="AJ163" i="18"/>
  <c r="AO163" i="18" s="1"/>
  <c r="AP163" i="18" s="1"/>
  <c r="AJ159" i="18"/>
  <c r="AJ155" i="18"/>
  <c r="AJ151" i="18"/>
  <c r="AJ147" i="18"/>
  <c r="AJ143" i="18"/>
  <c r="AJ139" i="18"/>
  <c r="AJ135" i="18"/>
  <c r="AJ131" i="18"/>
  <c r="AJ127" i="18"/>
  <c r="AJ123" i="18"/>
  <c r="AJ119" i="18"/>
  <c r="AJ115" i="18"/>
  <c r="AO115" i="18" s="1"/>
  <c r="AP115" i="18" s="1"/>
  <c r="AJ111" i="18"/>
  <c r="AJ107" i="18"/>
  <c r="AJ103" i="18"/>
  <c r="AK103" i="18" s="1"/>
  <c r="AL103" i="18" s="1"/>
  <c r="AJ99" i="18"/>
  <c r="AJ95" i="18"/>
  <c r="AJ91" i="18"/>
  <c r="AJ87" i="18"/>
  <c r="AK87" i="18" s="1"/>
  <c r="AL87" i="18" s="1"/>
  <c r="AJ83" i="18"/>
  <c r="AJ79" i="18"/>
  <c r="AM79" i="18" s="1"/>
  <c r="AN79" i="18" s="1"/>
  <c r="AJ75" i="18"/>
  <c r="AJ71" i="18"/>
  <c r="AJ67" i="18"/>
  <c r="AJ63" i="18"/>
  <c r="AJ51" i="18"/>
  <c r="AJ47" i="18"/>
  <c r="AJ43" i="18"/>
  <c r="AM171" i="18" l="1"/>
  <c r="AN171" i="18" s="1"/>
  <c r="AM143" i="18"/>
  <c r="AN143" i="18" s="1"/>
  <c r="AB79" i="18"/>
  <c r="AC79" i="18" s="1"/>
  <c r="AD115" i="18"/>
  <c r="AE115" i="18" s="1"/>
  <c r="AD85" i="18"/>
  <c r="AE85" i="18" s="1"/>
  <c r="AB109" i="18"/>
  <c r="AC109" i="18" s="1"/>
  <c r="AB125" i="18"/>
  <c r="AC125" i="18" s="1"/>
  <c r="AO101" i="18"/>
  <c r="AP101" i="18" s="1"/>
  <c r="AD101" i="18"/>
  <c r="AE101" i="18" s="1"/>
  <c r="AM95" i="18"/>
  <c r="AN95" i="18" s="1"/>
  <c r="AB95" i="18"/>
  <c r="AC95" i="18" s="1"/>
  <c r="AM125" i="18"/>
  <c r="AN125" i="18" s="1"/>
  <c r="AD71" i="18"/>
  <c r="AE71" i="18" s="1"/>
  <c r="AB65" i="18"/>
  <c r="AC65" i="18" s="1"/>
  <c r="AO71" i="18"/>
  <c r="AP71" i="18" s="1"/>
  <c r="AJ64" i="17"/>
  <c r="AJ67" i="17"/>
  <c r="AJ42" i="17"/>
  <c r="Y42" i="17"/>
  <c r="AJ63" i="17" l="1"/>
  <c r="AJ70" i="17"/>
  <c r="Y70" i="17"/>
  <c r="Y48" i="17"/>
  <c r="Y63" i="17"/>
  <c r="AJ48" i="17"/>
  <c r="Y41" i="17"/>
  <c r="AJ65" i="17"/>
  <c r="AJ66" i="17"/>
  <c r="Y65" i="17"/>
  <c r="Y66" i="17"/>
  <c r="AJ41" i="17"/>
  <c r="AJ43" i="17"/>
  <c r="AJ44" i="17"/>
  <c r="Y43" i="17"/>
  <c r="Y44" i="17"/>
  <c r="AJ20" i="18" l="1"/>
  <c r="AJ14" i="18"/>
  <c r="Y12" i="18"/>
  <c r="Y11" i="18"/>
  <c r="Y10" i="18"/>
  <c r="Y9" i="18"/>
  <c r="AJ8" i="18"/>
  <c r="Y7" i="18"/>
  <c r="AJ6" i="18"/>
  <c r="Y5" i="18"/>
  <c r="AJ4" i="18"/>
  <c r="Y3" i="18"/>
  <c r="Y6" i="18" l="1"/>
  <c r="AJ19" i="18"/>
  <c r="AJ13" i="18"/>
  <c r="AJ5" i="18"/>
  <c r="Y8" i="18"/>
  <c r="AJ39" i="18"/>
  <c r="AJ9" i="18"/>
  <c r="AJ7" i="18"/>
  <c r="AJ41" i="18"/>
  <c r="AJ11" i="18"/>
  <c r="AJ17" i="18"/>
  <c r="AJ15" i="18"/>
  <c r="AJ10" i="18"/>
  <c r="AJ12" i="18"/>
  <c r="AJ16" i="18"/>
  <c r="AJ18" i="18"/>
  <c r="AJ40" i="18"/>
  <c r="AJ21" i="17" l="1"/>
</calcChain>
</file>

<file path=xl/sharedStrings.xml><?xml version="1.0" encoding="utf-8"?>
<sst xmlns="http://schemas.openxmlformats.org/spreadsheetml/2006/main" count="3806" uniqueCount="325">
  <si>
    <t>Detection Date</t>
  </si>
  <si>
    <t>Run File Name</t>
  </si>
  <si>
    <t>Sample ID</t>
  </si>
  <si>
    <t>Cup Number</t>
  </si>
  <si>
    <t>Auto Dilution Factor</t>
  </si>
  <si>
    <t>Manual Dilution Factor</t>
  </si>
  <si>
    <t>Analyte Name</t>
  </si>
  <si>
    <t>Concentration Units</t>
  </si>
  <si>
    <t>Peak Height</t>
  </si>
  <si>
    <t>Peak Area</t>
  </si>
  <si>
    <t>Peak Concentration</t>
  </si>
  <si>
    <t>Column efficiency</t>
  </si>
  <si>
    <t>Analyst QUALITY CODE PO4-P:</t>
  </si>
  <si>
    <t>Analyst NOTES:</t>
  </si>
  <si>
    <t>PO4-P- % Error in check stds</t>
  </si>
  <si>
    <t>PO4-P- DQO (&lt;=20%)</t>
  </si>
  <si>
    <t>PO4-P- RPD of duplicates</t>
  </si>
  <si>
    <t>PO4-P- DQO (&lt;=20% if conc&gt;LOQ)</t>
  </si>
  <si>
    <t>PO4-P- PR of spikes</t>
  </si>
  <si>
    <t>PO4-P- DQO (80-120%) if conc&gt;LOQ</t>
  </si>
  <si>
    <t>NO3-N- % Error in check stds</t>
  </si>
  <si>
    <t>NO3-N- DQO (&lt;=20%)</t>
  </si>
  <si>
    <t>NO3-N- RPD of duplicates</t>
  </si>
  <si>
    <t>NO3-N- DQO (&lt;=20% if conc&gt;LOQ)</t>
  </si>
  <si>
    <t>NO3-N- PR of spikes</t>
  </si>
  <si>
    <t>NO3-N- DQO (80-120%) if conc&gt;LOQ</t>
  </si>
  <si>
    <t>MEANS</t>
  </si>
  <si>
    <t>DIGESTION CHECK - is organic material completely converted to inorganic?</t>
  </si>
  <si>
    <t>Known Conc</t>
  </si>
  <si>
    <t>DILUTION BY OXIDATION REAGENT</t>
  </si>
  <si>
    <t>PO4-P-- determined concentration</t>
  </si>
  <si>
    <t>PO4-P-- blank corrected</t>
  </si>
  <si>
    <t>PO4-P-- dilution corrected</t>
  </si>
  <si>
    <t>NO3-N-- determined concentration</t>
  </si>
  <si>
    <t>NO3-N-- blank corrected</t>
  </si>
  <si>
    <t>NO3-N-- dilution corrected</t>
  </si>
  <si>
    <t>Mean</t>
  </si>
  <si>
    <t>Std Dev</t>
  </si>
  <si>
    <t>CV or %RSD</t>
  </si>
  <si>
    <t>T value</t>
  </si>
  <si>
    <t>MDL</t>
  </si>
  <si>
    <t>LOQ</t>
  </si>
  <si>
    <t>Error as %</t>
  </si>
  <si>
    <t>Known/MDL</t>
  </si>
  <si>
    <t>Mean PR</t>
  </si>
  <si>
    <t>S/N</t>
  </si>
  <si>
    <t>Analyst QUALITY CODE NO3-N:</t>
  </si>
  <si>
    <t>BLANKS-digested type I reagent grade water</t>
  </si>
  <si>
    <t>SPIKED BLANKS- used for MDL determination (250 ul spiking soln 1000/10000 into 10 ml sample)</t>
  </si>
  <si>
    <t>one sample T-test</t>
  </si>
  <si>
    <t>p value</t>
  </si>
  <si>
    <t>Different from 0?</t>
  </si>
  <si>
    <t>count</t>
  </si>
  <si>
    <t>std error of mean</t>
  </si>
  <si>
    <t>df</t>
  </si>
  <si>
    <t>t</t>
  </si>
  <si>
    <t>original order</t>
  </si>
  <si>
    <t>Notes on this run:</t>
  </si>
  <si>
    <t>STANDARDS:</t>
  </si>
  <si>
    <t>Detection Time</t>
  </si>
  <si>
    <t>Sample Type</t>
  </si>
  <si>
    <t>dye</t>
  </si>
  <si>
    <t>S16</t>
  </si>
  <si>
    <t>Unknown</t>
  </si>
  <si>
    <t>TP</t>
  </si>
  <si>
    <t>ug P/L</t>
  </si>
  <si>
    <t>TN</t>
  </si>
  <si>
    <t>ug N/L</t>
  </si>
  <si>
    <t>S1</t>
  </si>
  <si>
    <t>S2</t>
  </si>
  <si>
    <t>S3</t>
  </si>
  <si>
    <t>bisulfate carrier</t>
  </si>
  <si>
    <t>S4</t>
  </si>
  <si>
    <t>cal std 150</t>
  </si>
  <si>
    <t>Calibration Standard</t>
  </si>
  <si>
    <t>cal std 100</t>
  </si>
  <si>
    <t>cal std 50</t>
  </si>
  <si>
    <t>cal std 25</t>
  </si>
  <si>
    <t>cal std 10</t>
  </si>
  <si>
    <t>cal std 5</t>
  </si>
  <si>
    <t>cal std 0</t>
  </si>
  <si>
    <t>water blank</t>
  </si>
  <si>
    <t>digest check</t>
  </si>
  <si>
    <t>spk blank</t>
  </si>
  <si>
    <t>S5</t>
  </si>
  <si>
    <t>Duplicate Set</t>
  </si>
  <si>
    <t>S6</t>
  </si>
  <si>
    <t>S7</t>
  </si>
  <si>
    <t>S8</t>
  </si>
  <si>
    <t>S9</t>
  </si>
  <si>
    <t>S10</t>
  </si>
  <si>
    <t>Spike Set</t>
  </si>
  <si>
    <t>Check Standard</t>
  </si>
  <si>
    <t>S12</t>
  </si>
  <si>
    <t>S13</t>
  </si>
  <si>
    <t>S14</t>
  </si>
  <si>
    <t>S15</t>
  </si>
  <si>
    <t>S17</t>
  </si>
  <si>
    <t>S18</t>
  </si>
  <si>
    <t>S19</t>
  </si>
  <si>
    <t>S20</t>
  </si>
  <si>
    <t>CHECK 25</t>
  </si>
  <si>
    <t>S21</t>
  </si>
  <si>
    <t>S22</t>
  </si>
  <si>
    <t>S23</t>
  </si>
  <si>
    <t>S24</t>
  </si>
  <si>
    <t>S25</t>
  </si>
  <si>
    <t>S26</t>
  </si>
  <si>
    <t>S27</t>
  </si>
  <si>
    <t>S28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</si>
  <si>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</si>
  <si>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</si>
  <si>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</si>
  <si>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</si>
  <si>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</si>
  <si>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</si>
  <si>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</si>
  <si>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</si>
  <si>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</si>
  <si>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</si>
  <si>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</si>
  <si>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</si>
  <si>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</si>
  <si>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</si>
  <si>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</si>
  <si>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</si>
  <si>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</si>
  <si>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</si>
  <si>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</si>
  <si>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</si>
  <si>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</si>
  <si>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</si>
  <si>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</si>
  <si>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</si>
  <si>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</si>
  <si>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</si>
  <si>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</si>
  <si>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</si>
  <si>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</si>
  <si>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</si>
  <si>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</si>
  <si>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</si>
  <si>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</si>
  <si>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</si>
  <si>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</si>
  <si>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</si>
  <si>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</si>
  <si>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</si>
  <si>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</si>
  <si>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</si>
  <si>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</si>
  <si>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</si>
  <si>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</si>
  <si>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</si>
  <si>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</si>
  <si>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</si>
  <si>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</si>
  <si>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</si>
  <si>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</si>
  <si>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</si>
  <si>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</si>
  <si>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</si>
  <si>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</si>
  <si>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</si>
  <si>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</si>
  <si>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</si>
  <si>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</si>
  <si>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</si>
  <si>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</si>
  <si>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</si>
  <si>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</si>
  <si>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</si>
  <si>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</si>
  <si>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</si>
  <si>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</si>
  <si>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</si>
  <si>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</si>
  <si>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</si>
  <si>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</si>
  <si>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</si>
  <si>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</si>
  <si>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METHOD CHECKS:</t>
  </si>
  <si>
    <t>SAMPLES:</t>
  </si>
  <si>
    <t>DILUTION FACTOR</t>
  </si>
  <si>
    <t>S29</t>
  </si>
  <si>
    <t>DUP S5</t>
  </si>
  <si>
    <t>BISULFATE</t>
  </si>
  <si>
    <t>S101</t>
  </si>
  <si>
    <t>S102</t>
  </si>
  <si>
    <t>S103</t>
  </si>
  <si>
    <t>S104</t>
  </si>
  <si>
    <t>S105</t>
  </si>
  <si>
    <t>S106</t>
  </si>
  <si>
    <t>out of range</t>
  </si>
  <si>
    <t>NO2</t>
  </si>
  <si>
    <t>NO3</t>
  </si>
  <si>
    <t>CHECK25</t>
  </si>
  <si>
    <t>S11</t>
  </si>
  <si>
    <t>DUP S15</t>
  </si>
  <si>
    <t>SPIKE S20</t>
  </si>
  <si>
    <t>DUP S25</t>
  </si>
  <si>
    <t>SPIKE S30</t>
  </si>
  <si>
    <t>DUP S35</t>
  </si>
  <si>
    <t>SPIKE S40</t>
  </si>
  <si>
    <t>DUP S45</t>
  </si>
  <si>
    <t>BLANK</t>
  </si>
  <si>
    <t>DUP S55</t>
  </si>
  <si>
    <t>SPIKE S70</t>
  </si>
  <si>
    <t>CHECK 150</t>
  </si>
  <si>
    <t>CHECK 100</t>
  </si>
  <si>
    <t>CHECK 50</t>
  </si>
  <si>
    <t>CHECK 10</t>
  </si>
  <si>
    <t>CHECK 5</t>
  </si>
  <si>
    <t>CHECK 0</t>
  </si>
  <si>
    <t>DUP S75</t>
  </si>
  <si>
    <t>SPIKE S90</t>
  </si>
  <si>
    <t>DUP S95</t>
  </si>
  <si>
    <t>excluded from curve</t>
  </si>
  <si>
    <t>First 45 samples are Entrekin citizen science samples.</t>
  </si>
  <si>
    <t>Rest of the run is DXE mesocosm reruns for samples with algae chunks.</t>
  </si>
  <si>
    <t>Mesocosm samples were digested in triplicate, then replicates were homogenized before running as a single sample.</t>
  </si>
  <si>
    <t>OM_3-20-2026_11-45-36AM.OMN</t>
  </si>
  <si>
    <t>nitrite in water</t>
  </si>
  <si>
    <t>nitrate in water</t>
  </si>
  <si>
    <t>blank</t>
  </si>
  <si>
    <t>SPIKE S10</t>
  </si>
  <si>
    <t>WATER BLANK</t>
  </si>
  <si>
    <t>S3 DIL P+N</t>
  </si>
  <si>
    <t>S15 DIL P+N</t>
  </si>
  <si>
    <t>S16 DIL P</t>
  </si>
  <si>
    <t>S17 DIL P+N</t>
  </si>
  <si>
    <t>S23 DIL N</t>
  </si>
  <si>
    <t>S26 DIL P+N</t>
  </si>
  <si>
    <t>S28 DIL N</t>
  </si>
  <si>
    <t>S29 DIL N</t>
  </si>
  <si>
    <t>S33 DIL N</t>
  </si>
  <si>
    <t>S36 DIL N</t>
  </si>
  <si>
    <t>S37 DIL N</t>
  </si>
  <si>
    <t>S41 DIL N</t>
  </si>
  <si>
    <t>S21 RR N</t>
  </si>
  <si>
    <t>S41 RR P</t>
  </si>
  <si>
    <t>S60 DIL P</t>
  </si>
  <si>
    <t>S63 DIL P</t>
  </si>
  <si>
    <t>S66 DIL P</t>
  </si>
  <si>
    <t>S98 DIL P</t>
  </si>
  <si>
    <t>S102 DIL P+N</t>
  </si>
  <si>
    <t>S106 DIL P+N</t>
  </si>
  <si>
    <t>S94 RR P</t>
  </si>
  <si>
    <t>S3 DIL P+N RR</t>
  </si>
  <si>
    <t>paper label in tube- use results with caution</t>
  </si>
  <si>
    <t>diluted for N</t>
  </si>
  <si>
    <t>dilution</t>
  </si>
  <si>
    <t>NO3/NO2 checks were made 10x too high for this run.</t>
  </si>
  <si>
    <t>worse integration than original</t>
  </si>
  <si>
    <t>use data from original</t>
  </si>
  <si>
    <t>top of peak cut off- use data from rerun</t>
  </si>
  <si>
    <t>slightly funny peak shape</t>
  </si>
  <si>
    <t>reintegrated</t>
  </si>
  <si>
    <t>use rerun</t>
  </si>
  <si>
    <t>reran in case of carryover from high standard</t>
  </si>
  <si>
    <t>messy; use data from rerun</t>
  </si>
  <si>
    <t>should have been diluted- concentration may be inaccurate</t>
  </si>
  <si>
    <t>Mesocosm samples were diluted 2x before digestion. This has been accounted for in the QAQC sheet in the "dilution corrected" columns</t>
  </si>
  <si>
    <t>diluted for P</t>
  </si>
  <si>
    <t>Sample Name</t>
  </si>
  <si>
    <t>A1 7/31/25</t>
  </si>
  <si>
    <t>C3 7/31/25</t>
  </si>
  <si>
    <t>D1 8/21/25</t>
  </si>
  <si>
    <t>D3 9/29/25</t>
  </si>
  <si>
    <t>B3 9/01/25</t>
  </si>
  <si>
    <t>B4 9/29/25</t>
  </si>
  <si>
    <t>D1 9/29/25</t>
  </si>
  <si>
    <t>C2 8/21/25</t>
  </si>
  <si>
    <t>A3 8/21/25</t>
  </si>
  <si>
    <t>C2 10/27/25</t>
  </si>
  <si>
    <t>A3 9/01/25</t>
  </si>
  <si>
    <t>D1 9/01/25</t>
  </si>
  <si>
    <t>A1 7/03/25</t>
  </si>
  <si>
    <t>D3 8/21/25</t>
  </si>
  <si>
    <t>D4 7/03/25</t>
  </si>
  <si>
    <t>B2 9/01/25</t>
  </si>
  <si>
    <t>C1 9/29/25</t>
  </si>
  <si>
    <t>D2 7/31/25</t>
  </si>
  <si>
    <t>D4 10/27/25</t>
  </si>
  <si>
    <t>C4 7/31/25</t>
  </si>
  <si>
    <t>D1 7/03/25</t>
  </si>
  <si>
    <t>B2 9/29/25</t>
  </si>
  <si>
    <t>A2 9/01/25</t>
  </si>
  <si>
    <t>C4 7/03/25</t>
  </si>
  <si>
    <t>D4 9/29/25</t>
  </si>
  <si>
    <t>C4 9/01/25</t>
  </si>
  <si>
    <t>D3 7/31/25</t>
  </si>
  <si>
    <t>B1 8/21/25</t>
  </si>
  <si>
    <t>C3 9/01/25</t>
  </si>
  <si>
    <t>C4 10/27/25</t>
  </si>
  <si>
    <t>A3 7/31/25</t>
  </si>
  <si>
    <t>A2 7/03/25</t>
  </si>
  <si>
    <t>A2 9/29/25</t>
  </si>
  <si>
    <t>A3 7/03/25</t>
  </si>
  <si>
    <t>B3 7/03/25</t>
  </si>
  <si>
    <t>C1 8/21/25</t>
  </si>
  <si>
    <t>C4 8/21/25</t>
  </si>
  <si>
    <t>B4 8/21/25</t>
  </si>
  <si>
    <t>B1 7/31/25</t>
  </si>
  <si>
    <t>C1 7/31/25</t>
  </si>
  <si>
    <t>C2 9/01/25</t>
  </si>
  <si>
    <t>C3 8/21/25</t>
  </si>
  <si>
    <t>B4 7/31/25</t>
  </si>
  <si>
    <t>A1 9/29/25</t>
  </si>
  <si>
    <t>D4 7/31/25</t>
  </si>
  <si>
    <t>A1 8/21/25</t>
  </si>
  <si>
    <t>C2 7/03/25</t>
  </si>
  <si>
    <t>704 10/20/25</t>
  </si>
  <si>
    <t>D3 9/01/25</t>
  </si>
  <si>
    <t>B2 8/21/25</t>
  </si>
  <si>
    <t>C2 9/29/25</t>
  </si>
  <si>
    <t>D3 7/03/25</t>
  </si>
  <si>
    <t>C1 7/03/25</t>
  </si>
  <si>
    <t>705 10/20/25</t>
  </si>
  <si>
    <t>C3 9/29/25</t>
  </si>
  <si>
    <t>B4 9/01/25</t>
  </si>
  <si>
    <t>C1 9/01/25</t>
  </si>
  <si>
    <t>C4 9/29/25</t>
  </si>
  <si>
    <t>D1 7/31/25</t>
  </si>
  <si>
    <t>D2 7/03/25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</si>
</sst>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indexed="8"/>
      <name val="MS Sans Serif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9" fillId="0" borderId="0"/>
  </cellStyleXfs>
  <cellXfs count="17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8" fillId="0" borderId="0" xfId="42" applyAlignment="1">
      <alignment wrapText="1"/>
    </xf>
    <xf numFmtId="0" fontId="18" fillId="0" borderId="0" xfId="42"/>
    <xf numFmtId="1" fontId="18" fillId="0" borderId="0" xfId="42" applyNumberFormat="1"/>
    <xf numFmtId="14" fontId="18" fillId="0" borderId="0" xfId="42" applyNumberFormat="1"/>
    <xf numFmtId="0" fontId="1" fillId="0" borderId="0" xfId="49"/>
    <xf numFmtId="14" fontId="1" fillId="0" borderId="0" xfId="48" applyNumberFormat="1"/>
    <xf numFmtId="0" fontId="1" fillId="0" borderId="0" xfId="48"/>
    <xf numFmtId="0" fontId="1" fillId="0" borderId="0" xfId="52"/>
    <xf numFmtId="164" fontId="1" fillId="0" borderId="0" xfId="52" applyNumberFormat="1"/>
    <xf numFmtId="0" fontId="0" fillId="0" borderId="0" xfId="52" applyFont="1"/>
    <xf numFmtId="165" fontId="0" fillId="0" borderId="0" xfId="0" applyNumberFormat="1"/>
    <xf numFmtId="164" fontId="18" fillId="0" borderId="0" xfId="42" applyNumberFormat="1"/>
    <xf numFmtId="165" fontId="18" fillId="0" borderId="0" xfId="42" applyNumberFormat="1"/>
    <xf numFmtId="19" fontId="0" fillId="0" borderId="0" xfId="0" applyNumberFormat="1"/>
  </cellXfs>
  <cellStyles count="5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11" xfId="43" xr:uid="{00000000-0005-0000-0000-000025000000}"/>
    <cellStyle name="Normal 11 23" xfId="49" xr:uid="{00000000-0005-0000-0000-000026000000}"/>
    <cellStyle name="Normal 2" xfId="42" xr:uid="{00000000-0005-0000-0000-000027000000}"/>
    <cellStyle name="Normal 2 2" xfId="53" xr:uid="{00000000-0005-0000-0000-000028000000}"/>
    <cellStyle name="Normal 23" xfId="48" xr:uid="{00000000-0005-0000-0000-000029000000}"/>
    <cellStyle name="Normal 24" xfId="54" xr:uid="{00000000-0005-0000-0000-00002A000000}"/>
    <cellStyle name="Normal 5 2" xfId="46" xr:uid="{00000000-0005-0000-0000-00002B000000}"/>
    <cellStyle name="Normal 5 2 20" xfId="47" xr:uid="{00000000-0005-0000-0000-00002C000000}"/>
    <cellStyle name="Normal 5 2 20 3" xfId="52" xr:uid="{00000000-0005-0000-0000-00002D000000}"/>
    <cellStyle name="Normal 5 2 23" xfId="51" xr:uid="{00000000-0005-0000-0000-00002E000000}"/>
    <cellStyle name="Normal 6" xfId="55" xr:uid="{00000000-0005-0000-0000-00002F000000}"/>
    <cellStyle name="Normal 6 2" xfId="45" xr:uid="{00000000-0005-0000-0000-000030000000}"/>
    <cellStyle name="Normal 6 2 23" xfId="50" xr:uid="{00000000-0005-0000-0000-000031000000}"/>
    <cellStyle name="Normal 8 2" xfId="44" xr:uid="{00000000-0005-0000-0000-000032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28554-E08D-4D28-941D-D66F99C2E40B}">
  <dimension ref="A1:A8"/>
  <sheetViews>
    <sheetView workbookViewId="0">
      <selection activeCell="D12" sqref="D12"/>
    </sheetView>
  </sheetViews>
  <sheetFormatPr baseColWidth="10" defaultColWidth="8.83203125" defaultRowHeight="15"/>
  <sheetData>
    <row r="1" spans="1:1">
      <c r="A1" t="s">
        <v>57</v>
      </c>
    </row>
    <row r="3" spans="1:1">
      <c r="A3" t="s">
        <v>218</v>
      </c>
    </row>
    <row r="4" spans="1:1">
      <c r="A4" t="s">
        <v>219</v>
      </c>
    </row>
    <row r="5" spans="1:1">
      <c r="A5" t="s">
        <v>220</v>
      </c>
    </row>
    <row r="6" spans="1:1">
      <c r="A6" t="s">
        <v>262</v>
      </c>
    </row>
    <row r="8" spans="1:1">
      <c r="A8" t="s">
        <v>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T328"/>
  <sheetViews>
    <sheetView zoomScaleNormal="100" workbookViewId="0">
      <selection activeCell="AG175" sqref="AG175"/>
    </sheetView>
  </sheetViews>
  <sheetFormatPr baseColWidth="10" defaultColWidth="8.83203125" defaultRowHeight="15"/>
  <cols>
    <col min="1" max="1" width="11.83203125" customWidth="1"/>
    <col min="2" max="2" width="13.1640625" customWidth="1"/>
    <col min="3" max="3" width="13.83203125" customWidth="1"/>
    <col min="4" max="4" width="13.5" customWidth="1"/>
    <col min="7" max="18" width="8.6640625" customWidth="1"/>
    <col min="37" max="37" width="8.6640625" style="13"/>
  </cols>
  <sheetData>
    <row r="1" spans="1:72" s="2" customFormat="1" ht="80">
      <c r="A1" t="s">
        <v>0</v>
      </c>
      <c r="B1" t="s">
        <v>59</v>
      </c>
      <c r="C1" t="s">
        <v>1</v>
      </c>
      <c r="D1" t="s">
        <v>2</v>
      </c>
      <c r="E1" t="s">
        <v>3</v>
      </c>
      <c r="F1" t="s">
        <v>60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s="3" t="s">
        <v>11</v>
      </c>
      <c r="T1" s="3" t="s">
        <v>183</v>
      </c>
      <c r="U1" s="3" t="s">
        <v>12</v>
      </c>
      <c r="V1" s="3" t="s">
        <v>13</v>
      </c>
      <c r="W1" s="3" t="s">
        <v>30</v>
      </c>
      <c r="X1" s="3" t="s">
        <v>31</v>
      </c>
      <c r="Y1" s="3" t="s">
        <v>32</v>
      </c>
      <c r="Z1" s="2" t="s">
        <v>14</v>
      </c>
      <c r="AA1" s="2" t="s">
        <v>15</v>
      </c>
      <c r="AB1" s="2" t="s">
        <v>16</v>
      </c>
      <c r="AC1" s="2" t="s">
        <v>17</v>
      </c>
      <c r="AD1" s="2" t="s">
        <v>18</v>
      </c>
      <c r="AE1" s="2" t="s">
        <v>19</v>
      </c>
      <c r="AF1" s="3" t="s">
        <v>46</v>
      </c>
      <c r="AG1" s="3" t="s">
        <v>13</v>
      </c>
      <c r="AH1" s="3" t="s">
        <v>33</v>
      </c>
      <c r="AI1" s="3" t="s">
        <v>34</v>
      </c>
      <c r="AJ1" s="3" t="s">
        <v>35</v>
      </c>
      <c r="AK1" s="2" t="s">
        <v>20</v>
      </c>
      <c r="AL1" s="2" t="s">
        <v>21</v>
      </c>
      <c r="AM1" s="2" t="s">
        <v>22</v>
      </c>
      <c r="AN1" s="2" t="s">
        <v>23</v>
      </c>
      <c r="AO1" s="2" t="s">
        <v>24</v>
      </c>
      <c r="AP1" s="2" t="s">
        <v>25</v>
      </c>
      <c r="AQ1" s="3"/>
      <c r="AR1" s="2" t="s">
        <v>56</v>
      </c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spans="1:72">
      <c r="A2" t="s">
        <v>58</v>
      </c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15"/>
      <c r="AL2" s="4"/>
      <c r="AM2" s="15"/>
      <c r="AN2" s="4"/>
      <c r="AO2" s="15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</row>
    <row r="3" spans="1:72">
      <c r="A3" s="1">
        <v>46101</v>
      </c>
      <c r="B3" s="16">
        <v>0.49055555555555558</v>
      </c>
      <c r="C3" t="s">
        <v>221</v>
      </c>
      <c r="D3" t="s">
        <v>61</v>
      </c>
      <c r="E3" t="s">
        <v>62</v>
      </c>
      <c r="F3" t="s">
        <v>63</v>
      </c>
      <c r="G3">
        <v>1</v>
      </c>
      <c r="H3">
        <v>1</v>
      </c>
      <c r="I3" t="s">
        <v>64</v>
      </c>
      <c r="J3" t="s">
        <v>65</v>
      </c>
      <c r="K3">
        <v>0.14099999999999999</v>
      </c>
      <c r="L3">
        <v>1.78</v>
      </c>
      <c r="M3">
        <v>33.9</v>
      </c>
      <c r="N3" t="s">
        <v>66</v>
      </c>
      <c r="O3" t="s">
        <v>67</v>
      </c>
      <c r="P3">
        <v>9.11E-3</v>
      </c>
      <c r="Q3">
        <v>0.214</v>
      </c>
      <c r="R3">
        <v>-80.900000000000006</v>
      </c>
      <c r="S3" s="4"/>
      <c r="T3" s="4">
        <v>1</v>
      </c>
      <c r="U3" s="4">
        <v>1</v>
      </c>
      <c r="V3" s="4"/>
      <c r="W3" s="13">
        <f t="shared" ref="W3:W26" si="0">M3*H3</f>
        <v>33.9</v>
      </c>
      <c r="X3" s="15">
        <f t="shared" ref="X3:X26" si="1">IF(T3=1,W3,(W3-0))</f>
        <v>33.9</v>
      </c>
      <c r="Y3" s="15">
        <f t="shared" ref="Y3:Y26" si="2">IF(T3=1,W3,(X3*T3))</f>
        <v>33.9</v>
      </c>
      <c r="Z3" s="4"/>
      <c r="AA3" s="4"/>
      <c r="AB3" s="4"/>
      <c r="AC3" s="4"/>
      <c r="AD3" s="4"/>
      <c r="AE3" s="4"/>
      <c r="AF3" s="4">
        <v>1</v>
      </c>
      <c r="AG3" s="4"/>
      <c r="AH3" s="4">
        <f>R3*H3</f>
        <v>-80.900000000000006</v>
      </c>
      <c r="AI3" s="4">
        <f>IF(T3=1,AH3,(AH3-0))</f>
        <v>-80.900000000000006</v>
      </c>
      <c r="AJ3" s="4">
        <f>IF(T3=1,AH3,(AI3*T3))</f>
        <v>-80.900000000000006</v>
      </c>
      <c r="AK3" s="15"/>
      <c r="AL3" s="4"/>
      <c r="AM3" s="15"/>
      <c r="AN3" s="4"/>
      <c r="AO3" s="15"/>
      <c r="AP3" s="4"/>
      <c r="AQ3" s="4"/>
      <c r="AR3" s="4">
        <v>1</v>
      </c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</row>
    <row r="4" spans="1:72">
      <c r="A4" s="1">
        <v>46101</v>
      </c>
      <c r="B4" s="16">
        <v>0.49148148148148146</v>
      </c>
      <c r="C4" t="s">
        <v>221</v>
      </c>
      <c r="D4" t="s">
        <v>61</v>
      </c>
      <c r="E4" t="s">
        <v>62</v>
      </c>
      <c r="F4" t="s">
        <v>63</v>
      </c>
      <c r="G4">
        <v>1</v>
      </c>
      <c r="H4">
        <v>1</v>
      </c>
      <c r="I4" t="s">
        <v>64</v>
      </c>
      <c r="J4" t="s">
        <v>65</v>
      </c>
      <c r="K4">
        <v>0.14099999999999999</v>
      </c>
      <c r="L4">
        <v>1.75</v>
      </c>
      <c r="M4">
        <v>33</v>
      </c>
      <c r="N4" t="s">
        <v>66</v>
      </c>
      <c r="O4" t="s">
        <v>67</v>
      </c>
      <c r="P4">
        <v>1.14E-2</v>
      </c>
      <c r="Q4">
        <v>0.26</v>
      </c>
      <c r="R4">
        <v>-76</v>
      </c>
      <c r="S4" s="4"/>
      <c r="T4" s="4">
        <v>1</v>
      </c>
      <c r="U4" s="4">
        <v>1</v>
      </c>
      <c r="V4" s="4"/>
      <c r="W4" s="13">
        <f t="shared" si="0"/>
        <v>33</v>
      </c>
      <c r="X4" s="15">
        <f t="shared" si="1"/>
        <v>33</v>
      </c>
      <c r="Y4" s="15">
        <f t="shared" si="2"/>
        <v>33</v>
      </c>
      <c r="Z4" s="4"/>
      <c r="AA4" s="4"/>
      <c r="AB4" s="4"/>
      <c r="AC4" s="4"/>
      <c r="AD4" s="4"/>
      <c r="AE4" s="4"/>
      <c r="AF4" s="4">
        <v>1</v>
      </c>
      <c r="AG4" s="4"/>
      <c r="AH4" s="4">
        <f t="shared" ref="AH4:AH26" si="3">R4*H4</f>
        <v>-76</v>
      </c>
      <c r="AI4" s="4">
        <f t="shared" ref="AI4:AI76" si="4">IF(T4=1,AH4,(AH4-0))</f>
        <v>-76</v>
      </c>
      <c r="AJ4" s="4">
        <f t="shared" ref="AJ4:AJ41" si="5">IF(T4=1,AH4,(AI4*T4))</f>
        <v>-76</v>
      </c>
      <c r="AK4" s="15"/>
      <c r="AL4" s="4"/>
      <c r="AM4" s="15"/>
      <c r="AN4" s="4"/>
      <c r="AO4" s="15"/>
      <c r="AP4" s="4"/>
      <c r="AQ4" s="4"/>
      <c r="AR4" s="4">
        <v>2</v>
      </c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</row>
    <row r="5" spans="1:72">
      <c r="A5" s="1">
        <v>46101</v>
      </c>
      <c r="B5" s="16">
        <v>0.49234953703703704</v>
      </c>
      <c r="C5" t="s">
        <v>221</v>
      </c>
      <c r="D5" t="s">
        <v>222</v>
      </c>
      <c r="E5" t="s">
        <v>68</v>
      </c>
      <c r="F5" t="s">
        <v>63</v>
      </c>
      <c r="G5">
        <v>1</v>
      </c>
      <c r="H5">
        <v>1</v>
      </c>
      <c r="I5" t="s">
        <v>64</v>
      </c>
      <c r="J5" t="s">
        <v>65</v>
      </c>
      <c r="K5">
        <v>0.14499999999999999</v>
      </c>
      <c r="L5">
        <v>1.79</v>
      </c>
      <c r="M5">
        <v>34.1</v>
      </c>
      <c r="N5" t="s">
        <v>66</v>
      </c>
      <c r="O5" t="s">
        <v>67</v>
      </c>
      <c r="P5">
        <v>7.95</v>
      </c>
      <c r="Q5">
        <v>148</v>
      </c>
      <c r="R5">
        <v>13700</v>
      </c>
      <c r="S5" s="4">
        <f>100*(Q6/Q5)</f>
        <v>100</v>
      </c>
      <c r="T5" s="4">
        <v>1</v>
      </c>
      <c r="U5" s="4">
        <v>1</v>
      </c>
      <c r="V5" s="4"/>
      <c r="W5" s="13">
        <f t="shared" si="0"/>
        <v>34.1</v>
      </c>
      <c r="X5" s="15">
        <f t="shared" si="1"/>
        <v>34.1</v>
      </c>
      <c r="Y5" s="15">
        <f t="shared" si="2"/>
        <v>34.1</v>
      </c>
      <c r="Z5" s="4"/>
      <c r="AA5" s="4"/>
      <c r="AB5" s="4"/>
      <c r="AC5" s="4"/>
      <c r="AD5" s="4"/>
      <c r="AE5" s="4"/>
      <c r="AF5" s="4">
        <v>1</v>
      </c>
      <c r="AG5" s="4"/>
      <c r="AH5" s="4">
        <f t="shared" si="3"/>
        <v>13700</v>
      </c>
      <c r="AI5" s="4">
        <f t="shared" si="4"/>
        <v>13700</v>
      </c>
      <c r="AJ5" s="4">
        <f t="shared" si="5"/>
        <v>13700</v>
      </c>
      <c r="AK5" s="15"/>
      <c r="AL5" s="4"/>
      <c r="AM5" s="15"/>
      <c r="AN5" s="4"/>
      <c r="AO5" s="15"/>
      <c r="AP5" s="4"/>
      <c r="AQ5" s="4"/>
      <c r="AR5" s="4">
        <v>3</v>
      </c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</row>
    <row r="6" spans="1:72">
      <c r="A6" s="1">
        <v>46101</v>
      </c>
      <c r="B6" s="16">
        <v>0.4932523148148148</v>
      </c>
      <c r="C6" t="s">
        <v>221</v>
      </c>
      <c r="D6" t="s">
        <v>223</v>
      </c>
      <c r="E6" t="s">
        <v>69</v>
      </c>
      <c r="F6" t="s">
        <v>63</v>
      </c>
      <c r="G6">
        <v>1</v>
      </c>
      <c r="H6">
        <v>1</v>
      </c>
      <c r="I6" t="s">
        <v>64</v>
      </c>
      <c r="J6" t="s">
        <v>65</v>
      </c>
      <c r="K6">
        <v>0.14000000000000001</v>
      </c>
      <c r="L6">
        <v>1.7</v>
      </c>
      <c r="M6">
        <v>31.4</v>
      </c>
      <c r="N6" t="s">
        <v>66</v>
      </c>
      <c r="O6" t="s">
        <v>67</v>
      </c>
      <c r="P6">
        <v>7.95</v>
      </c>
      <c r="Q6">
        <v>148</v>
      </c>
      <c r="R6">
        <v>13700</v>
      </c>
      <c r="S6" s="4"/>
      <c r="T6" s="4">
        <v>1</v>
      </c>
      <c r="U6" s="4">
        <v>1</v>
      </c>
      <c r="V6" s="4"/>
      <c r="W6" s="13">
        <f t="shared" si="0"/>
        <v>31.4</v>
      </c>
      <c r="X6" s="15">
        <f t="shared" si="1"/>
        <v>31.4</v>
      </c>
      <c r="Y6" s="15">
        <f t="shared" si="2"/>
        <v>31.4</v>
      </c>
      <c r="Z6" s="4"/>
      <c r="AA6" s="4"/>
      <c r="AB6" s="4"/>
      <c r="AC6" s="4"/>
      <c r="AD6" s="4"/>
      <c r="AE6" s="4"/>
      <c r="AF6" s="4">
        <v>1</v>
      </c>
      <c r="AG6" s="4"/>
      <c r="AH6" s="4">
        <f t="shared" si="3"/>
        <v>13700</v>
      </c>
      <c r="AI6" s="4">
        <f t="shared" si="4"/>
        <v>13700</v>
      </c>
      <c r="AJ6" s="4">
        <f t="shared" si="5"/>
        <v>13700</v>
      </c>
      <c r="AK6" s="15"/>
      <c r="AL6" s="4"/>
      <c r="AM6" s="15"/>
      <c r="AN6" s="4"/>
      <c r="AO6" s="15"/>
      <c r="AP6" s="4"/>
      <c r="AQ6" s="4"/>
      <c r="AR6" s="4">
        <v>4</v>
      </c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</row>
    <row r="7" spans="1:72">
      <c r="A7" s="1">
        <v>46101</v>
      </c>
      <c r="B7" s="16">
        <v>0.49413194444444447</v>
      </c>
      <c r="C7" t="s">
        <v>221</v>
      </c>
      <c r="D7" t="s">
        <v>222</v>
      </c>
      <c r="E7" t="s">
        <v>68</v>
      </c>
      <c r="F7" t="s">
        <v>63</v>
      </c>
      <c r="G7">
        <v>1</v>
      </c>
      <c r="H7">
        <v>1</v>
      </c>
      <c r="I7" t="s">
        <v>64</v>
      </c>
      <c r="J7" t="s">
        <v>65</v>
      </c>
      <c r="K7">
        <v>0.14599999999999999</v>
      </c>
      <c r="L7">
        <v>1.76</v>
      </c>
      <c r="M7">
        <v>33.4</v>
      </c>
      <c r="N7" t="s">
        <v>66</v>
      </c>
      <c r="O7" t="s">
        <v>67</v>
      </c>
      <c r="P7">
        <v>7.94</v>
      </c>
      <c r="Q7">
        <v>148</v>
      </c>
      <c r="R7">
        <v>13700</v>
      </c>
      <c r="S7" s="4">
        <f>100*(Q8/Q7)</f>
        <v>99.324324324324323</v>
      </c>
      <c r="T7" s="4">
        <v>1</v>
      </c>
      <c r="U7" s="4">
        <v>1</v>
      </c>
      <c r="V7" s="4"/>
      <c r="W7" s="13">
        <f t="shared" si="0"/>
        <v>33.4</v>
      </c>
      <c r="X7" s="15">
        <f t="shared" si="1"/>
        <v>33.4</v>
      </c>
      <c r="Y7" s="15">
        <f t="shared" si="2"/>
        <v>33.4</v>
      </c>
      <c r="Z7" s="4"/>
      <c r="AA7" s="4"/>
      <c r="AB7" s="4"/>
      <c r="AC7" s="4"/>
      <c r="AD7" s="4"/>
      <c r="AE7" s="4"/>
      <c r="AF7" s="4">
        <v>1</v>
      </c>
      <c r="AG7" s="4"/>
      <c r="AH7" s="4">
        <f t="shared" si="3"/>
        <v>13700</v>
      </c>
      <c r="AI7" s="4">
        <f t="shared" si="4"/>
        <v>13700</v>
      </c>
      <c r="AJ7" s="4">
        <f t="shared" si="5"/>
        <v>13700</v>
      </c>
      <c r="AK7" s="15"/>
      <c r="AL7" s="4"/>
      <c r="AM7" s="15"/>
      <c r="AN7" s="4"/>
      <c r="AO7" s="15"/>
      <c r="AP7" s="4"/>
      <c r="AQ7" s="4"/>
      <c r="AR7" s="4">
        <v>5</v>
      </c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</row>
    <row r="8" spans="1:72">
      <c r="A8" s="1">
        <v>46101</v>
      </c>
      <c r="B8" s="16">
        <v>0.49501157407407409</v>
      </c>
      <c r="C8" t="s">
        <v>221</v>
      </c>
      <c r="D8" t="s">
        <v>223</v>
      </c>
      <c r="E8" t="s">
        <v>69</v>
      </c>
      <c r="F8" t="s">
        <v>63</v>
      </c>
      <c r="G8">
        <v>1</v>
      </c>
      <c r="H8">
        <v>1</v>
      </c>
      <c r="I8" t="s">
        <v>64</v>
      </c>
      <c r="J8" t="s">
        <v>65</v>
      </c>
      <c r="K8">
        <v>0.14399999999999999</v>
      </c>
      <c r="L8">
        <v>1.76</v>
      </c>
      <c r="M8">
        <v>33.4</v>
      </c>
      <c r="N8" t="s">
        <v>66</v>
      </c>
      <c r="O8" t="s">
        <v>67</v>
      </c>
      <c r="P8">
        <v>7.95</v>
      </c>
      <c r="Q8">
        <v>147</v>
      </c>
      <c r="R8">
        <v>13600</v>
      </c>
      <c r="S8" s="4"/>
      <c r="T8" s="4">
        <v>1</v>
      </c>
      <c r="U8" s="4">
        <v>1</v>
      </c>
      <c r="V8" s="4"/>
      <c r="W8" s="13">
        <f t="shared" si="0"/>
        <v>33.4</v>
      </c>
      <c r="X8" s="15">
        <f t="shared" si="1"/>
        <v>33.4</v>
      </c>
      <c r="Y8" s="15">
        <f t="shared" si="2"/>
        <v>33.4</v>
      </c>
      <c r="Z8" s="4"/>
      <c r="AA8" s="4"/>
      <c r="AB8" s="4"/>
      <c r="AC8" s="4"/>
      <c r="AD8" s="4"/>
      <c r="AE8" s="4"/>
      <c r="AF8" s="4">
        <v>1</v>
      </c>
      <c r="AG8" s="4"/>
      <c r="AH8" s="4">
        <f t="shared" si="3"/>
        <v>13600</v>
      </c>
      <c r="AI8" s="4">
        <f t="shared" si="4"/>
        <v>13600</v>
      </c>
      <c r="AJ8" s="4">
        <f t="shared" si="5"/>
        <v>13600</v>
      </c>
      <c r="AK8" s="15"/>
      <c r="AL8" s="4"/>
      <c r="AM8" s="15"/>
      <c r="AN8" s="4"/>
      <c r="AO8" s="15"/>
      <c r="AP8" s="4"/>
      <c r="AQ8" s="4"/>
      <c r="AR8" s="4">
        <v>6</v>
      </c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</row>
    <row r="9" spans="1:72">
      <c r="A9" s="1">
        <v>46101</v>
      </c>
      <c r="B9" s="16">
        <v>0.49589120370370371</v>
      </c>
      <c r="C9" t="s">
        <v>221</v>
      </c>
      <c r="D9" t="s">
        <v>222</v>
      </c>
      <c r="E9" t="s">
        <v>68</v>
      </c>
      <c r="F9" t="s">
        <v>63</v>
      </c>
      <c r="G9">
        <v>1</v>
      </c>
      <c r="H9">
        <v>1</v>
      </c>
      <c r="I9" t="s">
        <v>64</v>
      </c>
      <c r="J9" t="s">
        <v>65</v>
      </c>
      <c r="K9">
        <v>0.14499999999999999</v>
      </c>
      <c r="L9">
        <v>1.77</v>
      </c>
      <c r="M9">
        <v>33.5</v>
      </c>
      <c r="N9" t="s">
        <v>66</v>
      </c>
      <c r="O9" t="s">
        <v>67</v>
      </c>
      <c r="P9">
        <v>7.93</v>
      </c>
      <c r="Q9">
        <v>147</v>
      </c>
      <c r="R9">
        <v>13600</v>
      </c>
      <c r="S9" s="4">
        <f>100*(Q10/Q9)</f>
        <v>100</v>
      </c>
      <c r="T9" s="4">
        <v>1</v>
      </c>
      <c r="U9" s="4">
        <v>1</v>
      </c>
      <c r="V9" s="4"/>
      <c r="W9" s="13">
        <f t="shared" si="0"/>
        <v>33.5</v>
      </c>
      <c r="X9" s="15">
        <f t="shared" si="1"/>
        <v>33.5</v>
      </c>
      <c r="Y9" s="15">
        <f t="shared" si="2"/>
        <v>33.5</v>
      </c>
      <c r="Z9" s="4"/>
      <c r="AA9" s="4"/>
      <c r="AB9" s="4"/>
      <c r="AC9" s="4"/>
      <c r="AD9" s="4"/>
      <c r="AE9" s="4"/>
      <c r="AF9" s="4">
        <v>1</v>
      </c>
      <c r="AG9" s="4"/>
      <c r="AH9" s="4">
        <f t="shared" si="3"/>
        <v>13600</v>
      </c>
      <c r="AI9" s="4">
        <f t="shared" si="4"/>
        <v>13600</v>
      </c>
      <c r="AJ9" s="4">
        <f t="shared" si="5"/>
        <v>13600</v>
      </c>
      <c r="AK9" s="15"/>
      <c r="AL9" s="4"/>
      <c r="AM9" s="15"/>
      <c r="AN9" s="4"/>
      <c r="AO9" s="15"/>
      <c r="AP9" s="4"/>
      <c r="AQ9" s="4"/>
      <c r="AR9" s="4">
        <v>7</v>
      </c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</row>
    <row r="10" spans="1:72">
      <c r="A10" s="1">
        <v>46101</v>
      </c>
      <c r="B10" s="16">
        <v>0.49678240740740742</v>
      </c>
      <c r="C10" t="s">
        <v>221</v>
      </c>
      <c r="D10" t="s">
        <v>223</v>
      </c>
      <c r="E10" t="s">
        <v>69</v>
      </c>
      <c r="F10" t="s">
        <v>63</v>
      </c>
      <c r="G10">
        <v>1</v>
      </c>
      <c r="H10">
        <v>1</v>
      </c>
      <c r="I10" t="s">
        <v>64</v>
      </c>
      <c r="J10" t="s">
        <v>65</v>
      </c>
      <c r="K10">
        <v>0.14399999999999999</v>
      </c>
      <c r="L10">
        <v>1.78</v>
      </c>
      <c r="M10">
        <v>33.9</v>
      </c>
      <c r="N10" t="s">
        <v>66</v>
      </c>
      <c r="O10" t="s">
        <v>67</v>
      </c>
      <c r="P10">
        <v>7.94</v>
      </c>
      <c r="Q10">
        <v>147</v>
      </c>
      <c r="R10">
        <v>13600</v>
      </c>
      <c r="S10" s="4"/>
      <c r="T10" s="4">
        <v>1</v>
      </c>
      <c r="U10" s="4">
        <v>1</v>
      </c>
      <c r="V10" s="4"/>
      <c r="W10" s="13">
        <f t="shared" si="0"/>
        <v>33.9</v>
      </c>
      <c r="X10" s="15">
        <f t="shared" si="1"/>
        <v>33.9</v>
      </c>
      <c r="Y10" s="15">
        <f t="shared" si="2"/>
        <v>33.9</v>
      </c>
      <c r="Z10" s="4"/>
      <c r="AA10" s="4"/>
      <c r="AB10" s="4"/>
      <c r="AC10" s="4"/>
      <c r="AD10" s="4"/>
      <c r="AE10" s="4"/>
      <c r="AF10" s="4">
        <v>1</v>
      </c>
      <c r="AG10" s="4"/>
      <c r="AH10" s="4">
        <f t="shared" si="3"/>
        <v>13600</v>
      </c>
      <c r="AI10" s="4">
        <f t="shared" si="4"/>
        <v>13600</v>
      </c>
      <c r="AJ10" s="4">
        <f t="shared" si="5"/>
        <v>13600</v>
      </c>
      <c r="AK10" s="15"/>
      <c r="AL10" s="4"/>
      <c r="AM10" s="15"/>
      <c r="AN10" s="4"/>
      <c r="AO10" s="15"/>
      <c r="AP10" s="4"/>
      <c r="AQ10" s="4"/>
      <c r="AR10" s="4">
        <v>8</v>
      </c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</row>
    <row r="11" spans="1:72">
      <c r="A11" s="1">
        <v>46101</v>
      </c>
      <c r="B11" s="16">
        <v>0.49767361111111114</v>
      </c>
      <c r="C11" t="s">
        <v>221</v>
      </c>
      <c r="D11" t="s">
        <v>81</v>
      </c>
      <c r="E11" t="s">
        <v>70</v>
      </c>
      <c r="F11" t="s">
        <v>63</v>
      </c>
      <c r="G11">
        <v>1</v>
      </c>
      <c r="H11">
        <v>1</v>
      </c>
      <c r="I11" t="s">
        <v>64</v>
      </c>
      <c r="J11" t="s">
        <v>65</v>
      </c>
      <c r="K11">
        <v>0.14199999999999999</v>
      </c>
      <c r="L11">
        <v>1.72</v>
      </c>
      <c r="M11">
        <v>32.200000000000003</v>
      </c>
      <c r="N11" t="s">
        <v>66</v>
      </c>
      <c r="O11" t="s">
        <v>67</v>
      </c>
      <c r="P11">
        <v>4.3999999999999997E-2</v>
      </c>
      <c r="Q11">
        <v>0.61599999999999999</v>
      </c>
      <c r="R11">
        <v>-38.5</v>
      </c>
      <c r="S11" s="4"/>
      <c r="T11" s="4">
        <v>1</v>
      </c>
      <c r="U11" s="4">
        <v>1</v>
      </c>
      <c r="V11" s="4"/>
      <c r="W11" s="13">
        <f t="shared" si="0"/>
        <v>32.200000000000003</v>
      </c>
      <c r="X11" s="15">
        <f t="shared" si="1"/>
        <v>32.200000000000003</v>
      </c>
      <c r="Y11" s="15">
        <f t="shared" si="2"/>
        <v>32.200000000000003</v>
      </c>
      <c r="Z11" s="4"/>
      <c r="AA11" s="4"/>
      <c r="AB11" s="4"/>
      <c r="AC11" s="4"/>
      <c r="AD11" s="4"/>
      <c r="AE11" s="4"/>
      <c r="AF11" s="4">
        <v>1</v>
      </c>
      <c r="AG11" s="4"/>
      <c r="AH11" s="4">
        <f t="shared" si="3"/>
        <v>-38.5</v>
      </c>
      <c r="AI11" s="4">
        <f t="shared" si="4"/>
        <v>-38.5</v>
      </c>
      <c r="AJ11" s="4">
        <f t="shared" si="5"/>
        <v>-38.5</v>
      </c>
      <c r="AK11" s="15"/>
      <c r="AL11" s="4"/>
      <c r="AM11" s="15"/>
      <c r="AN11" s="4"/>
      <c r="AO11" s="15"/>
      <c r="AP11" s="4"/>
      <c r="AQ11" s="4"/>
      <c r="AR11" s="4">
        <v>9</v>
      </c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</row>
    <row r="12" spans="1:72">
      <c r="A12" s="1">
        <v>46101</v>
      </c>
      <c r="B12" s="16">
        <v>0.49856481481481479</v>
      </c>
      <c r="C12" t="s">
        <v>221</v>
      </c>
      <c r="D12" t="s">
        <v>81</v>
      </c>
      <c r="E12" t="s">
        <v>70</v>
      </c>
      <c r="F12" t="s">
        <v>63</v>
      </c>
      <c r="G12">
        <v>1</v>
      </c>
      <c r="H12">
        <v>1</v>
      </c>
      <c r="I12" t="s">
        <v>64</v>
      </c>
      <c r="J12" t="s">
        <v>65</v>
      </c>
      <c r="K12">
        <v>0.14199999999999999</v>
      </c>
      <c r="L12">
        <v>1.74</v>
      </c>
      <c r="M12">
        <v>32.700000000000003</v>
      </c>
      <c r="N12" t="s">
        <v>66</v>
      </c>
      <c r="O12" t="s">
        <v>67</v>
      </c>
      <c r="P12">
        <v>7.8499999999999993E-3</v>
      </c>
      <c r="Q12">
        <v>0.17100000000000001</v>
      </c>
      <c r="R12">
        <v>-85.4</v>
      </c>
      <c r="S12" s="4"/>
      <c r="T12" s="4">
        <v>1</v>
      </c>
      <c r="U12" s="4">
        <v>1</v>
      </c>
      <c r="V12" s="4"/>
      <c r="W12" s="13">
        <f t="shared" si="0"/>
        <v>32.700000000000003</v>
      </c>
      <c r="X12" s="15">
        <f t="shared" si="1"/>
        <v>32.700000000000003</v>
      </c>
      <c r="Y12" s="15">
        <f t="shared" si="2"/>
        <v>32.700000000000003</v>
      </c>
      <c r="Z12" s="4"/>
      <c r="AA12" s="4"/>
      <c r="AB12" s="4"/>
      <c r="AC12" s="4"/>
      <c r="AD12" s="4"/>
      <c r="AE12" s="4"/>
      <c r="AF12" s="4">
        <v>1</v>
      </c>
      <c r="AG12" s="4"/>
      <c r="AH12" s="4">
        <f t="shared" si="3"/>
        <v>-85.4</v>
      </c>
      <c r="AI12" s="4">
        <f t="shared" si="4"/>
        <v>-85.4</v>
      </c>
      <c r="AJ12" s="4">
        <f t="shared" si="5"/>
        <v>-85.4</v>
      </c>
      <c r="AK12" s="15"/>
      <c r="AL12" s="4"/>
      <c r="AM12" s="15"/>
      <c r="AN12" s="4"/>
      <c r="AO12" s="15"/>
      <c r="AP12" s="4"/>
      <c r="AQ12" s="4"/>
      <c r="AR12" s="4">
        <v>10</v>
      </c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</row>
    <row r="13" spans="1:72">
      <c r="A13" s="1">
        <v>46101</v>
      </c>
      <c r="B13" s="16">
        <v>0.49945601851851851</v>
      </c>
      <c r="C13" t="s">
        <v>221</v>
      </c>
      <c r="D13" t="s">
        <v>71</v>
      </c>
      <c r="E13" t="s">
        <v>72</v>
      </c>
      <c r="F13" t="s">
        <v>63</v>
      </c>
      <c r="G13">
        <v>1</v>
      </c>
      <c r="H13">
        <v>1</v>
      </c>
      <c r="I13" t="s">
        <v>64</v>
      </c>
      <c r="J13" t="s">
        <v>65</v>
      </c>
      <c r="K13">
        <v>1.21E-2</v>
      </c>
      <c r="L13">
        <v>0.129</v>
      </c>
      <c r="M13">
        <v>-16</v>
      </c>
      <c r="N13" t="s">
        <v>66</v>
      </c>
      <c r="O13" t="s">
        <v>67</v>
      </c>
      <c r="P13">
        <v>8.5100000000000002E-3</v>
      </c>
      <c r="Q13">
        <v>-6.1699999999999998E-2</v>
      </c>
      <c r="R13">
        <v>-110</v>
      </c>
      <c r="S13" s="4"/>
      <c r="T13" s="4">
        <v>1</v>
      </c>
      <c r="U13" s="4">
        <v>1</v>
      </c>
      <c r="V13" s="4"/>
      <c r="W13" s="13">
        <f t="shared" si="0"/>
        <v>-16</v>
      </c>
      <c r="X13" s="15">
        <f t="shared" si="1"/>
        <v>-16</v>
      </c>
      <c r="Y13" s="15">
        <f t="shared" si="2"/>
        <v>-16</v>
      </c>
      <c r="Z13" s="4"/>
      <c r="AA13" s="4"/>
      <c r="AB13" s="4"/>
      <c r="AC13" s="4"/>
      <c r="AD13" s="4"/>
      <c r="AE13" s="4"/>
      <c r="AF13" s="4">
        <v>1</v>
      </c>
      <c r="AG13" s="4"/>
      <c r="AH13" s="4">
        <f t="shared" si="3"/>
        <v>-110</v>
      </c>
      <c r="AI13" s="4">
        <f t="shared" si="4"/>
        <v>-110</v>
      </c>
      <c r="AJ13" s="4">
        <f t="shared" si="5"/>
        <v>-110</v>
      </c>
      <c r="AK13" s="15"/>
      <c r="AL13" s="4"/>
      <c r="AM13" s="15"/>
      <c r="AN13" s="4"/>
      <c r="AO13" s="15"/>
      <c r="AP13" s="4"/>
      <c r="AQ13" s="4"/>
      <c r="AR13" s="4">
        <v>11</v>
      </c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</row>
    <row r="14" spans="1:72">
      <c r="A14" s="1">
        <v>46101</v>
      </c>
      <c r="B14" s="16">
        <v>0.50034722222222228</v>
      </c>
      <c r="C14" t="s">
        <v>221</v>
      </c>
      <c r="D14" t="s">
        <v>71</v>
      </c>
      <c r="E14" t="s">
        <v>72</v>
      </c>
      <c r="F14" t="s">
        <v>63</v>
      </c>
      <c r="G14">
        <v>1</v>
      </c>
      <c r="H14">
        <v>1</v>
      </c>
      <c r="I14" t="s">
        <v>64</v>
      </c>
      <c r="J14" t="s">
        <v>65</v>
      </c>
      <c r="K14">
        <v>1.09E-2</v>
      </c>
      <c r="L14">
        <v>0.11799999999999999</v>
      </c>
      <c r="M14">
        <v>-16.3</v>
      </c>
      <c r="N14" t="s">
        <v>66</v>
      </c>
      <c r="O14" t="s">
        <v>67</v>
      </c>
      <c r="P14">
        <v>-1.7899999999999999E-2</v>
      </c>
      <c r="Q14">
        <v>-0.187</v>
      </c>
      <c r="R14">
        <v>-123</v>
      </c>
      <c r="S14" s="4"/>
      <c r="T14" s="4">
        <v>1</v>
      </c>
      <c r="U14" s="4">
        <v>1</v>
      </c>
      <c r="V14" s="4"/>
      <c r="W14" s="13">
        <f t="shared" si="0"/>
        <v>-16.3</v>
      </c>
      <c r="X14" s="15">
        <f t="shared" si="1"/>
        <v>-16.3</v>
      </c>
      <c r="Y14" s="15">
        <f t="shared" si="2"/>
        <v>-16.3</v>
      </c>
      <c r="Z14" s="4"/>
      <c r="AA14" s="4"/>
      <c r="AB14" s="4"/>
      <c r="AC14" s="4"/>
      <c r="AD14" s="4"/>
      <c r="AE14" s="4"/>
      <c r="AF14" s="4">
        <v>1</v>
      </c>
      <c r="AG14" s="4"/>
      <c r="AH14" s="4">
        <f t="shared" si="3"/>
        <v>-123</v>
      </c>
      <c r="AI14" s="4">
        <f t="shared" si="4"/>
        <v>-123</v>
      </c>
      <c r="AJ14" s="4">
        <f t="shared" si="5"/>
        <v>-123</v>
      </c>
      <c r="AK14" s="15"/>
      <c r="AL14" s="4"/>
      <c r="AM14" s="15"/>
      <c r="AN14" s="4"/>
      <c r="AO14" s="15"/>
      <c r="AP14" s="4"/>
      <c r="AQ14" s="4"/>
      <c r="AR14" s="4">
        <v>12</v>
      </c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</row>
    <row r="15" spans="1:72">
      <c r="A15" s="1">
        <v>46101</v>
      </c>
      <c r="B15" s="16">
        <v>0.50124999999999997</v>
      </c>
      <c r="C15" t="s">
        <v>221</v>
      </c>
      <c r="D15" t="s">
        <v>73</v>
      </c>
      <c r="E15">
        <v>1</v>
      </c>
      <c r="F15" t="s">
        <v>74</v>
      </c>
      <c r="G15">
        <v>1</v>
      </c>
      <c r="H15">
        <v>1</v>
      </c>
      <c r="I15" t="s">
        <v>64</v>
      </c>
      <c r="J15" t="s">
        <v>65</v>
      </c>
      <c r="K15">
        <v>0.34200000000000003</v>
      </c>
      <c r="L15">
        <v>6.36</v>
      </c>
      <c r="M15">
        <v>150</v>
      </c>
      <c r="N15" t="s">
        <v>66</v>
      </c>
      <c r="O15" t="s">
        <v>67</v>
      </c>
      <c r="P15">
        <v>1.99</v>
      </c>
      <c r="Q15">
        <v>25.8</v>
      </c>
      <c r="R15">
        <v>1500</v>
      </c>
      <c r="S15" s="4"/>
      <c r="T15" s="4">
        <v>1</v>
      </c>
      <c r="U15" s="4">
        <v>1</v>
      </c>
      <c r="V15" s="4"/>
      <c r="W15" s="13">
        <f t="shared" si="0"/>
        <v>150</v>
      </c>
      <c r="X15" s="15">
        <f t="shared" si="1"/>
        <v>150</v>
      </c>
      <c r="Y15" s="15">
        <f t="shared" si="2"/>
        <v>150</v>
      </c>
      <c r="Z15" s="4"/>
      <c r="AA15" s="4"/>
      <c r="AB15" s="4"/>
      <c r="AC15" s="4"/>
      <c r="AD15" s="4"/>
      <c r="AE15" s="4"/>
      <c r="AF15" s="4">
        <v>1</v>
      </c>
      <c r="AG15" s="4"/>
      <c r="AH15" s="4">
        <f t="shared" si="3"/>
        <v>1500</v>
      </c>
      <c r="AI15" s="4">
        <f t="shared" si="4"/>
        <v>1500</v>
      </c>
      <c r="AJ15" s="4">
        <f t="shared" si="5"/>
        <v>1500</v>
      </c>
      <c r="AK15" s="15"/>
      <c r="AL15" s="4"/>
      <c r="AM15" s="15"/>
      <c r="AN15" s="4"/>
      <c r="AO15" s="15"/>
      <c r="AP15" s="4"/>
      <c r="AQ15" s="4"/>
      <c r="AR15" s="4">
        <v>13</v>
      </c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</row>
    <row r="16" spans="1:72">
      <c r="A16" s="1">
        <v>46101</v>
      </c>
      <c r="B16" s="16">
        <v>0.50214120370370374</v>
      </c>
      <c r="C16" t="s">
        <v>221</v>
      </c>
      <c r="D16" t="s">
        <v>73</v>
      </c>
      <c r="E16">
        <v>1</v>
      </c>
      <c r="F16" t="s">
        <v>74</v>
      </c>
      <c r="G16">
        <v>1</v>
      </c>
      <c r="H16">
        <v>1</v>
      </c>
      <c r="I16" t="s">
        <v>64</v>
      </c>
      <c r="J16" t="s">
        <v>65</v>
      </c>
      <c r="K16">
        <v>0.34200000000000003</v>
      </c>
      <c r="L16">
        <v>6.4</v>
      </c>
      <c r="M16">
        <v>150</v>
      </c>
      <c r="N16" t="s">
        <v>66</v>
      </c>
      <c r="O16" t="s">
        <v>67</v>
      </c>
      <c r="P16">
        <v>1.99</v>
      </c>
      <c r="Q16">
        <v>25.8</v>
      </c>
      <c r="R16">
        <v>1500</v>
      </c>
      <c r="S16" s="4"/>
      <c r="T16" s="4">
        <v>1</v>
      </c>
      <c r="U16" s="4">
        <v>1</v>
      </c>
      <c r="V16" s="4"/>
      <c r="W16" s="13">
        <f t="shared" si="0"/>
        <v>150</v>
      </c>
      <c r="X16" s="15">
        <f t="shared" si="1"/>
        <v>150</v>
      </c>
      <c r="Y16" s="15">
        <f t="shared" si="2"/>
        <v>150</v>
      </c>
      <c r="Z16" s="4"/>
      <c r="AA16" s="4"/>
      <c r="AB16" s="4"/>
      <c r="AC16" s="4"/>
      <c r="AD16" s="4"/>
      <c r="AE16" s="4"/>
      <c r="AF16" s="4">
        <v>1</v>
      </c>
      <c r="AG16" s="4"/>
      <c r="AH16" s="4">
        <f t="shared" si="3"/>
        <v>1500</v>
      </c>
      <c r="AI16" s="4">
        <f t="shared" si="4"/>
        <v>1500</v>
      </c>
      <c r="AJ16" s="4">
        <f t="shared" si="5"/>
        <v>1500</v>
      </c>
      <c r="AK16" s="15"/>
      <c r="AL16" s="4"/>
      <c r="AM16" s="15"/>
      <c r="AN16" s="4"/>
      <c r="AO16" s="15"/>
      <c r="AP16" s="4"/>
      <c r="AQ16" s="4"/>
      <c r="AR16" s="4">
        <v>14</v>
      </c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</row>
    <row r="17" spans="1:72">
      <c r="A17" s="1">
        <v>46101</v>
      </c>
      <c r="B17" s="16">
        <v>0.5030324074074074</v>
      </c>
      <c r="C17" t="s">
        <v>221</v>
      </c>
      <c r="D17" t="s">
        <v>75</v>
      </c>
      <c r="E17">
        <v>3</v>
      </c>
      <c r="F17" t="s">
        <v>74</v>
      </c>
      <c r="G17">
        <v>1</v>
      </c>
      <c r="H17">
        <v>1</v>
      </c>
      <c r="I17" t="s">
        <v>64</v>
      </c>
      <c r="J17" t="s">
        <v>65</v>
      </c>
      <c r="K17">
        <v>0.246</v>
      </c>
      <c r="L17">
        <v>4.67</v>
      </c>
      <c r="M17">
        <v>100</v>
      </c>
      <c r="N17" t="s">
        <v>66</v>
      </c>
      <c r="O17" t="s">
        <v>67</v>
      </c>
      <c r="P17">
        <v>1.36</v>
      </c>
      <c r="Q17">
        <v>17.600000000000001</v>
      </c>
      <c r="R17">
        <v>1000</v>
      </c>
      <c r="S17" s="4"/>
      <c r="T17" s="4">
        <v>1</v>
      </c>
      <c r="U17" s="4">
        <v>1</v>
      </c>
      <c r="V17" s="4"/>
      <c r="W17" s="13">
        <f t="shared" si="0"/>
        <v>100</v>
      </c>
      <c r="X17" s="15">
        <f t="shared" si="1"/>
        <v>100</v>
      </c>
      <c r="Y17" s="15">
        <f t="shared" si="2"/>
        <v>100</v>
      </c>
      <c r="Z17" s="4"/>
      <c r="AA17" s="4"/>
      <c r="AB17" s="4"/>
      <c r="AC17" s="4"/>
      <c r="AD17" s="4"/>
      <c r="AE17" s="4"/>
      <c r="AF17" s="4">
        <v>1</v>
      </c>
      <c r="AG17" s="4"/>
      <c r="AH17" s="4">
        <f t="shared" si="3"/>
        <v>1000</v>
      </c>
      <c r="AI17" s="4">
        <f t="shared" si="4"/>
        <v>1000</v>
      </c>
      <c r="AJ17" s="4">
        <f t="shared" si="5"/>
        <v>1000</v>
      </c>
      <c r="AK17" s="15"/>
      <c r="AL17" s="4"/>
      <c r="AM17" s="15"/>
      <c r="AN17" s="4"/>
      <c r="AO17" s="15"/>
      <c r="AP17" s="4"/>
      <c r="AQ17" s="4"/>
      <c r="AR17" s="4">
        <v>15</v>
      </c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</row>
    <row r="18" spans="1:72">
      <c r="A18" s="1">
        <v>46101</v>
      </c>
      <c r="B18" s="16">
        <v>0.50392361111111106</v>
      </c>
      <c r="C18" t="s">
        <v>221</v>
      </c>
      <c r="D18" t="s">
        <v>75</v>
      </c>
      <c r="E18">
        <v>3</v>
      </c>
      <c r="F18" t="s">
        <v>74</v>
      </c>
      <c r="G18">
        <v>1</v>
      </c>
      <c r="H18">
        <v>1</v>
      </c>
      <c r="I18" t="s">
        <v>64</v>
      </c>
      <c r="J18" t="s">
        <v>65</v>
      </c>
      <c r="K18">
        <v>0.247</v>
      </c>
      <c r="L18">
        <v>4.6500000000000004</v>
      </c>
      <c r="M18">
        <v>100</v>
      </c>
      <c r="N18" t="s">
        <v>66</v>
      </c>
      <c r="O18" t="s">
        <v>67</v>
      </c>
      <c r="P18">
        <v>1.43</v>
      </c>
      <c r="Q18">
        <v>18.5</v>
      </c>
      <c r="R18">
        <v>1000</v>
      </c>
      <c r="S18" s="4"/>
      <c r="T18" s="4">
        <v>1</v>
      </c>
      <c r="U18" s="4">
        <v>1</v>
      </c>
      <c r="V18" s="4"/>
      <c r="W18" s="13">
        <f t="shared" si="0"/>
        <v>100</v>
      </c>
      <c r="X18" s="15">
        <f t="shared" si="1"/>
        <v>100</v>
      </c>
      <c r="Y18" s="15">
        <f t="shared" si="2"/>
        <v>100</v>
      </c>
      <c r="Z18" s="4"/>
      <c r="AA18" s="4"/>
      <c r="AB18" s="4"/>
      <c r="AC18" s="4"/>
      <c r="AD18" s="4"/>
      <c r="AE18" s="4"/>
      <c r="AF18" s="4">
        <v>1</v>
      </c>
      <c r="AG18" s="4"/>
      <c r="AH18" s="4">
        <f t="shared" si="3"/>
        <v>1000</v>
      </c>
      <c r="AI18" s="4">
        <f t="shared" si="4"/>
        <v>1000</v>
      </c>
      <c r="AJ18" s="4">
        <f t="shared" si="5"/>
        <v>1000</v>
      </c>
      <c r="AK18" s="15"/>
      <c r="AL18" s="4"/>
      <c r="AM18" s="15"/>
      <c r="AN18" s="4"/>
      <c r="AO18" s="15"/>
      <c r="AP18" s="4"/>
      <c r="AQ18" s="4"/>
      <c r="AR18" s="4">
        <v>16</v>
      </c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</row>
    <row r="19" spans="1:72">
      <c r="A19" s="1">
        <v>46101</v>
      </c>
      <c r="B19" s="16">
        <v>0.50481481481481483</v>
      </c>
      <c r="C19" t="s">
        <v>221</v>
      </c>
      <c r="D19" t="s">
        <v>76</v>
      </c>
      <c r="E19">
        <v>5</v>
      </c>
      <c r="F19" t="s">
        <v>74</v>
      </c>
      <c r="G19">
        <v>1</v>
      </c>
      <c r="H19">
        <v>1</v>
      </c>
      <c r="I19" t="s">
        <v>64</v>
      </c>
      <c r="J19" t="s">
        <v>65</v>
      </c>
      <c r="K19">
        <v>0.14699999999999999</v>
      </c>
      <c r="L19">
        <v>2.87</v>
      </c>
      <c r="M19">
        <v>50</v>
      </c>
      <c r="N19" t="s">
        <v>66</v>
      </c>
      <c r="O19" t="s">
        <v>67</v>
      </c>
      <c r="P19">
        <v>0.747</v>
      </c>
      <c r="Q19">
        <v>9.81</v>
      </c>
      <c r="R19">
        <v>500</v>
      </c>
      <c r="S19" s="4"/>
      <c r="T19" s="4">
        <v>1</v>
      </c>
      <c r="U19" s="4">
        <v>1</v>
      </c>
      <c r="V19" s="4"/>
      <c r="W19" s="13">
        <f t="shared" si="0"/>
        <v>50</v>
      </c>
      <c r="X19" s="15">
        <f t="shared" si="1"/>
        <v>50</v>
      </c>
      <c r="Y19" s="15">
        <f t="shared" si="2"/>
        <v>50</v>
      </c>
      <c r="Z19" s="4"/>
      <c r="AA19" s="4"/>
      <c r="AB19" s="4"/>
      <c r="AC19" s="4"/>
      <c r="AD19" s="4"/>
      <c r="AE19" s="4"/>
      <c r="AF19" s="4">
        <v>1</v>
      </c>
      <c r="AG19" s="4"/>
      <c r="AH19" s="4">
        <f t="shared" si="3"/>
        <v>500</v>
      </c>
      <c r="AI19" s="4">
        <f t="shared" si="4"/>
        <v>500</v>
      </c>
      <c r="AJ19" s="4">
        <f t="shared" si="5"/>
        <v>500</v>
      </c>
      <c r="AK19" s="15"/>
      <c r="AL19" s="4"/>
      <c r="AM19" s="15"/>
      <c r="AN19" s="4"/>
      <c r="AO19" s="15"/>
      <c r="AP19" s="4"/>
      <c r="AQ19" s="4"/>
      <c r="AR19" s="4">
        <v>17</v>
      </c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</row>
    <row r="20" spans="1:72">
      <c r="A20" s="1">
        <v>46101</v>
      </c>
      <c r="B20" s="16">
        <v>0.50570601851851849</v>
      </c>
      <c r="C20" t="s">
        <v>221</v>
      </c>
      <c r="D20" t="s">
        <v>76</v>
      </c>
      <c r="E20">
        <v>5</v>
      </c>
      <c r="F20" t="s">
        <v>74</v>
      </c>
      <c r="G20">
        <v>1</v>
      </c>
      <c r="H20">
        <v>1</v>
      </c>
      <c r="I20" t="s">
        <v>64</v>
      </c>
      <c r="J20" t="s">
        <v>65</v>
      </c>
      <c r="K20">
        <v>0.14899999999999999</v>
      </c>
      <c r="L20">
        <v>2.93</v>
      </c>
      <c r="M20">
        <v>50</v>
      </c>
      <c r="N20" t="s">
        <v>66</v>
      </c>
      <c r="O20" t="s">
        <v>67</v>
      </c>
      <c r="P20">
        <v>0.78500000000000003</v>
      </c>
      <c r="Q20">
        <v>10.3</v>
      </c>
      <c r="R20">
        <v>500</v>
      </c>
      <c r="S20" s="4"/>
      <c r="T20" s="4">
        <v>1</v>
      </c>
      <c r="U20" s="4">
        <v>1</v>
      </c>
      <c r="V20" s="4"/>
      <c r="W20" s="13">
        <f t="shared" si="0"/>
        <v>50</v>
      </c>
      <c r="X20" s="15">
        <f t="shared" si="1"/>
        <v>50</v>
      </c>
      <c r="Y20" s="15">
        <f t="shared" si="2"/>
        <v>50</v>
      </c>
      <c r="Z20" s="4"/>
      <c r="AA20" s="4"/>
      <c r="AB20" s="4"/>
      <c r="AC20" s="4"/>
      <c r="AD20" s="4"/>
      <c r="AE20" s="4"/>
      <c r="AF20" s="4">
        <v>1</v>
      </c>
      <c r="AG20" s="4"/>
      <c r="AH20" s="4">
        <f t="shared" si="3"/>
        <v>500</v>
      </c>
      <c r="AI20" s="4">
        <f t="shared" si="4"/>
        <v>500</v>
      </c>
      <c r="AJ20" s="4">
        <f t="shared" si="5"/>
        <v>500</v>
      </c>
      <c r="AK20" s="15"/>
      <c r="AL20" s="4"/>
      <c r="AM20" s="15"/>
      <c r="AN20" s="4"/>
      <c r="AO20" s="15"/>
      <c r="AP20" s="4"/>
      <c r="AQ20" s="4"/>
      <c r="AR20" s="4">
        <v>18</v>
      </c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</row>
    <row r="21" spans="1:72">
      <c r="A21" s="1">
        <v>46101</v>
      </c>
      <c r="B21" s="16">
        <v>0.50657407407407407</v>
      </c>
      <c r="C21" t="s">
        <v>221</v>
      </c>
      <c r="D21" t="s">
        <v>77</v>
      </c>
      <c r="E21">
        <v>7</v>
      </c>
      <c r="F21" t="s">
        <v>74</v>
      </c>
      <c r="G21">
        <v>1</v>
      </c>
      <c r="H21">
        <v>1</v>
      </c>
      <c r="I21" t="s">
        <v>64</v>
      </c>
      <c r="J21" t="s">
        <v>65</v>
      </c>
      <c r="K21">
        <v>0.10199999999999999</v>
      </c>
      <c r="L21">
        <v>2.08</v>
      </c>
      <c r="M21">
        <v>25</v>
      </c>
      <c r="N21" t="s">
        <v>66</v>
      </c>
      <c r="O21" t="s">
        <v>67</v>
      </c>
      <c r="P21">
        <v>0.38900000000000001</v>
      </c>
      <c r="Q21">
        <v>5.23</v>
      </c>
      <c r="R21">
        <v>250</v>
      </c>
      <c r="S21" s="4"/>
      <c r="T21" s="4">
        <v>1</v>
      </c>
      <c r="U21" s="4">
        <v>1</v>
      </c>
      <c r="V21" s="4"/>
      <c r="W21" s="13">
        <f t="shared" si="0"/>
        <v>25</v>
      </c>
      <c r="X21" s="15">
        <f t="shared" si="1"/>
        <v>25</v>
      </c>
      <c r="Y21" s="15">
        <f t="shared" si="2"/>
        <v>25</v>
      </c>
      <c r="Z21" s="4"/>
      <c r="AA21" s="4"/>
      <c r="AB21" s="4"/>
      <c r="AC21" s="4"/>
      <c r="AD21" s="4"/>
      <c r="AE21" s="4"/>
      <c r="AF21" s="4">
        <v>3</v>
      </c>
      <c r="AG21" s="4" t="s">
        <v>217</v>
      </c>
      <c r="AH21" s="4">
        <f t="shared" si="3"/>
        <v>250</v>
      </c>
      <c r="AI21" s="4">
        <f t="shared" si="4"/>
        <v>250</v>
      </c>
      <c r="AJ21" s="4">
        <f t="shared" ref="AJ21:AJ26" si="6">IF(T21=1,AH21,(AI21*T21))</f>
        <v>250</v>
      </c>
      <c r="AK21" s="15"/>
      <c r="AL21" s="4"/>
      <c r="AM21" s="15"/>
      <c r="AN21" s="4"/>
      <c r="AO21" s="15"/>
      <c r="AP21" s="4"/>
      <c r="AQ21" s="4"/>
      <c r="AR21" s="4">
        <v>19</v>
      </c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</row>
    <row r="22" spans="1:72">
      <c r="A22" s="1">
        <v>46101</v>
      </c>
      <c r="B22" s="16">
        <v>0.50746527777777772</v>
      </c>
      <c r="C22" t="s">
        <v>221</v>
      </c>
      <c r="D22" t="s">
        <v>77</v>
      </c>
      <c r="E22">
        <v>7</v>
      </c>
      <c r="F22" t="s">
        <v>74</v>
      </c>
      <c r="G22">
        <v>1</v>
      </c>
      <c r="H22">
        <v>1</v>
      </c>
      <c r="I22" t="s">
        <v>64</v>
      </c>
      <c r="J22" t="s">
        <v>65</v>
      </c>
      <c r="K22">
        <v>0.10199999999999999</v>
      </c>
      <c r="L22">
        <v>2.06</v>
      </c>
      <c r="M22">
        <v>25</v>
      </c>
      <c r="N22" t="s">
        <v>66</v>
      </c>
      <c r="O22" t="s">
        <v>67</v>
      </c>
      <c r="P22">
        <v>0.439</v>
      </c>
      <c r="Q22">
        <v>5.84</v>
      </c>
      <c r="R22">
        <v>250</v>
      </c>
      <c r="S22" s="4"/>
      <c r="T22" s="4">
        <v>1</v>
      </c>
      <c r="U22" s="4">
        <v>1</v>
      </c>
      <c r="V22" s="4"/>
      <c r="W22" s="13">
        <f t="shared" si="0"/>
        <v>25</v>
      </c>
      <c r="X22" s="15">
        <f t="shared" si="1"/>
        <v>25</v>
      </c>
      <c r="Y22" s="15">
        <f t="shared" si="2"/>
        <v>25</v>
      </c>
      <c r="Z22" s="4"/>
      <c r="AA22" s="4"/>
      <c r="AB22" s="4"/>
      <c r="AC22" s="4"/>
      <c r="AD22" s="4"/>
      <c r="AE22" s="4"/>
      <c r="AF22" s="4">
        <v>1</v>
      </c>
      <c r="AG22" s="4"/>
      <c r="AH22" s="4">
        <f t="shared" si="3"/>
        <v>250</v>
      </c>
      <c r="AI22" s="4">
        <f t="shared" si="4"/>
        <v>250</v>
      </c>
      <c r="AJ22" s="4">
        <f t="shared" si="6"/>
        <v>250</v>
      </c>
      <c r="AK22" s="15"/>
      <c r="AL22" s="4"/>
      <c r="AM22" s="15"/>
      <c r="AN22" s="4"/>
      <c r="AO22" s="15"/>
      <c r="AP22" s="4"/>
      <c r="AQ22" s="4"/>
      <c r="AR22" s="4">
        <v>20</v>
      </c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</row>
    <row r="23" spans="1:72">
      <c r="A23" s="1">
        <v>46101</v>
      </c>
      <c r="B23" s="16">
        <v>0.50834490740740745</v>
      </c>
      <c r="C23" t="s">
        <v>221</v>
      </c>
      <c r="D23" t="s">
        <v>78</v>
      </c>
      <c r="E23">
        <v>9</v>
      </c>
      <c r="F23" t="s">
        <v>74</v>
      </c>
      <c r="G23">
        <v>1</v>
      </c>
      <c r="H23">
        <v>1</v>
      </c>
      <c r="I23" t="s">
        <v>64</v>
      </c>
      <c r="J23" t="s">
        <v>65</v>
      </c>
      <c r="K23">
        <v>9.3100000000000002E-2</v>
      </c>
      <c r="L23">
        <v>1.54</v>
      </c>
      <c r="M23">
        <v>10</v>
      </c>
      <c r="N23" t="s">
        <v>66</v>
      </c>
      <c r="O23" t="s">
        <v>67</v>
      </c>
      <c r="P23">
        <v>0.25600000000000001</v>
      </c>
      <c r="Q23">
        <v>3.59</v>
      </c>
      <c r="R23">
        <v>100</v>
      </c>
      <c r="S23" s="4"/>
      <c r="T23" s="4">
        <v>1</v>
      </c>
      <c r="U23" s="4">
        <v>2</v>
      </c>
      <c r="V23" s="4" t="s">
        <v>257</v>
      </c>
      <c r="W23" s="13">
        <f t="shared" si="0"/>
        <v>10</v>
      </c>
      <c r="X23" s="15">
        <f t="shared" si="1"/>
        <v>10</v>
      </c>
      <c r="Y23" s="15">
        <f t="shared" si="2"/>
        <v>10</v>
      </c>
      <c r="Z23" s="4"/>
      <c r="AA23" s="4"/>
      <c r="AB23" s="4"/>
      <c r="AC23" s="4"/>
      <c r="AD23" s="4"/>
      <c r="AE23" s="4"/>
      <c r="AF23" s="4">
        <v>1</v>
      </c>
      <c r="AG23" s="4"/>
      <c r="AH23" s="4">
        <f t="shared" si="3"/>
        <v>100</v>
      </c>
      <c r="AI23" s="4">
        <f t="shared" si="4"/>
        <v>100</v>
      </c>
      <c r="AJ23" s="4">
        <f t="shared" si="6"/>
        <v>100</v>
      </c>
      <c r="AK23" s="15"/>
      <c r="AL23" s="4"/>
      <c r="AM23" s="15"/>
      <c r="AN23" s="4"/>
      <c r="AO23" s="15"/>
      <c r="AP23" s="4"/>
      <c r="AQ23" s="4"/>
      <c r="AR23" s="4">
        <v>21</v>
      </c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</row>
    <row r="24" spans="1:72">
      <c r="A24" s="1">
        <v>46101</v>
      </c>
      <c r="B24" s="16">
        <v>0.50923611111111111</v>
      </c>
      <c r="C24" t="s">
        <v>221</v>
      </c>
      <c r="D24" t="s">
        <v>78</v>
      </c>
      <c r="E24">
        <v>9</v>
      </c>
      <c r="F24" t="s">
        <v>74</v>
      </c>
      <c r="G24">
        <v>1</v>
      </c>
      <c r="H24">
        <v>1</v>
      </c>
      <c r="I24" t="s">
        <v>64</v>
      </c>
      <c r="J24" t="s">
        <v>65</v>
      </c>
      <c r="K24">
        <v>7.1999999999999995E-2</v>
      </c>
      <c r="L24">
        <v>1.45</v>
      </c>
      <c r="M24">
        <v>10</v>
      </c>
      <c r="N24" t="s">
        <v>66</v>
      </c>
      <c r="O24" t="s">
        <v>67</v>
      </c>
      <c r="P24">
        <v>0.248</v>
      </c>
      <c r="Q24">
        <v>3.4</v>
      </c>
      <c r="R24">
        <v>100</v>
      </c>
      <c r="S24" s="4"/>
      <c r="T24" s="4">
        <v>1</v>
      </c>
      <c r="U24" s="4">
        <v>3</v>
      </c>
      <c r="V24" s="4" t="s">
        <v>217</v>
      </c>
      <c r="W24" s="13">
        <f t="shared" si="0"/>
        <v>10</v>
      </c>
      <c r="X24" s="15">
        <f t="shared" si="1"/>
        <v>10</v>
      </c>
      <c r="Y24" s="15">
        <f t="shared" si="2"/>
        <v>10</v>
      </c>
      <c r="Z24" s="4"/>
      <c r="AA24" s="4"/>
      <c r="AB24" s="4"/>
      <c r="AC24" s="4"/>
      <c r="AD24" s="4"/>
      <c r="AE24" s="4"/>
      <c r="AF24" s="4">
        <v>1</v>
      </c>
      <c r="AG24" s="4"/>
      <c r="AH24" s="4">
        <f t="shared" si="3"/>
        <v>100</v>
      </c>
      <c r="AI24" s="4">
        <f t="shared" si="4"/>
        <v>100</v>
      </c>
      <c r="AJ24" s="4">
        <f t="shared" si="6"/>
        <v>100</v>
      </c>
      <c r="AK24" s="15"/>
      <c r="AL24" s="4"/>
      <c r="AM24" s="15"/>
      <c r="AN24" s="4"/>
      <c r="AO24" s="15"/>
      <c r="AP24" s="4"/>
      <c r="AQ24" s="4"/>
      <c r="AR24" s="4">
        <v>22</v>
      </c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</row>
    <row r="25" spans="1:72">
      <c r="A25" s="1">
        <v>46101</v>
      </c>
      <c r="B25" s="16">
        <v>0.51011574074074073</v>
      </c>
      <c r="C25" t="s">
        <v>221</v>
      </c>
      <c r="D25" t="s">
        <v>79</v>
      </c>
      <c r="E25">
        <v>11</v>
      </c>
      <c r="F25" t="s">
        <v>74</v>
      </c>
      <c r="G25">
        <v>1</v>
      </c>
      <c r="H25">
        <v>1</v>
      </c>
      <c r="I25" t="s">
        <v>64</v>
      </c>
      <c r="J25" t="s">
        <v>65</v>
      </c>
      <c r="K25">
        <v>6.5199999999999994E-2</v>
      </c>
      <c r="L25">
        <v>1.39</v>
      </c>
      <c r="M25">
        <v>5</v>
      </c>
      <c r="N25" t="s">
        <v>66</v>
      </c>
      <c r="O25" t="s">
        <v>67</v>
      </c>
      <c r="P25">
        <v>0.215</v>
      </c>
      <c r="Q25">
        <v>2.98</v>
      </c>
      <c r="R25">
        <v>50</v>
      </c>
      <c r="S25" s="4"/>
      <c r="T25" s="4">
        <v>1</v>
      </c>
      <c r="U25" s="4">
        <v>1</v>
      </c>
      <c r="V25" s="4"/>
      <c r="W25" s="13">
        <f t="shared" si="0"/>
        <v>5</v>
      </c>
      <c r="X25" s="15">
        <f t="shared" si="1"/>
        <v>5</v>
      </c>
      <c r="Y25" s="15">
        <f t="shared" si="2"/>
        <v>5</v>
      </c>
      <c r="Z25" s="4"/>
      <c r="AA25" s="4"/>
      <c r="AB25" s="4"/>
      <c r="AC25" s="4"/>
      <c r="AD25" s="4"/>
      <c r="AE25" s="4"/>
      <c r="AF25" s="4">
        <v>1</v>
      </c>
      <c r="AG25" s="4"/>
      <c r="AH25" s="4">
        <f t="shared" si="3"/>
        <v>50</v>
      </c>
      <c r="AI25" s="4">
        <f t="shared" si="4"/>
        <v>50</v>
      </c>
      <c r="AJ25" s="4">
        <f t="shared" si="6"/>
        <v>50</v>
      </c>
      <c r="AK25" s="15"/>
      <c r="AL25" s="4"/>
      <c r="AM25" s="15"/>
      <c r="AN25" s="4"/>
      <c r="AO25" s="15"/>
      <c r="AP25" s="4"/>
      <c r="AQ25" s="4"/>
      <c r="AR25" s="4">
        <v>23</v>
      </c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</row>
    <row r="26" spans="1:72">
      <c r="A26" s="1">
        <v>46101</v>
      </c>
      <c r="B26" s="16">
        <v>0.5110069444444445</v>
      </c>
      <c r="C26" t="s">
        <v>221</v>
      </c>
      <c r="D26" t="s">
        <v>79</v>
      </c>
      <c r="E26">
        <v>11</v>
      </c>
      <c r="F26" t="s">
        <v>74</v>
      </c>
      <c r="G26">
        <v>1</v>
      </c>
      <c r="H26">
        <v>1</v>
      </c>
      <c r="I26" t="s">
        <v>64</v>
      </c>
      <c r="J26" t="s">
        <v>65</v>
      </c>
      <c r="K26">
        <v>6.6299999999999998E-2</v>
      </c>
      <c r="L26">
        <v>1.44</v>
      </c>
      <c r="M26">
        <v>5</v>
      </c>
      <c r="N26" t="s">
        <v>66</v>
      </c>
      <c r="O26" t="s">
        <v>67</v>
      </c>
      <c r="P26">
        <v>0.21099999999999999</v>
      </c>
      <c r="Q26">
        <v>2.9</v>
      </c>
      <c r="R26">
        <v>50</v>
      </c>
      <c r="S26" s="4"/>
      <c r="T26" s="4">
        <v>1</v>
      </c>
      <c r="U26" s="4">
        <v>1</v>
      </c>
      <c r="V26" s="4"/>
      <c r="W26" s="13">
        <f t="shared" si="0"/>
        <v>5</v>
      </c>
      <c r="X26" s="15">
        <f t="shared" si="1"/>
        <v>5</v>
      </c>
      <c r="Y26" s="15">
        <f t="shared" si="2"/>
        <v>5</v>
      </c>
      <c r="Z26" s="4"/>
      <c r="AA26" s="4"/>
      <c r="AB26" s="4"/>
      <c r="AC26" s="4"/>
      <c r="AD26" s="4"/>
      <c r="AE26" s="4"/>
      <c r="AF26" s="4">
        <v>1</v>
      </c>
      <c r="AG26" s="4"/>
      <c r="AH26" s="4">
        <f t="shared" si="3"/>
        <v>50</v>
      </c>
      <c r="AI26" s="4">
        <f t="shared" si="4"/>
        <v>50</v>
      </c>
      <c r="AJ26" s="4">
        <f t="shared" si="6"/>
        <v>50</v>
      </c>
      <c r="AK26" s="15"/>
      <c r="AL26" s="4"/>
      <c r="AM26" s="15"/>
      <c r="AN26" s="4"/>
      <c r="AO26" s="15"/>
      <c r="AP26" s="4"/>
      <c r="AQ26" s="4"/>
      <c r="AR26" s="4">
        <v>24</v>
      </c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</row>
    <row r="27" spans="1:72">
      <c r="A27" s="1">
        <v>46101</v>
      </c>
      <c r="B27" s="16">
        <v>0.51187499999999997</v>
      </c>
      <c r="C27" t="s">
        <v>221</v>
      </c>
      <c r="D27" t="s">
        <v>80</v>
      </c>
      <c r="E27">
        <v>13</v>
      </c>
      <c r="F27" t="s">
        <v>74</v>
      </c>
      <c r="G27">
        <v>1</v>
      </c>
      <c r="H27">
        <v>1</v>
      </c>
      <c r="I27" t="s">
        <v>64</v>
      </c>
      <c r="J27" t="s">
        <v>65</v>
      </c>
      <c r="K27">
        <v>7.5700000000000003E-2</v>
      </c>
      <c r="L27">
        <v>1.42</v>
      </c>
      <c r="M27">
        <v>0</v>
      </c>
      <c r="N27" t="s">
        <v>66</v>
      </c>
      <c r="O27" t="s">
        <v>67</v>
      </c>
      <c r="P27">
        <v>0.153</v>
      </c>
      <c r="Q27">
        <v>2.09</v>
      </c>
      <c r="R27">
        <v>0</v>
      </c>
      <c r="S27" s="4"/>
      <c r="T27" s="4">
        <v>1</v>
      </c>
      <c r="U27" s="4">
        <v>3</v>
      </c>
      <c r="V27" s="4" t="s">
        <v>217</v>
      </c>
      <c r="W27" s="13">
        <f t="shared" ref="W27:W28" si="7">M27*H27</f>
        <v>0</v>
      </c>
      <c r="X27" s="15">
        <f t="shared" ref="X27:X28" si="8">IF(T27=1,W27,(W27-0))</f>
        <v>0</v>
      </c>
      <c r="Y27" s="15">
        <f t="shared" ref="Y27:Y28" si="9">IF(T27=1,W27,(X27*T27))</f>
        <v>0</v>
      </c>
      <c r="Z27" s="4"/>
      <c r="AA27" s="4"/>
      <c r="AB27" s="4"/>
      <c r="AC27" s="4"/>
      <c r="AD27" s="4"/>
      <c r="AE27" s="4"/>
      <c r="AF27" s="4">
        <v>1</v>
      </c>
      <c r="AG27" s="4"/>
      <c r="AH27" s="4">
        <f t="shared" ref="AH27:AH28" si="10">R27*H27</f>
        <v>0</v>
      </c>
      <c r="AI27" s="4">
        <f t="shared" ref="AI27:AI28" si="11">IF(T27=1,AH27,(AH27-0))</f>
        <v>0</v>
      </c>
      <c r="AJ27" s="4">
        <f t="shared" ref="AJ27:AJ28" si="12">IF(T27=1,AH27,(AI27*T27))</f>
        <v>0</v>
      </c>
      <c r="AK27" s="15"/>
      <c r="AL27" s="4"/>
      <c r="AM27" s="15"/>
      <c r="AN27" s="4"/>
      <c r="AO27" s="15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</row>
    <row r="28" spans="1:72">
      <c r="A28" s="1">
        <v>46101</v>
      </c>
      <c r="B28" s="16">
        <v>0.51276620370370374</v>
      </c>
      <c r="C28" t="s">
        <v>221</v>
      </c>
      <c r="D28" t="s">
        <v>80</v>
      </c>
      <c r="E28">
        <v>13</v>
      </c>
      <c r="F28" t="s">
        <v>74</v>
      </c>
      <c r="G28">
        <v>1</v>
      </c>
      <c r="H28">
        <v>1</v>
      </c>
      <c r="I28" t="s">
        <v>64</v>
      </c>
      <c r="J28" t="s">
        <v>65</v>
      </c>
      <c r="K28">
        <v>5.5399999999999998E-2</v>
      </c>
      <c r="L28">
        <v>1.2</v>
      </c>
      <c r="M28">
        <v>0</v>
      </c>
      <c r="N28" t="s">
        <v>66</v>
      </c>
      <c r="O28" t="s">
        <v>67</v>
      </c>
      <c r="P28">
        <v>0.17899999999999999</v>
      </c>
      <c r="Q28">
        <v>2.41</v>
      </c>
      <c r="R28">
        <v>0</v>
      </c>
      <c r="S28" s="4"/>
      <c r="T28" s="4">
        <v>1</v>
      </c>
      <c r="U28" s="4">
        <v>1</v>
      </c>
      <c r="V28" s="4"/>
      <c r="W28" s="13">
        <f t="shared" si="7"/>
        <v>0</v>
      </c>
      <c r="X28" s="15">
        <f t="shared" si="8"/>
        <v>0</v>
      </c>
      <c r="Y28" s="15">
        <f t="shared" si="9"/>
        <v>0</v>
      </c>
      <c r="Z28" s="4"/>
      <c r="AA28" s="4"/>
      <c r="AB28" s="4"/>
      <c r="AC28" s="4"/>
      <c r="AD28" s="4"/>
      <c r="AE28" s="4"/>
      <c r="AF28" s="4">
        <v>1</v>
      </c>
      <c r="AG28" s="4"/>
      <c r="AH28" s="4">
        <f t="shared" si="10"/>
        <v>0</v>
      </c>
      <c r="AI28" s="4">
        <f t="shared" si="11"/>
        <v>0</v>
      </c>
      <c r="AJ28" s="4">
        <f t="shared" si="12"/>
        <v>0</v>
      </c>
      <c r="AK28" s="15"/>
      <c r="AL28" s="4"/>
      <c r="AM28" s="15"/>
      <c r="AN28" s="4"/>
      <c r="AO28" s="15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</row>
    <row r="29" spans="1:72">
      <c r="A29" s="1"/>
      <c r="B29" s="16"/>
      <c r="S29" s="4"/>
      <c r="T29" s="4"/>
      <c r="U29" s="4"/>
      <c r="V29" s="4"/>
      <c r="W29" s="13"/>
      <c r="X29" s="15"/>
      <c r="Y29" s="15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15"/>
      <c r="AL29" s="4"/>
      <c r="AM29" s="15"/>
      <c r="AN29" s="4"/>
      <c r="AO29" s="15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</row>
    <row r="30" spans="1:72">
      <c r="A30" s="1"/>
      <c r="B30" s="16"/>
      <c r="S30" s="4"/>
      <c r="T30" s="4"/>
      <c r="U30" s="4"/>
      <c r="V30" s="4"/>
      <c r="W30" s="13"/>
      <c r="X30" s="15"/>
      <c r="Y30" s="15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15"/>
      <c r="AL30" s="4"/>
      <c r="AM30" s="15"/>
      <c r="AN30" s="4"/>
      <c r="AO30" s="15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</row>
    <row r="31" spans="1:72">
      <c r="A31" s="1"/>
      <c r="B31" s="16"/>
      <c r="S31" s="4"/>
      <c r="T31" s="4"/>
      <c r="U31" s="4"/>
      <c r="V31" s="4"/>
      <c r="W31" s="13"/>
      <c r="X31" s="15"/>
      <c r="Y31" s="15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15"/>
      <c r="AL31" s="4"/>
      <c r="AM31" s="15"/>
      <c r="AN31" s="4"/>
      <c r="AO31" s="15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</row>
    <row r="32" spans="1:72">
      <c r="A32" s="1"/>
      <c r="B32" s="16"/>
      <c r="S32" s="4"/>
      <c r="T32" s="4"/>
      <c r="U32" s="4"/>
      <c r="V32" s="4"/>
      <c r="W32" s="13"/>
      <c r="X32" s="15"/>
      <c r="Y32" s="15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15"/>
      <c r="AL32" s="4"/>
      <c r="AM32" s="15"/>
      <c r="AN32" s="4"/>
      <c r="AO32" s="15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</row>
    <row r="33" spans="1:72">
      <c r="A33" s="1"/>
      <c r="B33" s="16"/>
      <c r="S33" s="4"/>
      <c r="T33" s="4"/>
      <c r="U33" s="4"/>
      <c r="V33" s="4"/>
      <c r="W33" s="13"/>
      <c r="X33" s="15"/>
      <c r="Y33" s="15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15"/>
      <c r="AL33" s="4"/>
      <c r="AM33" s="15"/>
      <c r="AN33" s="4"/>
      <c r="AO33" s="15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</row>
    <row r="34" spans="1:72">
      <c r="A34" s="1"/>
      <c r="B34" s="16"/>
      <c r="S34" s="4"/>
      <c r="T34" s="4"/>
      <c r="U34" s="4"/>
      <c r="V34" s="4"/>
      <c r="W34" s="13"/>
      <c r="X34" s="15"/>
      <c r="Y34" s="15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15"/>
      <c r="AL34" s="4"/>
      <c r="AM34" s="15"/>
      <c r="AN34" s="4"/>
      <c r="AO34" s="15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</row>
    <row r="35" spans="1:72">
      <c r="A35" s="1" t="s">
        <v>181</v>
      </c>
      <c r="S35" s="4"/>
      <c r="T35" s="4"/>
      <c r="U35" s="4"/>
      <c r="V35" s="4"/>
      <c r="W35" s="13"/>
      <c r="X35" s="15"/>
      <c r="Y35" s="15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15"/>
      <c r="AL35" s="4"/>
      <c r="AM35" s="15"/>
      <c r="AN35" s="4"/>
      <c r="AO35" s="15"/>
      <c r="AP35" s="4"/>
      <c r="AQ35" s="4"/>
      <c r="AR35" s="4">
        <v>33</v>
      </c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</row>
    <row r="36" spans="1:72">
      <c r="A36" s="1">
        <v>46101</v>
      </c>
      <c r="B36" s="16">
        <v>0.51364583333333336</v>
      </c>
      <c r="C36" t="s">
        <v>221</v>
      </c>
      <c r="D36" t="s">
        <v>222</v>
      </c>
      <c r="E36" t="s">
        <v>68</v>
      </c>
      <c r="F36" t="s">
        <v>63</v>
      </c>
      <c r="G36">
        <v>1</v>
      </c>
      <c r="H36">
        <v>1</v>
      </c>
      <c r="I36" t="s">
        <v>64</v>
      </c>
      <c r="J36" t="s">
        <v>65</v>
      </c>
      <c r="K36">
        <v>0.14899999999999999</v>
      </c>
      <c r="L36">
        <v>1.87</v>
      </c>
      <c r="M36">
        <v>18.3</v>
      </c>
      <c r="N36" t="s">
        <v>66</v>
      </c>
      <c r="O36" t="s">
        <v>67</v>
      </c>
      <c r="P36">
        <v>7.94</v>
      </c>
      <c r="Q36">
        <v>149</v>
      </c>
      <c r="R36">
        <v>5300</v>
      </c>
      <c r="S36" s="4">
        <f>100*(Q37/Q36)</f>
        <v>98.65771812080537</v>
      </c>
      <c r="T36" s="4">
        <v>1</v>
      </c>
      <c r="U36" s="4">
        <v>1</v>
      </c>
      <c r="V36" s="4"/>
      <c r="W36" s="13">
        <f t="shared" ref="W36:W53" si="13">M36*H36</f>
        <v>18.3</v>
      </c>
      <c r="X36" s="15">
        <f t="shared" ref="X36:X53" si="14">IF(T36=1,W36,(W36-0))</f>
        <v>18.3</v>
      </c>
      <c r="Y36" s="15">
        <f t="shared" ref="Y36:Y53" si="15">IF(T36=1,W36,(X36*T36))</f>
        <v>18.3</v>
      </c>
      <c r="Z36" s="4"/>
      <c r="AA36" s="4"/>
      <c r="AB36" s="4"/>
      <c r="AC36" s="4"/>
      <c r="AD36" s="4"/>
      <c r="AE36" s="4"/>
      <c r="AF36" s="4">
        <v>1</v>
      </c>
      <c r="AG36" s="4"/>
      <c r="AH36" s="4">
        <f t="shared" ref="AH36:AH53" si="16">R36*H36</f>
        <v>5300</v>
      </c>
      <c r="AI36" s="4">
        <f t="shared" si="4"/>
        <v>5300</v>
      </c>
      <c r="AJ36" s="4">
        <f t="shared" ref="AJ36:AJ38" si="17">IF(T36=1,AH36,(AI36*T36))</f>
        <v>5300</v>
      </c>
      <c r="AK36" s="15"/>
      <c r="AL36" s="4"/>
      <c r="AM36" s="15"/>
      <c r="AN36" s="4"/>
      <c r="AO36" s="15"/>
      <c r="AP36" s="4"/>
      <c r="AQ36" s="4"/>
      <c r="AR36" s="4">
        <v>34</v>
      </c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</row>
    <row r="37" spans="1:72">
      <c r="A37" s="1">
        <v>46101</v>
      </c>
      <c r="B37" s="16">
        <v>0.51453703703703701</v>
      </c>
      <c r="C37" t="s">
        <v>221</v>
      </c>
      <c r="D37" t="s">
        <v>223</v>
      </c>
      <c r="E37" t="s">
        <v>69</v>
      </c>
      <c r="F37" t="s">
        <v>63</v>
      </c>
      <c r="G37">
        <v>1</v>
      </c>
      <c r="H37">
        <v>1</v>
      </c>
      <c r="I37" t="s">
        <v>64</v>
      </c>
      <c r="J37" t="s">
        <v>65</v>
      </c>
      <c r="K37">
        <v>0.14599999999999999</v>
      </c>
      <c r="L37">
        <v>1.86</v>
      </c>
      <c r="M37">
        <v>18.100000000000001</v>
      </c>
      <c r="N37" t="s">
        <v>66</v>
      </c>
      <c r="O37" t="s">
        <v>67</v>
      </c>
      <c r="P37">
        <v>7.95</v>
      </c>
      <c r="Q37">
        <v>147</v>
      </c>
      <c r="R37">
        <v>5290</v>
      </c>
      <c r="S37" s="4"/>
      <c r="T37" s="4">
        <v>1</v>
      </c>
      <c r="U37" s="4">
        <v>1</v>
      </c>
      <c r="V37" s="4"/>
      <c r="W37" s="13">
        <f t="shared" si="13"/>
        <v>18.100000000000001</v>
      </c>
      <c r="X37" s="15">
        <f t="shared" si="14"/>
        <v>18.100000000000001</v>
      </c>
      <c r="Y37" s="15">
        <f t="shared" si="15"/>
        <v>18.100000000000001</v>
      </c>
      <c r="Z37" s="4"/>
      <c r="AA37" s="4"/>
      <c r="AB37" s="4"/>
      <c r="AC37" s="4"/>
      <c r="AD37" s="4"/>
      <c r="AE37" s="4"/>
      <c r="AF37" s="4">
        <v>1</v>
      </c>
      <c r="AG37" s="4"/>
      <c r="AH37" s="4">
        <f t="shared" si="16"/>
        <v>5290</v>
      </c>
      <c r="AI37" s="4">
        <f t="shared" si="4"/>
        <v>5290</v>
      </c>
      <c r="AJ37" s="4">
        <f t="shared" si="17"/>
        <v>5290</v>
      </c>
      <c r="AK37" s="15"/>
      <c r="AL37" s="4"/>
      <c r="AM37" s="15"/>
      <c r="AN37" s="4"/>
      <c r="AO37" s="15"/>
      <c r="AP37" s="4"/>
      <c r="AQ37" s="4"/>
      <c r="AR37" s="4">
        <v>35</v>
      </c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</row>
    <row r="38" spans="1:72">
      <c r="A38" s="1">
        <v>46101</v>
      </c>
      <c r="B38" s="16">
        <v>0.51542824074074078</v>
      </c>
      <c r="C38" t="s">
        <v>221</v>
      </c>
      <c r="D38" t="s">
        <v>224</v>
      </c>
      <c r="E38" t="s">
        <v>70</v>
      </c>
      <c r="F38" t="s">
        <v>63</v>
      </c>
      <c r="G38">
        <v>1</v>
      </c>
      <c r="H38">
        <v>1</v>
      </c>
      <c r="I38" t="s">
        <v>64</v>
      </c>
      <c r="J38" t="s">
        <v>65</v>
      </c>
      <c r="K38">
        <v>0.14699999999999999</v>
      </c>
      <c r="L38">
        <v>1.81</v>
      </c>
      <c r="M38">
        <v>16.7</v>
      </c>
      <c r="N38" t="s">
        <v>66</v>
      </c>
      <c r="O38" t="s">
        <v>67</v>
      </c>
      <c r="P38">
        <v>3.2199999999999999E-2</v>
      </c>
      <c r="Q38">
        <v>0.47699999999999998</v>
      </c>
      <c r="R38">
        <v>-115</v>
      </c>
      <c r="S38" s="4"/>
      <c r="T38" s="4">
        <v>1</v>
      </c>
      <c r="U38" s="4">
        <v>1</v>
      </c>
      <c r="V38" s="4"/>
      <c r="W38" s="13">
        <f t="shared" si="13"/>
        <v>16.7</v>
      </c>
      <c r="X38" s="15">
        <f t="shared" si="14"/>
        <v>16.7</v>
      </c>
      <c r="Y38" s="15">
        <f t="shared" si="15"/>
        <v>16.7</v>
      </c>
      <c r="Z38" s="4"/>
      <c r="AA38" s="4"/>
      <c r="AB38" s="4"/>
      <c r="AC38" s="4"/>
      <c r="AD38" s="4"/>
      <c r="AE38" s="4"/>
      <c r="AF38" s="4">
        <v>1</v>
      </c>
      <c r="AG38" s="4"/>
      <c r="AH38" s="4">
        <f t="shared" si="16"/>
        <v>-115</v>
      </c>
      <c r="AI38" s="4">
        <f t="shared" si="4"/>
        <v>-115</v>
      </c>
      <c r="AJ38" s="4">
        <f t="shared" si="17"/>
        <v>-115</v>
      </c>
      <c r="AK38" s="15"/>
      <c r="AL38" s="4"/>
      <c r="AM38" s="15"/>
      <c r="AN38" s="4"/>
      <c r="AO38" s="15"/>
      <c r="AP38" s="4"/>
      <c r="AQ38" s="4"/>
      <c r="AR38" s="4">
        <v>36</v>
      </c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</row>
    <row r="39" spans="1:72">
      <c r="A39" s="1">
        <v>46101</v>
      </c>
      <c r="B39" s="16">
        <v>0.5163078703703704</v>
      </c>
      <c r="C39" t="s">
        <v>221</v>
      </c>
      <c r="D39" t="s">
        <v>81</v>
      </c>
      <c r="E39">
        <v>19</v>
      </c>
      <c r="F39" t="s">
        <v>63</v>
      </c>
      <c r="G39">
        <v>1</v>
      </c>
      <c r="H39">
        <v>1</v>
      </c>
      <c r="I39" t="s">
        <v>64</v>
      </c>
      <c r="J39" t="s">
        <v>65</v>
      </c>
      <c r="K39">
        <v>9.1899999999999996E-2</v>
      </c>
      <c r="L39">
        <v>1.17</v>
      </c>
      <c r="M39">
        <v>-2.4</v>
      </c>
      <c r="N39" t="s">
        <v>66</v>
      </c>
      <c r="O39" t="s">
        <v>67</v>
      </c>
      <c r="P39">
        <v>0.18</v>
      </c>
      <c r="Q39">
        <v>2.44</v>
      </c>
      <c r="R39">
        <v>18.5</v>
      </c>
      <c r="S39" s="4"/>
      <c r="T39" s="4">
        <v>1</v>
      </c>
      <c r="U39" s="4">
        <v>1</v>
      </c>
      <c r="V39" s="4"/>
      <c r="W39" s="13">
        <f t="shared" si="13"/>
        <v>-2.4</v>
      </c>
      <c r="X39" s="15">
        <f t="shared" si="14"/>
        <v>-2.4</v>
      </c>
      <c r="Y39" s="15">
        <f t="shared" si="15"/>
        <v>-2.4</v>
      </c>
      <c r="Z39" s="4"/>
      <c r="AA39" s="4"/>
      <c r="AB39" s="4"/>
      <c r="AC39" s="4"/>
      <c r="AD39" s="4"/>
      <c r="AE39" s="4"/>
      <c r="AF39" s="4">
        <v>1</v>
      </c>
      <c r="AG39" s="4"/>
      <c r="AH39" s="4">
        <f t="shared" si="16"/>
        <v>18.5</v>
      </c>
      <c r="AI39" s="4">
        <f t="shared" si="4"/>
        <v>18.5</v>
      </c>
      <c r="AJ39" s="4">
        <f t="shared" si="5"/>
        <v>18.5</v>
      </c>
      <c r="AK39" s="15"/>
      <c r="AL39" s="4"/>
      <c r="AM39" s="15"/>
      <c r="AN39" s="4"/>
      <c r="AO39" s="15"/>
      <c r="AP39" s="4"/>
      <c r="AQ39" s="4"/>
      <c r="AR39" s="4">
        <v>37</v>
      </c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</row>
    <row r="40" spans="1:72">
      <c r="A40" s="1">
        <v>46101</v>
      </c>
      <c r="B40" s="16">
        <v>0.5172106481481481</v>
      </c>
      <c r="C40" t="s">
        <v>221</v>
      </c>
      <c r="D40" t="s">
        <v>81</v>
      </c>
      <c r="E40">
        <v>20</v>
      </c>
      <c r="F40" t="s">
        <v>63</v>
      </c>
      <c r="G40">
        <v>1</v>
      </c>
      <c r="H40">
        <v>1</v>
      </c>
      <c r="I40" t="s">
        <v>64</v>
      </c>
      <c r="J40" t="s">
        <v>65</v>
      </c>
      <c r="K40">
        <v>5.0099999999999999E-2</v>
      </c>
      <c r="L40">
        <v>1.04</v>
      </c>
      <c r="M40">
        <v>-6.39</v>
      </c>
      <c r="N40" t="s">
        <v>66</v>
      </c>
      <c r="O40" t="s">
        <v>67</v>
      </c>
      <c r="P40">
        <v>0.182</v>
      </c>
      <c r="Q40">
        <v>2.46</v>
      </c>
      <c r="R40">
        <v>19.899999999999999</v>
      </c>
      <c r="S40" s="4"/>
      <c r="T40" s="4">
        <v>1</v>
      </c>
      <c r="U40" s="4">
        <v>1</v>
      </c>
      <c r="V40" s="4"/>
      <c r="W40" s="13">
        <f t="shared" si="13"/>
        <v>-6.39</v>
      </c>
      <c r="X40" s="15">
        <f t="shared" si="14"/>
        <v>-6.39</v>
      </c>
      <c r="Y40" s="15">
        <f t="shared" si="15"/>
        <v>-6.39</v>
      </c>
      <c r="Z40" s="4"/>
      <c r="AA40" s="4"/>
      <c r="AB40" s="4"/>
      <c r="AC40" s="4"/>
      <c r="AD40" s="4"/>
      <c r="AE40" s="4"/>
      <c r="AF40" s="4">
        <v>1</v>
      </c>
      <c r="AG40" s="4"/>
      <c r="AH40" s="4">
        <f t="shared" si="16"/>
        <v>19.899999999999999</v>
      </c>
      <c r="AI40" s="4">
        <f t="shared" si="4"/>
        <v>19.899999999999999</v>
      </c>
      <c r="AJ40" s="4">
        <f t="shared" si="5"/>
        <v>19.899999999999999</v>
      </c>
      <c r="AK40" s="15"/>
      <c r="AL40" s="4"/>
      <c r="AM40" s="15"/>
      <c r="AN40" s="4"/>
      <c r="AO40" s="15"/>
      <c r="AP40" s="4"/>
      <c r="AQ40" s="4"/>
      <c r="AR40" s="4">
        <v>38</v>
      </c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</row>
    <row r="41" spans="1:72">
      <c r="A41" s="1">
        <v>46101</v>
      </c>
      <c r="B41" s="16">
        <v>0.51810185185185187</v>
      </c>
      <c r="C41" t="s">
        <v>221</v>
      </c>
      <c r="D41" t="s">
        <v>81</v>
      </c>
      <c r="E41">
        <v>21</v>
      </c>
      <c r="F41" t="s">
        <v>63</v>
      </c>
      <c r="G41">
        <v>1</v>
      </c>
      <c r="H41">
        <v>1</v>
      </c>
      <c r="I41" t="s">
        <v>64</v>
      </c>
      <c r="J41" t="s">
        <v>65</v>
      </c>
      <c r="K41">
        <v>5.3999999999999999E-2</v>
      </c>
      <c r="L41">
        <v>1.1499999999999999</v>
      </c>
      <c r="M41">
        <v>-3.23</v>
      </c>
      <c r="N41" t="s">
        <v>66</v>
      </c>
      <c r="O41" t="s">
        <v>67</v>
      </c>
      <c r="P41">
        <v>0.183</v>
      </c>
      <c r="Q41">
        <v>2.48</v>
      </c>
      <c r="R41">
        <v>21</v>
      </c>
      <c r="S41" s="4"/>
      <c r="T41" s="4">
        <v>1</v>
      </c>
      <c r="U41" s="4">
        <v>1</v>
      </c>
      <c r="V41" s="4"/>
      <c r="W41" s="13">
        <f t="shared" si="13"/>
        <v>-3.23</v>
      </c>
      <c r="X41" s="15">
        <f t="shared" si="14"/>
        <v>-3.23</v>
      </c>
      <c r="Y41" s="15">
        <f t="shared" si="15"/>
        <v>-3.23</v>
      </c>
      <c r="Z41" s="4"/>
      <c r="AA41" s="4"/>
      <c r="AB41" s="4"/>
      <c r="AC41" s="4"/>
      <c r="AD41" s="4"/>
      <c r="AE41" s="4"/>
      <c r="AF41" s="4">
        <v>1</v>
      </c>
      <c r="AG41" s="4"/>
      <c r="AH41" s="4">
        <f t="shared" si="16"/>
        <v>21</v>
      </c>
      <c r="AI41" s="4">
        <f t="shared" si="4"/>
        <v>21</v>
      </c>
      <c r="AJ41" s="4">
        <f t="shared" si="5"/>
        <v>21</v>
      </c>
      <c r="AK41" s="15"/>
      <c r="AL41" s="4"/>
      <c r="AM41" s="15"/>
      <c r="AN41" s="4"/>
      <c r="AO41" s="15"/>
      <c r="AP41" s="4"/>
      <c r="AQ41" s="4"/>
      <c r="AR41" s="4">
        <v>39</v>
      </c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</row>
    <row r="42" spans="1:72">
      <c r="A42" s="1">
        <v>46101</v>
      </c>
      <c r="B42" s="16">
        <v>0.51899305555555553</v>
      </c>
      <c r="C42" t="s">
        <v>221</v>
      </c>
      <c r="D42" t="s">
        <v>81</v>
      </c>
      <c r="E42">
        <v>22</v>
      </c>
      <c r="F42" t="s">
        <v>63</v>
      </c>
      <c r="G42">
        <v>1</v>
      </c>
      <c r="H42">
        <v>1</v>
      </c>
      <c r="I42" t="s">
        <v>64</v>
      </c>
      <c r="J42" t="s">
        <v>65</v>
      </c>
      <c r="K42">
        <v>5.4800000000000001E-2</v>
      </c>
      <c r="L42">
        <v>1.1599999999999999</v>
      </c>
      <c r="M42">
        <v>-2.7</v>
      </c>
      <c r="N42" t="s">
        <v>66</v>
      </c>
      <c r="O42" t="s">
        <v>67</v>
      </c>
      <c r="P42">
        <v>0.17599999999999999</v>
      </c>
      <c r="Q42">
        <v>2.37</v>
      </c>
      <c r="R42">
        <v>14</v>
      </c>
      <c r="S42" s="4"/>
      <c r="T42" s="4">
        <v>1</v>
      </c>
      <c r="U42" s="4">
        <v>1</v>
      </c>
      <c r="V42" s="4"/>
      <c r="W42" s="13">
        <f t="shared" si="13"/>
        <v>-2.7</v>
      </c>
      <c r="X42" s="15">
        <f t="shared" si="14"/>
        <v>-2.7</v>
      </c>
      <c r="Y42" s="15">
        <f t="shared" si="15"/>
        <v>-2.7</v>
      </c>
      <c r="Z42" s="4"/>
      <c r="AA42" s="4"/>
      <c r="AB42" s="4"/>
      <c r="AC42" s="4"/>
      <c r="AD42" s="4"/>
      <c r="AE42" s="4"/>
      <c r="AF42" s="4">
        <v>1</v>
      </c>
      <c r="AG42" s="4"/>
      <c r="AH42" s="4">
        <f t="shared" si="16"/>
        <v>14</v>
      </c>
      <c r="AI42" s="4">
        <f t="shared" si="4"/>
        <v>14</v>
      </c>
      <c r="AJ42" s="4">
        <f t="shared" ref="AJ42:AJ109" si="18">IF(T42=1,AH42,(AI42*T42))</f>
        <v>14</v>
      </c>
      <c r="AK42" s="15"/>
      <c r="AL42" s="4"/>
      <c r="AM42" s="15"/>
      <c r="AN42" s="4"/>
      <c r="AO42" s="15"/>
      <c r="AP42" s="4"/>
      <c r="AQ42" s="4"/>
      <c r="AR42" s="4">
        <v>40</v>
      </c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</row>
    <row r="43" spans="1:72">
      <c r="A43" s="1">
        <v>46101</v>
      </c>
      <c r="B43" s="16">
        <v>0.51987268518518515</v>
      </c>
      <c r="C43" t="s">
        <v>221</v>
      </c>
      <c r="D43" t="s">
        <v>81</v>
      </c>
      <c r="E43">
        <v>23</v>
      </c>
      <c r="F43" t="s">
        <v>63</v>
      </c>
      <c r="G43">
        <v>1</v>
      </c>
      <c r="H43">
        <v>1</v>
      </c>
      <c r="I43" t="s">
        <v>64</v>
      </c>
      <c r="J43" t="s">
        <v>65</v>
      </c>
      <c r="K43">
        <v>5.4800000000000001E-2</v>
      </c>
      <c r="L43">
        <v>1.19</v>
      </c>
      <c r="M43">
        <v>-2.0099999999999998</v>
      </c>
      <c r="N43" t="s">
        <v>66</v>
      </c>
      <c r="O43" t="s">
        <v>67</v>
      </c>
      <c r="P43">
        <v>0.182</v>
      </c>
      <c r="Q43">
        <v>2.48</v>
      </c>
      <c r="R43">
        <v>20.8</v>
      </c>
      <c r="S43" s="4"/>
      <c r="T43" s="4">
        <v>1</v>
      </c>
      <c r="U43" s="4">
        <v>1</v>
      </c>
      <c r="V43" s="4"/>
      <c r="W43" s="13">
        <f t="shared" si="13"/>
        <v>-2.0099999999999998</v>
      </c>
      <c r="X43" s="15">
        <f t="shared" si="14"/>
        <v>-2.0099999999999998</v>
      </c>
      <c r="Y43" s="15">
        <f t="shared" si="15"/>
        <v>-2.0099999999999998</v>
      </c>
      <c r="Z43" s="4"/>
      <c r="AA43" s="4"/>
      <c r="AB43" s="4"/>
      <c r="AC43" s="4"/>
      <c r="AD43" s="4"/>
      <c r="AE43" s="4"/>
      <c r="AF43" s="4">
        <v>1</v>
      </c>
      <c r="AG43" s="4"/>
      <c r="AH43" s="4">
        <f t="shared" si="16"/>
        <v>20.8</v>
      </c>
      <c r="AI43" s="4">
        <f t="shared" si="4"/>
        <v>20.8</v>
      </c>
      <c r="AJ43" s="4">
        <f t="shared" si="18"/>
        <v>20.8</v>
      </c>
      <c r="AK43" s="15"/>
      <c r="AL43" s="4"/>
      <c r="AM43" s="15"/>
      <c r="AN43" s="4"/>
      <c r="AO43" s="15"/>
      <c r="AP43" s="4"/>
      <c r="AQ43" s="4"/>
      <c r="AR43" s="4">
        <v>41</v>
      </c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</row>
    <row r="44" spans="1:72">
      <c r="A44" s="1">
        <v>46101</v>
      </c>
      <c r="B44" s="16">
        <v>0.52075231481481477</v>
      </c>
      <c r="C44" t="s">
        <v>221</v>
      </c>
      <c r="D44" t="s">
        <v>82</v>
      </c>
      <c r="E44">
        <v>24</v>
      </c>
      <c r="F44" t="s">
        <v>63</v>
      </c>
      <c r="G44">
        <v>1</v>
      </c>
      <c r="H44">
        <v>1</v>
      </c>
      <c r="I44" t="s">
        <v>64</v>
      </c>
      <c r="J44" t="s">
        <v>65</v>
      </c>
      <c r="K44">
        <v>0.13500000000000001</v>
      </c>
      <c r="L44">
        <v>2.67</v>
      </c>
      <c r="M44">
        <v>42.3</v>
      </c>
      <c r="N44" t="s">
        <v>66</v>
      </c>
      <c r="O44" t="s">
        <v>67</v>
      </c>
      <c r="P44">
        <v>0.66100000000000003</v>
      </c>
      <c r="Q44">
        <v>8.68</v>
      </c>
      <c r="R44">
        <v>432</v>
      </c>
      <c r="S44" s="4"/>
      <c r="T44" s="4">
        <v>1</v>
      </c>
      <c r="U44" s="4">
        <v>1</v>
      </c>
      <c r="V44" s="4"/>
      <c r="W44" s="13">
        <f t="shared" si="13"/>
        <v>42.3</v>
      </c>
      <c r="X44" s="15">
        <f t="shared" si="14"/>
        <v>42.3</v>
      </c>
      <c r="Y44" s="15">
        <f t="shared" si="15"/>
        <v>42.3</v>
      </c>
      <c r="Z44" s="4"/>
      <c r="AA44" s="4"/>
      <c r="AB44" s="4"/>
      <c r="AC44" s="4"/>
      <c r="AD44" s="4"/>
      <c r="AE44" s="4"/>
      <c r="AF44" s="4">
        <v>1</v>
      </c>
      <c r="AG44" s="4"/>
      <c r="AH44" s="4">
        <f t="shared" si="16"/>
        <v>432</v>
      </c>
      <c r="AI44" s="4">
        <f t="shared" si="4"/>
        <v>432</v>
      </c>
      <c r="AJ44" s="4">
        <f t="shared" si="18"/>
        <v>432</v>
      </c>
      <c r="AK44" s="15"/>
      <c r="AL44" s="4"/>
      <c r="AM44" s="15"/>
      <c r="AN44" s="4"/>
      <c r="AO44" s="15"/>
      <c r="AP44" s="4"/>
      <c r="AQ44" s="4"/>
      <c r="AR44" s="4">
        <v>42</v>
      </c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</row>
    <row r="45" spans="1:72">
      <c r="A45" s="1">
        <v>46101</v>
      </c>
      <c r="B45" s="16">
        <v>0.52164351851851853</v>
      </c>
      <c r="C45" t="s">
        <v>221</v>
      </c>
      <c r="D45" t="s">
        <v>82</v>
      </c>
      <c r="E45">
        <v>25</v>
      </c>
      <c r="F45" t="s">
        <v>63</v>
      </c>
      <c r="G45">
        <v>1</v>
      </c>
      <c r="H45">
        <v>1</v>
      </c>
      <c r="I45" t="s">
        <v>64</v>
      </c>
      <c r="J45" t="s">
        <v>65</v>
      </c>
      <c r="K45">
        <v>0.13100000000000001</v>
      </c>
      <c r="L45">
        <v>2.63</v>
      </c>
      <c r="M45">
        <v>41.2</v>
      </c>
      <c r="N45" t="s">
        <v>66</v>
      </c>
      <c r="O45" t="s">
        <v>67</v>
      </c>
      <c r="P45">
        <v>0.68300000000000005</v>
      </c>
      <c r="Q45">
        <v>8.94</v>
      </c>
      <c r="R45">
        <v>449</v>
      </c>
      <c r="S45" s="4"/>
      <c r="T45" s="4">
        <v>1</v>
      </c>
      <c r="U45" s="4">
        <v>1</v>
      </c>
      <c r="V45" s="4"/>
      <c r="W45" s="13">
        <f t="shared" si="13"/>
        <v>41.2</v>
      </c>
      <c r="X45" s="15">
        <f t="shared" si="14"/>
        <v>41.2</v>
      </c>
      <c r="Y45" s="15">
        <f t="shared" si="15"/>
        <v>41.2</v>
      </c>
      <c r="Z45" s="4"/>
      <c r="AA45" s="4"/>
      <c r="AB45" s="4"/>
      <c r="AC45" s="4"/>
      <c r="AD45" s="4"/>
      <c r="AE45" s="4"/>
      <c r="AF45" s="4">
        <v>1</v>
      </c>
      <c r="AG45" s="4"/>
      <c r="AH45" s="4">
        <f t="shared" si="16"/>
        <v>449</v>
      </c>
      <c r="AI45" s="4">
        <f t="shared" si="4"/>
        <v>449</v>
      </c>
      <c r="AJ45" s="4">
        <f t="shared" si="18"/>
        <v>449</v>
      </c>
      <c r="AK45" s="15"/>
      <c r="AL45" s="4"/>
      <c r="AM45" s="15"/>
      <c r="AN45" s="4"/>
      <c r="AO45" s="15"/>
      <c r="AP45" s="4"/>
      <c r="AQ45" s="4"/>
      <c r="AR45" s="4">
        <v>43</v>
      </c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</row>
    <row r="46" spans="1:72">
      <c r="A46" s="1">
        <v>46101</v>
      </c>
      <c r="B46" s="16">
        <v>0.52252314814814815</v>
      </c>
      <c r="C46" t="s">
        <v>221</v>
      </c>
      <c r="D46" t="s">
        <v>82</v>
      </c>
      <c r="E46">
        <v>26</v>
      </c>
      <c r="F46" t="s">
        <v>63</v>
      </c>
      <c r="G46">
        <v>1</v>
      </c>
      <c r="H46">
        <v>1</v>
      </c>
      <c r="I46" t="s">
        <v>64</v>
      </c>
      <c r="J46" t="s">
        <v>65</v>
      </c>
      <c r="K46">
        <v>0.13</v>
      </c>
      <c r="L46">
        <v>2.6</v>
      </c>
      <c r="M46">
        <v>40.200000000000003</v>
      </c>
      <c r="N46" t="s">
        <v>66</v>
      </c>
      <c r="O46" t="s">
        <v>67</v>
      </c>
      <c r="P46">
        <v>0.63800000000000001</v>
      </c>
      <c r="Q46">
        <v>8.39</v>
      </c>
      <c r="R46">
        <v>413</v>
      </c>
      <c r="S46" s="4"/>
      <c r="T46" s="4">
        <v>1</v>
      </c>
      <c r="U46" s="4">
        <v>1</v>
      </c>
      <c r="V46" s="4"/>
      <c r="W46" s="13">
        <f t="shared" si="13"/>
        <v>40.200000000000003</v>
      </c>
      <c r="X46" s="15">
        <f t="shared" si="14"/>
        <v>40.200000000000003</v>
      </c>
      <c r="Y46" s="15">
        <f t="shared" si="15"/>
        <v>40.200000000000003</v>
      </c>
      <c r="Z46" s="4"/>
      <c r="AA46" s="4"/>
      <c r="AB46" s="4"/>
      <c r="AC46" s="4"/>
      <c r="AD46" s="4"/>
      <c r="AE46" s="4"/>
      <c r="AF46" s="4">
        <v>1</v>
      </c>
      <c r="AG46" s="4"/>
      <c r="AH46" s="4">
        <f t="shared" si="16"/>
        <v>413</v>
      </c>
      <c r="AI46" s="4">
        <f t="shared" si="4"/>
        <v>413</v>
      </c>
      <c r="AJ46" s="4">
        <f t="shared" si="18"/>
        <v>413</v>
      </c>
      <c r="AK46" s="15"/>
      <c r="AL46" s="4"/>
      <c r="AM46" s="15"/>
      <c r="AN46" s="4"/>
      <c r="AO46" s="15"/>
      <c r="AP46" s="4"/>
      <c r="AQ46" s="4"/>
      <c r="AR46" s="4">
        <v>44</v>
      </c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</row>
    <row r="47" spans="1:72">
      <c r="A47" s="1">
        <v>46101</v>
      </c>
      <c r="B47" s="16">
        <v>0.52340277777777777</v>
      </c>
      <c r="C47" t="s">
        <v>221</v>
      </c>
      <c r="D47" t="s">
        <v>82</v>
      </c>
      <c r="E47">
        <v>27</v>
      </c>
      <c r="F47" t="s">
        <v>63</v>
      </c>
      <c r="G47">
        <v>1</v>
      </c>
      <c r="H47">
        <v>1</v>
      </c>
      <c r="I47" t="s">
        <v>64</v>
      </c>
      <c r="J47" t="s">
        <v>65</v>
      </c>
      <c r="K47">
        <v>0.13100000000000001</v>
      </c>
      <c r="L47">
        <v>2.71</v>
      </c>
      <c r="M47">
        <v>43.6</v>
      </c>
      <c r="N47" t="s">
        <v>66</v>
      </c>
      <c r="O47" t="s">
        <v>67</v>
      </c>
      <c r="P47">
        <v>0.67400000000000004</v>
      </c>
      <c r="Q47">
        <v>8.8000000000000007</v>
      </c>
      <c r="R47">
        <v>440</v>
      </c>
      <c r="S47" s="4"/>
      <c r="T47" s="4">
        <v>1</v>
      </c>
      <c r="U47" s="4">
        <v>1</v>
      </c>
      <c r="V47" s="4"/>
      <c r="W47" s="13">
        <f t="shared" si="13"/>
        <v>43.6</v>
      </c>
      <c r="X47" s="15">
        <f t="shared" si="14"/>
        <v>43.6</v>
      </c>
      <c r="Y47" s="15">
        <f t="shared" si="15"/>
        <v>43.6</v>
      </c>
      <c r="Z47" s="4"/>
      <c r="AA47" s="4"/>
      <c r="AB47" s="4"/>
      <c r="AC47" s="4"/>
      <c r="AD47" s="4"/>
      <c r="AE47" s="4"/>
      <c r="AF47" s="4">
        <v>1</v>
      </c>
      <c r="AG47" s="4"/>
      <c r="AH47" s="4">
        <f t="shared" si="16"/>
        <v>440</v>
      </c>
      <c r="AI47" s="4">
        <f t="shared" si="4"/>
        <v>440</v>
      </c>
      <c r="AJ47" s="4">
        <f t="shared" si="18"/>
        <v>440</v>
      </c>
      <c r="AK47" s="15"/>
      <c r="AL47" s="4"/>
      <c r="AM47" s="15"/>
      <c r="AN47" s="4"/>
      <c r="AO47" s="15"/>
      <c r="AP47" s="4"/>
      <c r="AQ47" s="4"/>
      <c r="AR47" s="4">
        <v>45</v>
      </c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</row>
    <row r="48" spans="1:72">
      <c r="A48" s="1">
        <v>46101</v>
      </c>
      <c r="B48" s="16">
        <v>0.52428240740740739</v>
      </c>
      <c r="C48" t="s">
        <v>221</v>
      </c>
      <c r="D48" t="s">
        <v>82</v>
      </c>
      <c r="E48">
        <v>28</v>
      </c>
      <c r="F48" t="s">
        <v>63</v>
      </c>
      <c r="G48">
        <v>1</v>
      </c>
      <c r="H48">
        <v>1</v>
      </c>
      <c r="I48" t="s">
        <v>64</v>
      </c>
      <c r="J48" t="s">
        <v>65</v>
      </c>
      <c r="K48">
        <v>0.13400000000000001</v>
      </c>
      <c r="L48">
        <v>2.67</v>
      </c>
      <c r="M48">
        <v>42.1</v>
      </c>
      <c r="N48" t="s">
        <v>66</v>
      </c>
      <c r="O48" t="s">
        <v>67</v>
      </c>
      <c r="P48">
        <v>0.754</v>
      </c>
      <c r="Q48">
        <v>7.74</v>
      </c>
      <c r="R48">
        <v>371</v>
      </c>
      <c r="S48" s="4"/>
      <c r="T48" s="4">
        <v>1</v>
      </c>
      <c r="U48" s="4">
        <v>1</v>
      </c>
      <c r="V48" s="4"/>
      <c r="W48" s="13">
        <f t="shared" si="13"/>
        <v>42.1</v>
      </c>
      <c r="X48" s="15">
        <f t="shared" si="14"/>
        <v>42.1</v>
      </c>
      <c r="Y48" s="15">
        <f t="shared" si="15"/>
        <v>42.1</v>
      </c>
      <c r="Z48" s="4"/>
      <c r="AA48" s="4"/>
      <c r="AB48" s="4"/>
      <c r="AC48" s="4"/>
      <c r="AD48" s="4"/>
      <c r="AE48" s="4"/>
      <c r="AF48" s="4">
        <v>1</v>
      </c>
      <c r="AG48" s="4"/>
      <c r="AH48" s="4">
        <f t="shared" si="16"/>
        <v>371</v>
      </c>
      <c r="AI48" s="4">
        <f t="shared" si="4"/>
        <v>371</v>
      </c>
      <c r="AJ48" s="4">
        <f t="shared" si="18"/>
        <v>371</v>
      </c>
      <c r="AK48" s="15"/>
      <c r="AL48" s="4"/>
      <c r="AM48" s="15"/>
      <c r="AN48" s="4"/>
      <c r="AO48" s="15"/>
      <c r="AP48" s="4"/>
      <c r="AQ48" s="4"/>
      <c r="AR48" s="4">
        <v>46</v>
      </c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</row>
    <row r="49" spans="1:72">
      <c r="A49" s="1">
        <v>46101</v>
      </c>
      <c r="B49" s="16">
        <v>0.52516203703703701</v>
      </c>
      <c r="C49" t="s">
        <v>221</v>
      </c>
      <c r="D49" t="s">
        <v>83</v>
      </c>
      <c r="E49">
        <v>29</v>
      </c>
      <c r="F49" t="s">
        <v>63</v>
      </c>
      <c r="G49">
        <v>1</v>
      </c>
      <c r="H49">
        <v>1</v>
      </c>
      <c r="I49" t="s">
        <v>64</v>
      </c>
      <c r="J49" t="s">
        <v>65</v>
      </c>
      <c r="K49">
        <v>0.105</v>
      </c>
      <c r="L49">
        <v>2.14</v>
      </c>
      <c r="M49">
        <v>26.6</v>
      </c>
      <c r="N49" t="s">
        <v>66</v>
      </c>
      <c r="O49" t="s">
        <v>67</v>
      </c>
      <c r="P49">
        <v>0.498</v>
      </c>
      <c r="Q49">
        <v>6.57</v>
      </c>
      <c r="R49">
        <v>294</v>
      </c>
      <c r="S49" s="4"/>
      <c r="T49" s="4">
        <v>1</v>
      </c>
      <c r="U49" s="4">
        <v>1</v>
      </c>
      <c r="V49" s="4"/>
      <c r="W49" s="13">
        <f t="shared" si="13"/>
        <v>26.6</v>
      </c>
      <c r="X49" s="15">
        <f t="shared" si="14"/>
        <v>26.6</v>
      </c>
      <c r="Y49" s="15">
        <f t="shared" si="15"/>
        <v>26.6</v>
      </c>
      <c r="Z49" s="4"/>
      <c r="AA49" s="4"/>
      <c r="AB49" s="4"/>
      <c r="AC49" s="4"/>
      <c r="AD49" s="4"/>
      <c r="AE49" s="4"/>
      <c r="AF49" s="4">
        <v>1</v>
      </c>
      <c r="AG49" s="4"/>
      <c r="AH49" s="4">
        <f t="shared" si="16"/>
        <v>294</v>
      </c>
      <c r="AI49" s="4">
        <f t="shared" si="4"/>
        <v>294</v>
      </c>
      <c r="AJ49" s="4">
        <f t="shared" si="18"/>
        <v>294</v>
      </c>
      <c r="AK49" s="15"/>
      <c r="AL49" s="4"/>
      <c r="AM49" s="15"/>
      <c r="AN49" s="4"/>
      <c r="AO49" s="15"/>
      <c r="AP49" s="4"/>
      <c r="AQ49" s="4"/>
      <c r="AR49" s="4">
        <v>47</v>
      </c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</row>
    <row r="50" spans="1:72">
      <c r="A50" s="1">
        <v>46101</v>
      </c>
      <c r="B50" s="16">
        <v>0.52604166666666663</v>
      </c>
      <c r="C50" t="s">
        <v>221</v>
      </c>
      <c r="D50" t="s">
        <v>83</v>
      </c>
      <c r="E50">
        <v>30</v>
      </c>
      <c r="F50" t="s">
        <v>63</v>
      </c>
      <c r="G50">
        <v>1</v>
      </c>
      <c r="H50">
        <v>1</v>
      </c>
      <c r="I50" t="s">
        <v>64</v>
      </c>
      <c r="J50" t="s">
        <v>65</v>
      </c>
      <c r="K50">
        <v>0.1</v>
      </c>
      <c r="L50">
        <v>1.94</v>
      </c>
      <c r="M50">
        <v>20.6</v>
      </c>
      <c r="N50" t="s">
        <v>66</v>
      </c>
      <c r="O50" t="s">
        <v>67</v>
      </c>
      <c r="P50">
        <v>0.54700000000000004</v>
      </c>
      <c r="Q50">
        <v>7.22</v>
      </c>
      <c r="R50">
        <v>337</v>
      </c>
      <c r="S50" s="4"/>
      <c r="T50" s="4">
        <v>1</v>
      </c>
      <c r="U50" s="4">
        <v>1</v>
      </c>
      <c r="V50" s="4"/>
      <c r="W50" s="13">
        <f t="shared" si="13"/>
        <v>20.6</v>
      </c>
      <c r="X50" s="15">
        <f t="shared" si="14"/>
        <v>20.6</v>
      </c>
      <c r="Y50" s="15">
        <f t="shared" si="15"/>
        <v>20.6</v>
      </c>
      <c r="Z50" s="4"/>
      <c r="AA50" s="4"/>
      <c r="AB50" s="4"/>
      <c r="AC50" s="4"/>
      <c r="AD50" s="4"/>
      <c r="AE50" s="4"/>
      <c r="AF50" s="4">
        <v>1</v>
      </c>
      <c r="AG50" s="4"/>
      <c r="AH50" s="4">
        <f t="shared" si="16"/>
        <v>337</v>
      </c>
      <c r="AI50" s="4">
        <f t="shared" si="4"/>
        <v>337</v>
      </c>
      <c r="AJ50" s="4">
        <f t="shared" si="18"/>
        <v>337</v>
      </c>
      <c r="AK50" s="15"/>
      <c r="AL50" s="4"/>
      <c r="AM50" s="15"/>
      <c r="AN50" s="4"/>
      <c r="AO50" s="15"/>
      <c r="AP50" s="4"/>
      <c r="AQ50" s="4"/>
      <c r="AR50" s="4">
        <v>48</v>
      </c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</row>
    <row r="51" spans="1:72">
      <c r="A51" s="1">
        <v>46101</v>
      </c>
      <c r="B51" s="16">
        <v>0.52694444444444444</v>
      </c>
      <c r="C51" t="s">
        <v>221</v>
      </c>
      <c r="D51" t="s">
        <v>83</v>
      </c>
      <c r="E51">
        <v>31</v>
      </c>
      <c r="F51" t="s">
        <v>63</v>
      </c>
      <c r="G51">
        <v>1</v>
      </c>
      <c r="H51">
        <v>1</v>
      </c>
      <c r="I51" t="s">
        <v>64</v>
      </c>
      <c r="J51" t="s">
        <v>65</v>
      </c>
      <c r="K51">
        <v>0.107</v>
      </c>
      <c r="L51">
        <v>2.1</v>
      </c>
      <c r="M51">
        <v>25.4</v>
      </c>
      <c r="N51" t="s">
        <v>66</v>
      </c>
      <c r="O51" t="s">
        <v>67</v>
      </c>
      <c r="P51">
        <v>0.48799999999999999</v>
      </c>
      <c r="Q51">
        <v>6.43</v>
      </c>
      <c r="R51">
        <v>284</v>
      </c>
      <c r="S51" s="4"/>
      <c r="T51" s="4">
        <v>1</v>
      </c>
      <c r="U51" s="4">
        <v>1</v>
      </c>
      <c r="V51" s="4"/>
      <c r="W51" s="13">
        <f t="shared" si="13"/>
        <v>25.4</v>
      </c>
      <c r="X51" s="15">
        <f t="shared" si="14"/>
        <v>25.4</v>
      </c>
      <c r="Y51" s="15">
        <f t="shared" si="15"/>
        <v>25.4</v>
      </c>
      <c r="Z51" s="4"/>
      <c r="AA51" s="4"/>
      <c r="AB51" s="4"/>
      <c r="AC51" s="4"/>
      <c r="AD51" s="4"/>
      <c r="AE51" s="4"/>
      <c r="AF51" s="4">
        <v>1</v>
      </c>
      <c r="AG51" s="4"/>
      <c r="AH51" s="4">
        <f t="shared" si="16"/>
        <v>284</v>
      </c>
      <c r="AI51" s="4">
        <f t="shared" si="4"/>
        <v>284</v>
      </c>
      <c r="AJ51" s="4">
        <f t="shared" si="18"/>
        <v>284</v>
      </c>
      <c r="AK51" s="15"/>
      <c r="AL51" s="4"/>
      <c r="AM51" s="15"/>
      <c r="AN51" s="4"/>
      <c r="AO51" s="15"/>
      <c r="AP51" s="4"/>
      <c r="AQ51" s="4"/>
      <c r="AR51" s="4">
        <v>49</v>
      </c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</row>
    <row r="52" spans="1:72">
      <c r="A52" s="1">
        <v>46101</v>
      </c>
      <c r="B52" s="16">
        <v>0.5278356481481481</v>
      </c>
      <c r="C52" t="s">
        <v>221</v>
      </c>
      <c r="D52" t="s">
        <v>83</v>
      </c>
      <c r="E52">
        <v>32</v>
      </c>
      <c r="F52" t="s">
        <v>63</v>
      </c>
      <c r="G52">
        <v>1</v>
      </c>
      <c r="H52">
        <v>1</v>
      </c>
      <c r="I52" t="s">
        <v>64</v>
      </c>
      <c r="J52" t="s">
        <v>65</v>
      </c>
      <c r="K52">
        <v>0.106</v>
      </c>
      <c r="L52">
        <v>2.09</v>
      </c>
      <c r="M52">
        <v>24.9</v>
      </c>
      <c r="N52" t="s">
        <v>66</v>
      </c>
      <c r="O52" t="s">
        <v>67</v>
      </c>
      <c r="P52">
        <v>0.46600000000000003</v>
      </c>
      <c r="Q52">
        <v>6.16</v>
      </c>
      <c r="R52">
        <v>267</v>
      </c>
      <c r="S52" s="4"/>
      <c r="T52" s="4">
        <v>1</v>
      </c>
      <c r="U52" s="4">
        <v>1</v>
      </c>
      <c r="V52" s="4"/>
      <c r="W52" s="13">
        <f t="shared" si="13"/>
        <v>24.9</v>
      </c>
      <c r="X52" s="15">
        <f t="shared" si="14"/>
        <v>24.9</v>
      </c>
      <c r="Y52" s="15">
        <f t="shared" si="15"/>
        <v>24.9</v>
      </c>
      <c r="Z52" s="4"/>
      <c r="AA52" s="4"/>
      <c r="AB52" s="4"/>
      <c r="AC52" s="4"/>
      <c r="AD52" s="4"/>
      <c r="AE52" s="4"/>
      <c r="AF52" s="4">
        <v>1</v>
      </c>
      <c r="AG52" s="4"/>
      <c r="AH52" s="4">
        <f t="shared" si="16"/>
        <v>267</v>
      </c>
      <c r="AI52" s="4">
        <f t="shared" si="4"/>
        <v>267</v>
      </c>
      <c r="AJ52" s="4">
        <f t="shared" si="18"/>
        <v>267</v>
      </c>
      <c r="AK52" s="15"/>
      <c r="AL52" s="4"/>
      <c r="AM52" s="15"/>
      <c r="AN52" s="4"/>
      <c r="AO52" s="15"/>
      <c r="AP52" s="4"/>
      <c r="AQ52" s="4"/>
      <c r="AR52" s="4">
        <v>50</v>
      </c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</row>
    <row r="53" spans="1:72">
      <c r="A53" s="1">
        <v>46101</v>
      </c>
      <c r="B53" s="16">
        <v>0.52872685185185186</v>
      </c>
      <c r="C53" t="s">
        <v>221</v>
      </c>
      <c r="D53" t="s">
        <v>83</v>
      </c>
      <c r="E53">
        <v>33</v>
      </c>
      <c r="F53" t="s">
        <v>63</v>
      </c>
      <c r="G53">
        <v>1</v>
      </c>
      <c r="H53">
        <v>1</v>
      </c>
      <c r="I53" t="s">
        <v>64</v>
      </c>
      <c r="J53" t="s">
        <v>65</v>
      </c>
      <c r="K53">
        <v>0.10299999999999999</v>
      </c>
      <c r="L53">
        <v>2.06</v>
      </c>
      <c r="M53">
        <v>24.1</v>
      </c>
      <c r="N53" t="s">
        <v>66</v>
      </c>
      <c r="O53" t="s">
        <v>67</v>
      </c>
      <c r="P53">
        <v>0.47399999999999998</v>
      </c>
      <c r="Q53">
        <v>6.3</v>
      </c>
      <c r="R53">
        <v>276</v>
      </c>
      <c r="S53" s="4"/>
      <c r="T53" s="4">
        <v>1</v>
      </c>
      <c r="U53" s="4">
        <v>1</v>
      </c>
      <c r="V53" s="4"/>
      <c r="W53" s="13">
        <f t="shared" si="13"/>
        <v>24.1</v>
      </c>
      <c r="X53" s="15">
        <f t="shared" si="14"/>
        <v>24.1</v>
      </c>
      <c r="Y53" s="15">
        <f t="shared" si="15"/>
        <v>24.1</v>
      </c>
      <c r="Z53" s="4"/>
      <c r="AA53" s="4"/>
      <c r="AB53" s="4"/>
      <c r="AC53" s="4"/>
      <c r="AD53" s="4"/>
      <c r="AE53" s="4"/>
      <c r="AF53" s="4">
        <v>1</v>
      </c>
      <c r="AG53" s="4"/>
      <c r="AH53" s="4">
        <f t="shared" si="16"/>
        <v>276</v>
      </c>
      <c r="AI53" s="4">
        <f t="shared" si="4"/>
        <v>276</v>
      </c>
      <c r="AJ53" s="4">
        <f t="shared" si="18"/>
        <v>276</v>
      </c>
      <c r="AK53" s="15"/>
      <c r="AL53" s="4"/>
      <c r="AM53" s="15"/>
      <c r="AN53" s="4"/>
      <c r="AO53" s="15"/>
      <c r="AP53" s="4"/>
      <c r="AQ53" s="4"/>
      <c r="AR53" s="4">
        <v>51</v>
      </c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</row>
    <row r="54" spans="1:72">
      <c r="A54" s="1"/>
      <c r="B54" s="16"/>
      <c r="S54" s="4"/>
      <c r="T54" s="4"/>
      <c r="U54" s="4"/>
      <c r="V54" s="4"/>
      <c r="W54" s="13"/>
      <c r="X54" s="15"/>
      <c r="Y54" s="15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15"/>
      <c r="AL54" s="4"/>
      <c r="AM54" s="15"/>
      <c r="AN54" s="4"/>
      <c r="AO54" s="15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</row>
    <row r="55" spans="1:72">
      <c r="A55" s="1"/>
      <c r="B55" s="16"/>
      <c r="S55" s="4"/>
      <c r="T55" s="4"/>
      <c r="U55" s="4"/>
      <c r="V55" s="4"/>
      <c r="W55" s="13"/>
      <c r="X55" s="15"/>
      <c r="Y55" s="15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15"/>
      <c r="AL55" s="4"/>
      <c r="AM55" s="15"/>
      <c r="AN55" s="4"/>
      <c r="AO55" s="15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</row>
    <row r="56" spans="1:72">
      <c r="A56" s="1"/>
      <c r="B56" s="16"/>
      <c r="S56" s="4"/>
      <c r="T56" s="4"/>
      <c r="U56" s="4"/>
      <c r="V56" s="4"/>
      <c r="W56" s="13"/>
      <c r="X56" s="15"/>
      <c r="Y56" s="15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15"/>
      <c r="AL56" s="4"/>
      <c r="AM56" s="15"/>
      <c r="AN56" s="4"/>
      <c r="AO56" s="15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</row>
    <row r="57" spans="1:72">
      <c r="A57" s="1"/>
      <c r="B57" s="16"/>
      <c r="S57" s="4"/>
      <c r="T57" s="4"/>
      <c r="U57" s="4"/>
      <c r="V57" s="4"/>
      <c r="W57" s="13"/>
      <c r="X57" s="15"/>
      <c r="Y57" s="15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15"/>
      <c r="AL57" s="4"/>
      <c r="AM57" s="15"/>
      <c r="AN57" s="4"/>
      <c r="AO57" s="15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</row>
    <row r="58" spans="1:72">
      <c r="A58" s="1"/>
      <c r="B58" s="16"/>
      <c r="S58" s="4"/>
      <c r="T58" s="4"/>
      <c r="U58" s="4"/>
      <c r="V58" s="4"/>
      <c r="W58" s="13"/>
      <c r="X58" s="15"/>
      <c r="Y58" s="15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15"/>
      <c r="AL58" s="4"/>
      <c r="AM58" s="15"/>
      <c r="AN58" s="4"/>
      <c r="AO58" s="15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</row>
    <row r="59" spans="1:72">
      <c r="A59" s="1" t="s">
        <v>182</v>
      </c>
      <c r="S59" s="4"/>
      <c r="T59" s="4"/>
      <c r="U59" s="4"/>
      <c r="V59" s="4"/>
      <c r="W59" s="13"/>
      <c r="X59" s="15"/>
      <c r="Y59" s="15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15"/>
      <c r="AL59" s="4"/>
      <c r="AM59" s="15"/>
      <c r="AN59" s="4"/>
      <c r="AO59" s="15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</row>
    <row r="60" spans="1:72">
      <c r="A60" s="1">
        <v>46101</v>
      </c>
      <c r="B60" s="16">
        <v>0.52961805555555552</v>
      </c>
      <c r="C60" t="s">
        <v>221</v>
      </c>
      <c r="D60" t="s">
        <v>68</v>
      </c>
      <c r="E60">
        <v>34</v>
      </c>
      <c r="F60" t="s">
        <v>63</v>
      </c>
      <c r="G60">
        <v>1</v>
      </c>
      <c r="H60">
        <v>1</v>
      </c>
      <c r="I60" t="s">
        <v>64</v>
      </c>
      <c r="J60" t="s">
        <v>65</v>
      </c>
      <c r="K60">
        <v>6.9199999999999998E-2</v>
      </c>
      <c r="L60">
        <v>1.51</v>
      </c>
      <c r="M60">
        <v>7.55</v>
      </c>
      <c r="N60" t="s">
        <v>66</v>
      </c>
      <c r="O60" t="s">
        <v>67</v>
      </c>
      <c r="P60">
        <v>0.753</v>
      </c>
      <c r="Q60">
        <v>9.92</v>
      </c>
      <c r="R60">
        <v>512</v>
      </c>
      <c r="S60" s="4"/>
      <c r="T60" s="4">
        <v>1</v>
      </c>
      <c r="U60" s="4">
        <v>1</v>
      </c>
      <c r="V60" s="4"/>
      <c r="W60" s="13">
        <f t="shared" ref="W60:W91" si="19">M60*H60</f>
        <v>7.55</v>
      </c>
      <c r="X60" s="15">
        <f t="shared" ref="X60:X91" si="20">IF(T60=1,W60,(W60-0))</f>
        <v>7.55</v>
      </c>
      <c r="Y60" s="15">
        <f t="shared" ref="Y60:Y91" si="21">IF(T60=1,W60,(X60*T60))</f>
        <v>7.55</v>
      </c>
      <c r="Z60" s="4"/>
      <c r="AA60" s="4"/>
      <c r="AB60" s="15"/>
      <c r="AC60" s="4"/>
      <c r="AD60" s="4"/>
      <c r="AE60" s="4"/>
      <c r="AF60" s="4">
        <v>1</v>
      </c>
      <c r="AG60" s="4"/>
      <c r="AH60" s="4">
        <f t="shared" ref="AH60:AH123" si="22">R60*H60</f>
        <v>512</v>
      </c>
      <c r="AI60" s="4">
        <f t="shared" si="4"/>
        <v>512</v>
      </c>
      <c r="AJ60" s="4">
        <f t="shared" si="18"/>
        <v>512</v>
      </c>
      <c r="AK60" s="15"/>
      <c r="AL60" s="4"/>
      <c r="AM60" s="15"/>
      <c r="AN60" s="4"/>
      <c r="AO60" s="15"/>
      <c r="AP60" s="4"/>
      <c r="AQ60" s="4"/>
      <c r="AR60" s="4">
        <v>54</v>
      </c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</row>
    <row r="61" spans="1:72">
      <c r="A61" s="1">
        <v>46101</v>
      </c>
      <c r="B61" s="16">
        <v>0.53050925925925929</v>
      </c>
      <c r="C61" t="s">
        <v>221</v>
      </c>
      <c r="D61" t="s">
        <v>69</v>
      </c>
      <c r="E61">
        <v>35</v>
      </c>
      <c r="F61" t="s">
        <v>63</v>
      </c>
      <c r="G61">
        <v>1</v>
      </c>
      <c r="H61">
        <v>1</v>
      </c>
      <c r="I61" t="s">
        <v>64</v>
      </c>
      <c r="J61" t="s">
        <v>65</v>
      </c>
      <c r="K61">
        <v>0.16</v>
      </c>
      <c r="L61">
        <v>3.13</v>
      </c>
      <c r="M61">
        <v>55.8</v>
      </c>
      <c r="N61" t="s">
        <v>66</v>
      </c>
      <c r="O61" t="s">
        <v>67</v>
      </c>
      <c r="P61">
        <v>0.94699999999999995</v>
      </c>
      <c r="Q61">
        <v>12.3</v>
      </c>
      <c r="R61">
        <v>665</v>
      </c>
      <c r="S61" s="4"/>
      <c r="T61" s="4">
        <v>1</v>
      </c>
      <c r="U61" s="4">
        <v>1</v>
      </c>
      <c r="V61" s="4"/>
      <c r="W61" s="13">
        <f t="shared" si="19"/>
        <v>55.8</v>
      </c>
      <c r="X61" s="15">
        <f t="shared" si="20"/>
        <v>55.8</v>
      </c>
      <c r="Y61" s="15">
        <f t="shared" si="21"/>
        <v>55.8</v>
      </c>
      <c r="Z61" s="4"/>
      <c r="AA61" s="4"/>
      <c r="AB61" s="15"/>
      <c r="AC61" s="4"/>
      <c r="AD61" s="4"/>
      <c r="AE61" s="4"/>
      <c r="AF61" s="4">
        <v>1</v>
      </c>
      <c r="AG61" s="4"/>
      <c r="AH61" s="4">
        <f t="shared" si="22"/>
        <v>665</v>
      </c>
      <c r="AI61" s="4">
        <f t="shared" si="4"/>
        <v>665</v>
      </c>
      <c r="AJ61" s="4">
        <f t="shared" si="18"/>
        <v>665</v>
      </c>
      <c r="AK61" s="15"/>
      <c r="AL61" s="4"/>
      <c r="AM61" s="15"/>
      <c r="AN61" s="4"/>
      <c r="AO61" s="15"/>
      <c r="AP61" s="4"/>
      <c r="AQ61" s="4"/>
      <c r="AR61" s="4">
        <v>55</v>
      </c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</row>
    <row r="62" spans="1:72">
      <c r="A62" s="1">
        <v>46101</v>
      </c>
      <c r="B62" s="16">
        <v>0.53140046296296295</v>
      </c>
      <c r="C62" t="s">
        <v>221</v>
      </c>
      <c r="D62" t="s">
        <v>70</v>
      </c>
      <c r="E62">
        <v>36</v>
      </c>
      <c r="F62" t="s">
        <v>63</v>
      </c>
      <c r="G62">
        <v>1</v>
      </c>
      <c r="H62">
        <v>1</v>
      </c>
      <c r="I62" t="s">
        <v>64</v>
      </c>
      <c r="J62" t="s">
        <v>65</v>
      </c>
      <c r="K62">
        <v>1.1499999999999999</v>
      </c>
      <c r="L62">
        <v>21</v>
      </c>
      <c r="M62">
        <v>533</v>
      </c>
      <c r="N62" t="s">
        <v>66</v>
      </c>
      <c r="O62" t="s">
        <v>67</v>
      </c>
      <c r="P62">
        <v>6.55</v>
      </c>
      <c r="Q62">
        <v>91.7</v>
      </c>
      <c r="R62">
        <v>4330</v>
      </c>
      <c r="S62" s="4"/>
      <c r="T62" s="4">
        <v>1</v>
      </c>
      <c r="U62" s="4">
        <v>3</v>
      </c>
      <c r="V62" s="4" t="s">
        <v>193</v>
      </c>
      <c r="W62" s="13">
        <f t="shared" si="19"/>
        <v>533</v>
      </c>
      <c r="X62" s="15">
        <f t="shared" si="20"/>
        <v>533</v>
      </c>
      <c r="Y62" s="15">
        <f t="shared" si="21"/>
        <v>533</v>
      </c>
      <c r="Z62" s="4"/>
      <c r="AA62" s="4"/>
      <c r="AB62" s="15"/>
      <c r="AC62" s="4"/>
      <c r="AD62" s="4"/>
      <c r="AE62" s="4"/>
      <c r="AF62" s="4">
        <v>3</v>
      </c>
      <c r="AG62" s="4" t="s">
        <v>193</v>
      </c>
      <c r="AH62" s="4">
        <f t="shared" si="22"/>
        <v>4330</v>
      </c>
      <c r="AI62" s="4">
        <f t="shared" si="4"/>
        <v>4330</v>
      </c>
      <c r="AJ62" s="4">
        <f t="shared" si="18"/>
        <v>4330</v>
      </c>
      <c r="AK62" s="15"/>
      <c r="AL62" s="4"/>
      <c r="AM62" s="15"/>
      <c r="AN62" s="4"/>
      <c r="AO62" s="15"/>
      <c r="AP62" s="4"/>
      <c r="AQ62" s="4"/>
      <c r="AR62" s="4">
        <v>56</v>
      </c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</row>
    <row r="63" spans="1:72">
      <c r="A63" s="1">
        <v>46101</v>
      </c>
      <c r="B63" s="16">
        <v>0.53226851851851853</v>
      </c>
      <c r="C63" t="s">
        <v>221</v>
      </c>
      <c r="D63" t="s">
        <v>72</v>
      </c>
      <c r="E63">
        <v>37</v>
      </c>
      <c r="F63" t="s">
        <v>63</v>
      </c>
      <c r="G63">
        <v>1</v>
      </c>
      <c r="H63">
        <v>1</v>
      </c>
      <c r="I63" t="s">
        <v>64</v>
      </c>
      <c r="J63" t="s">
        <v>65</v>
      </c>
      <c r="K63">
        <v>7.5700000000000003E-2</v>
      </c>
      <c r="L63">
        <v>1.6</v>
      </c>
      <c r="M63">
        <v>10.4</v>
      </c>
      <c r="N63" t="s">
        <v>66</v>
      </c>
      <c r="O63" t="s">
        <v>67</v>
      </c>
      <c r="P63">
        <v>1.81</v>
      </c>
      <c r="Q63">
        <v>23.5</v>
      </c>
      <c r="R63">
        <v>1350</v>
      </c>
      <c r="S63" s="4"/>
      <c r="T63" s="4">
        <v>1</v>
      </c>
      <c r="U63" s="4">
        <v>1</v>
      </c>
      <c r="V63" s="4"/>
      <c r="W63" s="13">
        <f t="shared" si="19"/>
        <v>10.4</v>
      </c>
      <c r="X63" s="15">
        <f t="shared" si="20"/>
        <v>10.4</v>
      </c>
      <c r="Y63" s="15">
        <f t="shared" si="21"/>
        <v>10.4</v>
      </c>
      <c r="Z63" s="4"/>
      <c r="AA63" s="4"/>
      <c r="AB63" s="15"/>
      <c r="AC63" s="4"/>
      <c r="AD63" s="4"/>
      <c r="AE63" s="4"/>
      <c r="AF63" s="4">
        <v>1</v>
      </c>
      <c r="AG63" s="4"/>
      <c r="AH63" s="4">
        <f t="shared" si="22"/>
        <v>1350</v>
      </c>
      <c r="AI63" s="4">
        <f t="shared" si="4"/>
        <v>1350</v>
      </c>
      <c r="AJ63" s="4">
        <f t="shared" si="18"/>
        <v>1350</v>
      </c>
      <c r="AK63" s="15"/>
      <c r="AL63" s="4"/>
      <c r="AM63" s="15"/>
      <c r="AN63" s="4"/>
      <c r="AO63" s="15"/>
      <c r="AP63" s="4"/>
      <c r="AQ63" s="4"/>
      <c r="AR63" s="4">
        <v>57</v>
      </c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</row>
    <row r="64" spans="1:72">
      <c r="A64" s="1">
        <v>46101</v>
      </c>
      <c r="B64" s="16">
        <v>0.53317129629629634</v>
      </c>
      <c r="C64" t="s">
        <v>221</v>
      </c>
      <c r="D64" t="s">
        <v>84</v>
      </c>
      <c r="E64">
        <v>38</v>
      </c>
      <c r="F64" t="s">
        <v>85</v>
      </c>
      <c r="G64">
        <v>1</v>
      </c>
      <c r="H64">
        <v>1</v>
      </c>
      <c r="I64" t="s">
        <v>64</v>
      </c>
      <c r="J64" t="s">
        <v>65</v>
      </c>
      <c r="K64">
        <v>0.124</v>
      </c>
      <c r="L64">
        <v>2.56</v>
      </c>
      <c r="M64">
        <v>39.1</v>
      </c>
      <c r="N64" t="s">
        <v>66</v>
      </c>
      <c r="O64" t="s">
        <v>67</v>
      </c>
      <c r="P64">
        <v>0.79400000000000004</v>
      </c>
      <c r="Q64">
        <v>10.4</v>
      </c>
      <c r="R64">
        <v>542</v>
      </c>
      <c r="S64" s="4"/>
      <c r="T64" s="4">
        <v>1</v>
      </c>
      <c r="U64" s="4">
        <v>1</v>
      </c>
      <c r="V64" s="4"/>
      <c r="W64" s="13">
        <f t="shared" si="19"/>
        <v>39.1</v>
      </c>
      <c r="X64" s="15">
        <f t="shared" si="20"/>
        <v>39.1</v>
      </c>
      <c r="Y64" s="15">
        <f t="shared" si="21"/>
        <v>39.1</v>
      </c>
      <c r="Z64" s="4"/>
      <c r="AA64" s="4"/>
      <c r="AB64" s="15"/>
      <c r="AC64" s="4"/>
      <c r="AD64" s="4"/>
      <c r="AE64" s="4"/>
      <c r="AF64" s="4">
        <v>1</v>
      </c>
      <c r="AG64" s="4"/>
      <c r="AH64" s="4">
        <f t="shared" si="22"/>
        <v>542</v>
      </c>
      <c r="AI64" s="4">
        <f t="shared" si="4"/>
        <v>542</v>
      </c>
      <c r="AJ64" s="4">
        <f t="shared" si="18"/>
        <v>542</v>
      </c>
      <c r="AK64" s="15"/>
      <c r="AL64" s="4"/>
      <c r="AM64" s="15"/>
      <c r="AN64" s="4"/>
      <c r="AO64" s="15"/>
      <c r="AP64" s="4"/>
      <c r="AQ64" s="4"/>
      <c r="AR64" s="4">
        <v>58</v>
      </c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</row>
    <row r="65" spans="1:72">
      <c r="A65" s="1">
        <v>46101</v>
      </c>
      <c r="B65" s="16">
        <v>0.53405092592592596</v>
      </c>
      <c r="C65" t="s">
        <v>221</v>
      </c>
      <c r="D65" t="s">
        <v>185</v>
      </c>
      <c r="E65">
        <v>44</v>
      </c>
      <c r="F65" t="s">
        <v>85</v>
      </c>
      <c r="G65">
        <v>1</v>
      </c>
      <c r="H65">
        <v>1</v>
      </c>
      <c r="I65" t="s">
        <v>64</v>
      </c>
      <c r="J65" t="s">
        <v>65</v>
      </c>
      <c r="K65">
        <v>0.128</v>
      </c>
      <c r="L65">
        <v>2.58</v>
      </c>
      <c r="M65">
        <v>39.5</v>
      </c>
      <c r="N65" t="s">
        <v>66</v>
      </c>
      <c r="O65" t="s">
        <v>67</v>
      </c>
      <c r="P65">
        <v>0.90400000000000003</v>
      </c>
      <c r="Q65">
        <v>11.8</v>
      </c>
      <c r="R65">
        <v>630</v>
      </c>
      <c r="S65" s="4"/>
      <c r="T65" s="4">
        <v>1</v>
      </c>
      <c r="U65" s="4">
        <v>1</v>
      </c>
      <c r="V65" s="4"/>
      <c r="W65" s="13">
        <f t="shared" si="19"/>
        <v>39.5</v>
      </c>
      <c r="X65" s="15">
        <f t="shared" si="20"/>
        <v>39.5</v>
      </c>
      <c r="Y65" s="15">
        <f t="shared" si="21"/>
        <v>39.5</v>
      </c>
      <c r="Z65" s="4"/>
      <c r="AA65" s="4"/>
      <c r="AB65" s="13">
        <f>ABS(100*ABS(Y65-Y64)/AVERAGE(Y65,Y64))</f>
        <v>1.017811704834602</v>
      </c>
      <c r="AC65" t="str">
        <f>IF(Y65&gt;10, (IF((AND(AB65&gt;=0,AB65&lt;=20)=TRUE),"PASS","FAIL")),(IF((AND(AB65&gt;=0,AB65&lt;=50)=TRUE),"PASS","FAIL")))</f>
        <v>PASS</v>
      </c>
      <c r="AD65" s="4"/>
      <c r="AE65" s="4"/>
      <c r="AF65" s="4">
        <v>1</v>
      </c>
      <c r="AG65" s="4"/>
      <c r="AH65" s="4">
        <f t="shared" si="22"/>
        <v>630</v>
      </c>
      <c r="AI65" s="4">
        <f t="shared" si="4"/>
        <v>630</v>
      </c>
      <c r="AJ65" s="4">
        <f t="shared" si="18"/>
        <v>630</v>
      </c>
      <c r="AK65" s="15"/>
      <c r="AL65" s="4"/>
      <c r="AM65" s="13">
        <f>ABS(100*ABS(AJ65-AJ64)/AVERAGE(AJ65,AJ64))</f>
        <v>15.017064846416382</v>
      </c>
      <c r="AN65" t="str">
        <f>IF(AJ65&gt;10, (IF((AND(AM65&gt;=0,AM65&lt;=20)=TRUE),"PASS","FAIL")),(IF((AND(AM65&gt;=0,AM65&lt;=50)=TRUE),"PASS","FAIL")))</f>
        <v>PASS</v>
      </c>
      <c r="AO65" s="15"/>
      <c r="AP65" s="4"/>
      <c r="AQ65" s="4"/>
      <c r="AR65" s="4">
        <v>59</v>
      </c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</row>
    <row r="66" spans="1:72">
      <c r="A66" s="1">
        <v>46101</v>
      </c>
      <c r="B66" s="16">
        <v>0.53493055555555558</v>
      </c>
      <c r="C66" t="s">
        <v>221</v>
      </c>
      <c r="D66" t="s">
        <v>86</v>
      </c>
      <c r="E66">
        <v>39</v>
      </c>
      <c r="F66" t="s">
        <v>63</v>
      </c>
      <c r="G66">
        <v>1</v>
      </c>
      <c r="H66">
        <v>1</v>
      </c>
      <c r="I66" t="s">
        <v>64</v>
      </c>
      <c r="J66" t="s">
        <v>65</v>
      </c>
      <c r="K66">
        <v>7.1999999999999995E-2</v>
      </c>
      <c r="L66">
        <v>1.55</v>
      </c>
      <c r="M66">
        <v>8.9600000000000009</v>
      </c>
      <c r="N66" t="s">
        <v>66</v>
      </c>
      <c r="O66" t="s">
        <v>67</v>
      </c>
      <c r="P66">
        <v>0.70499999999999996</v>
      </c>
      <c r="Q66">
        <v>9.2799999999999994</v>
      </c>
      <c r="R66">
        <v>471</v>
      </c>
      <c r="S66" s="4"/>
      <c r="T66" s="4">
        <v>1</v>
      </c>
      <c r="U66" s="4">
        <v>1</v>
      </c>
      <c r="V66" s="4"/>
      <c r="W66" s="13">
        <f t="shared" si="19"/>
        <v>8.9600000000000009</v>
      </c>
      <c r="X66" s="15">
        <f t="shared" si="20"/>
        <v>8.9600000000000009</v>
      </c>
      <c r="Y66" s="15">
        <f t="shared" si="21"/>
        <v>8.9600000000000009</v>
      </c>
      <c r="Z66" s="4"/>
      <c r="AA66" s="4"/>
      <c r="AB66" s="13"/>
      <c r="AD66" s="4"/>
      <c r="AE66" s="4"/>
      <c r="AF66" s="4">
        <v>1</v>
      </c>
      <c r="AG66" s="4"/>
      <c r="AH66" s="4">
        <f t="shared" si="22"/>
        <v>471</v>
      </c>
      <c r="AI66" s="4">
        <f t="shared" si="4"/>
        <v>471</v>
      </c>
      <c r="AJ66" s="4">
        <f t="shared" si="18"/>
        <v>471</v>
      </c>
      <c r="AK66" s="15"/>
      <c r="AL66" s="4"/>
      <c r="AM66" s="13"/>
      <c r="AO66" s="15"/>
      <c r="AP66" s="4"/>
      <c r="AQ66" s="4"/>
      <c r="AR66" s="4">
        <v>60</v>
      </c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</row>
    <row r="67" spans="1:72">
      <c r="A67" s="1">
        <v>46101</v>
      </c>
      <c r="B67" s="16">
        <v>0.53582175925925923</v>
      </c>
      <c r="C67" t="s">
        <v>221</v>
      </c>
      <c r="D67" t="s">
        <v>87</v>
      </c>
      <c r="E67">
        <v>40</v>
      </c>
      <c r="F67" t="s">
        <v>63</v>
      </c>
      <c r="G67">
        <v>1</v>
      </c>
      <c r="H67">
        <v>1</v>
      </c>
      <c r="I67" t="s">
        <v>64</v>
      </c>
      <c r="J67" t="s">
        <v>65</v>
      </c>
      <c r="K67">
        <v>5.8900000000000001E-2</v>
      </c>
      <c r="L67">
        <v>1.29</v>
      </c>
      <c r="M67">
        <v>1.21</v>
      </c>
      <c r="N67" t="s">
        <v>66</v>
      </c>
      <c r="O67" t="s">
        <v>67</v>
      </c>
      <c r="P67">
        <v>0.24399999999999999</v>
      </c>
      <c r="Q67">
        <v>3.37</v>
      </c>
      <c r="R67">
        <v>81.3</v>
      </c>
      <c r="S67" s="4"/>
      <c r="T67" s="4">
        <v>1</v>
      </c>
      <c r="U67" s="4">
        <v>1</v>
      </c>
      <c r="V67" s="4"/>
      <c r="W67" s="13">
        <f t="shared" si="19"/>
        <v>1.21</v>
      </c>
      <c r="X67" s="15">
        <f t="shared" si="20"/>
        <v>1.21</v>
      </c>
      <c r="Y67" s="15">
        <f t="shared" si="21"/>
        <v>1.21</v>
      </c>
      <c r="Z67" s="4"/>
      <c r="AA67" s="4"/>
      <c r="AB67" s="15"/>
      <c r="AC67" s="4"/>
      <c r="AD67" s="4"/>
      <c r="AE67" s="4"/>
      <c r="AF67" s="4">
        <v>1</v>
      </c>
      <c r="AG67" s="4"/>
      <c r="AH67" s="4">
        <f t="shared" si="22"/>
        <v>81.3</v>
      </c>
      <c r="AI67" s="4">
        <f t="shared" si="4"/>
        <v>81.3</v>
      </c>
      <c r="AJ67" s="4">
        <f t="shared" si="18"/>
        <v>81.3</v>
      </c>
      <c r="AK67" s="15"/>
      <c r="AL67" s="4"/>
      <c r="AM67" s="15"/>
      <c r="AN67" s="4"/>
      <c r="AO67" s="15"/>
      <c r="AP67" s="4"/>
      <c r="AQ67" s="4"/>
      <c r="AR67" s="4">
        <v>61</v>
      </c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</row>
    <row r="68" spans="1:72">
      <c r="A68" s="1">
        <v>46101</v>
      </c>
      <c r="B68" s="16">
        <v>0.53670138888888885</v>
      </c>
      <c r="C68" t="s">
        <v>221</v>
      </c>
      <c r="D68" t="s">
        <v>88</v>
      </c>
      <c r="E68">
        <v>41</v>
      </c>
      <c r="F68" t="s">
        <v>63</v>
      </c>
      <c r="G68">
        <v>1</v>
      </c>
      <c r="H68">
        <v>1</v>
      </c>
      <c r="I68" t="s">
        <v>64</v>
      </c>
      <c r="J68" t="s">
        <v>65</v>
      </c>
      <c r="K68">
        <v>7.3200000000000001E-2</v>
      </c>
      <c r="L68">
        <v>1.65</v>
      </c>
      <c r="M68">
        <v>11.9</v>
      </c>
      <c r="N68" t="s">
        <v>66</v>
      </c>
      <c r="O68" t="s">
        <v>67</v>
      </c>
      <c r="P68">
        <v>1.35</v>
      </c>
      <c r="Q68">
        <v>17.600000000000001</v>
      </c>
      <c r="R68">
        <v>991</v>
      </c>
      <c r="S68" s="4"/>
      <c r="T68" s="4">
        <v>1</v>
      </c>
      <c r="U68" s="4">
        <v>1</v>
      </c>
      <c r="V68" s="4"/>
      <c r="W68" s="13">
        <f t="shared" si="19"/>
        <v>11.9</v>
      </c>
      <c r="X68" s="15">
        <f t="shared" si="20"/>
        <v>11.9</v>
      </c>
      <c r="Y68" s="15">
        <f t="shared" si="21"/>
        <v>11.9</v>
      </c>
      <c r="Z68" s="4"/>
      <c r="AA68" s="4"/>
      <c r="AB68" s="13"/>
      <c r="AD68" s="4"/>
      <c r="AE68" s="4"/>
      <c r="AF68" s="4">
        <v>1</v>
      </c>
      <c r="AG68" s="4"/>
      <c r="AH68" s="4">
        <f t="shared" si="22"/>
        <v>991</v>
      </c>
      <c r="AI68" s="4">
        <f t="shared" si="4"/>
        <v>991</v>
      </c>
      <c r="AJ68" s="4">
        <f t="shared" si="18"/>
        <v>991</v>
      </c>
      <c r="AK68" s="15"/>
      <c r="AL68" s="4"/>
      <c r="AM68" s="13"/>
      <c r="AO68" s="15"/>
      <c r="AP68" s="4"/>
      <c r="AQ68" s="4"/>
      <c r="AR68" s="4">
        <v>62</v>
      </c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</row>
    <row r="69" spans="1:72">
      <c r="A69" s="1">
        <v>46101</v>
      </c>
      <c r="B69" s="16">
        <v>0.53755787037037039</v>
      </c>
      <c r="C69" t="s">
        <v>221</v>
      </c>
      <c r="D69" t="s">
        <v>89</v>
      </c>
      <c r="E69">
        <v>42</v>
      </c>
      <c r="F69" t="s">
        <v>63</v>
      </c>
      <c r="G69">
        <v>1</v>
      </c>
      <c r="H69">
        <v>1</v>
      </c>
      <c r="I69" t="s">
        <v>64</v>
      </c>
      <c r="J69" t="s">
        <v>65</v>
      </c>
      <c r="K69">
        <v>8.1799999999999998E-2</v>
      </c>
      <c r="L69">
        <v>1.77</v>
      </c>
      <c r="M69">
        <v>15.4</v>
      </c>
      <c r="N69" t="s">
        <v>66</v>
      </c>
      <c r="O69" t="s">
        <v>67</v>
      </c>
      <c r="P69">
        <v>1.78</v>
      </c>
      <c r="Q69">
        <v>23.2</v>
      </c>
      <c r="R69">
        <v>1330</v>
      </c>
      <c r="S69" s="4"/>
      <c r="T69" s="4">
        <v>1</v>
      </c>
      <c r="U69" s="4">
        <v>1</v>
      </c>
      <c r="V69" s="4"/>
      <c r="W69" s="13">
        <f t="shared" si="19"/>
        <v>15.4</v>
      </c>
      <c r="X69" s="15">
        <f t="shared" si="20"/>
        <v>15.4</v>
      </c>
      <c r="Y69" s="15">
        <f t="shared" si="21"/>
        <v>15.4</v>
      </c>
      <c r="Z69" s="4"/>
      <c r="AA69" s="4"/>
      <c r="AB69" s="15"/>
      <c r="AC69" s="4"/>
      <c r="AF69" s="4">
        <v>1</v>
      </c>
      <c r="AG69" s="4"/>
      <c r="AH69" s="4">
        <f t="shared" si="22"/>
        <v>1330</v>
      </c>
      <c r="AI69" s="4">
        <f t="shared" si="4"/>
        <v>1330</v>
      </c>
      <c r="AJ69" s="4">
        <f t="shared" si="18"/>
        <v>1330</v>
      </c>
      <c r="AK69" s="15"/>
      <c r="AL69" s="4"/>
      <c r="AM69" s="15"/>
      <c r="AN69" s="4"/>
      <c r="AO69" s="13"/>
      <c r="AQ69" s="4"/>
      <c r="AR69" s="4">
        <v>63</v>
      </c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</row>
    <row r="70" spans="1:72">
      <c r="A70" s="1">
        <v>46101</v>
      </c>
      <c r="B70" s="16">
        <v>0.5384606481481482</v>
      </c>
      <c r="C70" t="s">
        <v>221</v>
      </c>
      <c r="D70" t="s">
        <v>90</v>
      </c>
      <c r="E70">
        <v>43</v>
      </c>
      <c r="F70" t="s">
        <v>91</v>
      </c>
      <c r="G70">
        <v>1</v>
      </c>
      <c r="H70">
        <v>1</v>
      </c>
      <c r="I70" t="s">
        <v>64</v>
      </c>
      <c r="J70" t="s">
        <v>65</v>
      </c>
      <c r="K70">
        <v>5.3800000000000001E-2</v>
      </c>
      <c r="L70">
        <v>1.24</v>
      </c>
      <c r="M70">
        <v>-0.47099999999999997</v>
      </c>
      <c r="N70" t="s">
        <v>66</v>
      </c>
      <c r="O70" t="s">
        <v>67</v>
      </c>
      <c r="P70">
        <v>2.06</v>
      </c>
      <c r="Q70">
        <v>26.7</v>
      </c>
      <c r="R70">
        <v>1530</v>
      </c>
      <c r="S70" s="4"/>
      <c r="T70" s="4">
        <v>1</v>
      </c>
      <c r="U70" s="4">
        <v>1</v>
      </c>
      <c r="V70" s="4"/>
      <c r="W70" s="13">
        <f t="shared" si="19"/>
        <v>-0.47099999999999997</v>
      </c>
      <c r="X70" s="15">
        <f t="shared" si="20"/>
        <v>-0.47099999999999997</v>
      </c>
      <c r="Y70" s="15">
        <f t="shared" si="21"/>
        <v>-0.47099999999999997</v>
      </c>
      <c r="Z70" s="4"/>
      <c r="AA70" s="4"/>
      <c r="AB70" s="13"/>
      <c r="AD70" s="4"/>
      <c r="AE70" s="4"/>
      <c r="AF70" s="4">
        <v>1</v>
      </c>
      <c r="AG70" s="4"/>
      <c r="AH70" s="4">
        <f t="shared" si="22"/>
        <v>1530</v>
      </c>
      <c r="AI70" s="4">
        <f t="shared" si="4"/>
        <v>1530</v>
      </c>
      <c r="AJ70" s="4">
        <f t="shared" si="18"/>
        <v>1530</v>
      </c>
      <c r="AK70" s="15"/>
      <c r="AL70" s="4"/>
      <c r="AM70" s="13"/>
      <c r="AO70" s="15"/>
      <c r="AP70" s="4"/>
      <c r="AQ70" s="4"/>
      <c r="AR70" s="4">
        <v>64</v>
      </c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</row>
    <row r="71" spans="1:72">
      <c r="A71" s="1">
        <v>46101</v>
      </c>
      <c r="B71" s="16">
        <v>0.53934027777777782</v>
      </c>
      <c r="C71" t="s">
        <v>221</v>
      </c>
      <c r="D71" t="s">
        <v>225</v>
      </c>
      <c r="E71">
        <v>45</v>
      </c>
      <c r="F71" t="s">
        <v>91</v>
      </c>
      <c r="G71">
        <v>1</v>
      </c>
      <c r="H71">
        <v>1</v>
      </c>
      <c r="I71" t="s">
        <v>64</v>
      </c>
      <c r="J71" t="s">
        <v>65</v>
      </c>
      <c r="K71">
        <v>0.104</v>
      </c>
      <c r="L71">
        <v>2.16</v>
      </c>
      <c r="M71">
        <v>27</v>
      </c>
      <c r="N71" t="s">
        <v>66</v>
      </c>
      <c r="O71" t="s">
        <v>67</v>
      </c>
      <c r="P71">
        <v>2.4500000000000002</v>
      </c>
      <c r="Q71">
        <v>31.6</v>
      </c>
      <c r="R71">
        <v>1810</v>
      </c>
      <c r="S71" s="4"/>
      <c r="T71" s="4">
        <v>1</v>
      </c>
      <c r="U71" s="4">
        <v>1</v>
      </c>
      <c r="V71" s="4"/>
      <c r="W71" s="13">
        <f t="shared" si="19"/>
        <v>27</v>
      </c>
      <c r="X71" s="15">
        <f t="shared" si="20"/>
        <v>27</v>
      </c>
      <c r="Y71" s="15">
        <f t="shared" si="21"/>
        <v>27</v>
      </c>
      <c r="Z71" s="4"/>
      <c r="AA71" s="4"/>
      <c r="AB71" s="15"/>
      <c r="AC71" s="4"/>
      <c r="AD71">
        <f>100*((Y71*10250)-(Y70*10000))/(1000*250)</f>
        <v>112.584</v>
      </c>
      <c r="AE71" t="str">
        <f>IF(Y71&gt;30, (IF((AND(AD71&gt;=80,AD71&lt;=120)=TRUE),"PASS","FAIL")),(IF((AND(AD71&gt;=50,AD71&lt;=150)=TRUE),"PASS","FAIL")))</f>
        <v>PASS</v>
      </c>
      <c r="AF71" s="4">
        <v>1</v>
      </c>
      <c r="AG71" s="4"/>
      <c r="AH71" s="4">
        <f t="shared" si="22"/>
        <v>1810</v>
      </c>
      <c r="AI71" s="4">
        <f t="shared" si="4"/>
        <v>1810</v>
      </c>
      <c r="AJ71" s="4">
        <f t="shared" si="18"/>
        <v>1810</v>
      </c>
      <c r="AK71" s="15"/>
      <c r="AL71" s="4"/>
      <c r="AM71" s="15"/>
      <c r="AN71" s="4"/>
      <c r="AO71" s="13">
        <f>100*((AJ71*10250)-(AJ70*10000))/(1000*2500)</f>
        <v>130.1</v>
      </c>
      <c r="AP71" t="str">
        <f>IF(AJ71&gt;30, (IF((AND(AO71&gt;=80,AO71&lt;=120)=TRUE),"PASS","FAIL")),(IF((AND(AO71&gt;=50,AO71&lt;=150)=TRUE),"PASS","FAIL")))</f>
        <v>FAIL</v>
      </c>
      <c r="AQ71" s="4"/>
      <c r="AR71" s="4">
        <v>65</v>
      </c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</row>
    <row r="72" spans="1:72">
      <c r="A72" s="1">
        <v>46101</v>
      </c>
      <c r="B72" s="16">
        <v>0.54023148148148148</v>
      </c>
      <c r="C72" t="s">
        <v>221</v>
      </c>
      <c r="D72" t="s">
        <v>226</v>
      </c>
      <c r="E72" t="s">
        <v>70</v>
      </c>
      <c r="F72" t="s">
        <v>92</v>
      </c>
      <c r="G72">
        <v>1</v>
      </c>
      <c r="H72">
        <v>1</v>
      </c>
      <c r="I72" t="s">
        <v>64</v>
      </c>
      <c r="J72" t="s">
        <v>65</v>
      </c>
      <c r="K72">
        <v>0.14199999999999999</v>
      </c>
      <c r="L72">
        <v>1.71</v>
      </c>
      <c r="M72">
        <v>13.8</v>
      </c>
      <c r="N72" t="s">
        <v>66</v>
      </c>
      <c r="O72" t="s">
        <v>67</v>
      </c>
      <c r="P72">
        <v>6.4799999999999996E-3</v>
      </c>
      <c r="Q72">
        <v>0.13700000000000001</v>
      </c>
      <c r="R72">
        <v>-138</v>
      </c>
      <c r="S72" s="4"/>
      <c r="T72" s="4">
        <v>1</v>
      </c>
      <c r="U72" s="4">
        <v>1</v>
      </c>
      <c r="V72" s="4"/>
      <c r="W72" s="13">
        <f t="shared" si="19"/>
        <v>13.8</v>
      </c>
      <c r="X72" s="15">
        <f t="shared" si="20"/>
        <v>13.8</v>
      </c>
      <c r="Y72" s="15">
        <f t="shared" si="21"/>
        <v>13.8</v>
      </c>
      <c r="Z72" s="4"/>
      <c r="AA72" s="4"/>
      <c r="AB72" s="13"/>
      <c r="AF72" s="4">
        <v>1</v>
      </c>
      <c r="AG72" s="4"/>
      <c r="AH72" s="4">
        <f t="shared" si="22"/>
        <v>-138</v>
      </c>
      <c r="AI72" s="4">
        <f t="shared" si="4"/>
        <v>-138</v>
      </c>
      <c r="AJ72" s="4">
        <f t="shared" si="18"/>
        <v>-138</v>
      </c>
      <c r="AK72" s="15"/>
      <c r="AL72" s="4"/>
      <c r="AM72" s="13"/>
      <c r="AO72" s="13"/>
      <c r="AQ72" s="4"/>
      <c r="AR72" s="4">
        <v>66</v>
      </c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</row>
    <row r="73" spans="1:72">
      <c r="A73" s="1">
        <v>46101</v>
      </c>
      <c r="B73" s="16">
        <v>0.5411111111111111</v>
      </c>
      <c r="C73" t="s">
        <v>221</v>
      </c>
      <c r="D73" t="s">
        <v>196</v>
      </c>
      <c r="E73">
        <v>15</v>
      </c>
      <c r="F73" t="s">
        <v>92</v>
      </c>
      <c r="G73">
        <v>1</v>
      </c>
      <c r="H73">
        <v>1</v>
      </c>
      <c r="I73" t="s">
        <v>64</v>
      </c>
      <c r="J73" t="s">
        <v>65</v>
      </c>
      <c r="K73">
        <v>0.10199999999999999</v>
      </c>
      <c r="L73">
        <v>2.06</v>
      </c>
      <c r="M73">
        <v>24.1</v>
      </c>
      <c r="N73" t="s">
        <v>66</v>
      </c>
      <c r="O73" t="s">
        <v>67</v>
      </c>
      <c r="P73">
        <v>0.497</v>
      </c>
      <c r="Q73">
        <v>6.59</v>
      </c>
      <c r="R73">
        <v>295</v>
      </c>
      <c r="S73" s="4"/>
      <c r="T73" s="4">
        <v>1</v>
      </c>
      <c r="U73" s="4">
        <v>1</v>
      </c>
      <c r="V73" s="4"/>
      <c r="W73" s="13">
        <f t="shared" si="19"/>
        <v>24.1</v>
      </c>
      <c r="X73" s="15">
        <f t="shared" si="20"/>
        <v>24.1</v>
      </c>
      <c r="Y73" s="15">
        <f t="shared" si="21"/>
        <v>24.1</v>
      </c>
      <c r="Z73" s="4">
        <f>100*(Y73-25)/25</f>
        <v>-3.5999999999999943</v>
      </c>
      <c r="AA73" s="4" t="str">
        <f>IF((ABS(Z73))&lt;=20,"PASS","FAIL")</f>
        <v>PASS</v>
      </c>
      <c r="AB73" s="13"/>
      <c r="AF73" s="4">
        <v>1</v>
      </c>
      <c r="AG73" s="4"/>
      <c r="AH73" s="4">
        <f t="shared" si="22"/>
        <v>295</v>
      </c>
      <c r="AI73" s="4">
        <f t="shared" si="4"/>
        <v>295</v>
      </c>
      <c r="AJ73" s="4">
        <f t="shared" si="18"/>
        <v>295</v>
      </c>
      <c r="AK73" s="15">
        <f>100*(AJ73-250)/250</f>
        <v>18</v>
      </c>
      <c r="AL73" s="4" t="str">
        <f>IF((ABS(AK73))&lt;=20,"PASS","FAIL")</f>
        <v>PASS</v>
      </c>
      <c r="AM73" s="13"/>
      <c r="AO73" s="13"/>
      <c r="AQ73" s="4"/>
      <c r="AR73" s="4">
        <v>67</v>
      </c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</row>
    <row r="74" spans="1:72">
      <c r="A74" s="1">
        <v>46101</v>
      </c>
      <c r="B74" s="16">
        <v>0.54200231481481487</v>
      </c>
      <c r="C74" t="s">
        <v>221</v>
      </c>
      <c r="D74" t="s">
        <v>197</v>
      </c>
      <c r="E74">
        <v>46</v>
      </c>
      <c r="F74" t="s">
        <v>63</v>
      </c>
      <c r="G74">
        <v>1</v>
      </c>
      <c r="H74">
        <v>1</v>
      </c>
      <c r="I74" t="s">
        <v>64</v>
      </c>
      <c r="J74" t="s">
        <v>65</v>
      </c>
      <c r="K74">
        <v>8.4000000000000005E-2</v>
      </c>
      <c r="L74">
        <v>1.78</v>
      </c>
      <c r="M74">
        <v>15.8</v>
      </c>
      <c r="N74" t="s">
        <v>66</v>
      </c>
      <c r="O74" t="s">
        <v>67</v>
      </c>
      <c r="P74">
        <v>0.43</v>
      </c>
      <c r="Q74">
        <v>5.7</v>
      </c>
      <c r="R74">
        <v>237</v>
      </c>
      <c r="S74" s="4"/>
      <c r="T74" s="4">
        <v>1</v>
      </c>
      <c r="U74" s="4">
        <v>1</v>
      </c>
      <c r="V74" s="4"/>
      <c r="W74" s="13">
        <f t="shared" si="19"/>
        <v>15.8</v>
      </c>
      <c r="X74" s="15">
        <f t="shared" si="20"/>
        <v>15.8</v>
      </c>
      <c r="Y74" s="15">
        <f t="shared" si="21"/>
        <v>15.8</v>
      </c>
      <c r="Z74" s="4"/>
      <c r="AA74" s="4"/>
      <c r="AB74" s="13"/>
      <c r="AD74" s="4"/>
      <c r="AE74" s="4"/>
      <c r="AF74" s="4">
        <v>1</v>
      </c>
      <c r="AG74" s="4"/>
      <c r="AH74" s="4">
        <f t="shared" si="22"/>
        <v>237</v>
      </c>
      <c r="AI74" s="4">
        <f t="shared" si="4"/>
        <v>237</v>
      </c>
      <c r="AJ74" s="4">
        <f t="shared" si="18"/>
        <v>237</v>
      </c>
      <c r="AK74" s="15"/>
      <c r="AL74" s="4"/>
      <c r="AM74" s="13"/>
      <c r="AO74" s="15"/>
      <c r="AP74" s="4"/>
      <c r="AQ74" s="4"/>
      <c r="AR74" s="4">
        <v>68</v>
      </c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</row>
    <row r="75" spans="1:72">
      <c r="A75" s="1">
        <v>46101</v>
      </c>
      <c r="B75" s="16">
        <v>0.54289351851851853</v>
      </c>
      <c r="C75" t="s">
        <v>221</v>
      </c>
      <c r="D75" t="s">
        <v>93</v>
      </c>
      <c r="E75">
        <v>47</v>
      </c>
      <c r="F75" t="s">
        <v>63</v>
      </c>
      <c r="G75">
        <v>1</v>
      </c>
      <c r="H75">
        <v>1</v>
      </c>
      <c r="I75" t="s">
        <v>64</v>
      </c>
      <c r="J75" t="s">
        <v>65</v>
      </c>
      <c r="K75">
        <v>8.8900000000000007E-2</v>
      </c>
      <c r="L75">
        <v>1.4</v>
      </c>
      <c r="M75">
        <v>4.4800000000000004</v>
      </c>
      <c r="N75" t="s">
        <v>66</v>
      </c>
      <c r="O75" t="s">
        <v>67</v>
      </c>
      <c r="P75">
        <v>3.69</v>
      </c>
      <c r="Q75">
        <v>48.2</v>
      </c>
      <c r="R75">
        <v>2660</v>
      </c>
      <c r="S75" s="4"/>
      <c r="T75" s="4">
        <v>1</v>
      </c>
      <c r="U75" s="4">
        <v>1</v>
      </c>
      <c r="V75" s="4"/>
      <c r="W75" s="13">
        <f t="shared" si="19"/>
        <v>4.4800000000000004</v>
      </c>
      <c r="X75" s="15">
        <f t="shared" si="20"/>
        <v>4.4800000000000004</v>
      </c>
      <c r="Y75" s="15">
        <f t="shared" si="21"/>
        <v>4.4800000000000004</v>
      </c>
      <c r="Z75" s="4"/>
      <c r="AA75" s="4"/>
      <c r="AB75" s="15"/>
      <c r="AC75" s="4"/>
      <c r="AD75" s="4"/>
      <c r="AE75" s="4"/>
      <c r="AF75" s="4">
        <v>2</v>
      </c>
      <c r="AG75" s="4" t="s">
        <v>261</v>
      </c>
      <c r="AH75" s="4">
        <f t="shared" si="22"/>
        <v>2660</v>
      </c>
      <c r="AI75" s="4">
        <f t="shared" si="4"/>
        <v>2660</v>
      </c>
      <c r="AJ75" s="4">
        <f t="shared" si="18"/>
        <v>2660</v>
      </c>
      <c r="AK75" s="15"/>
      <c r="AL75" s="4"/>
      <c r="AM75" s="15"/>
      <c r="AN75" s="4"/>
      <c r="AO75" s="15"/>
      <c r="AP75" s="4"/>
      <c r="AQ75" s="4"/>
      <c r="AR75" s="4">
        <v>69</v>
      </c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</row>
    <row r="76" spans="1:72">
      <c r="A76" s="1">
        <v>46101</v>
      </c>
      <c r="B76" s="16">
        <v>0.54378472222222218</v>
      </c>
      <c r="C76" t="s">
        <v>221</v>
      </c>
      <c r="D76" t="s">
        <v>94</v>
      </c>
      <c r="E76">
        <v>48</v>
      </c>
      <c r="F76" t="s">
        <v>63</v>
      </c>
      <c r="G76">
        <v>1</v>
      </c>
      <c r="H76">
        <v>1</v>
      </c>
      <c r="I76" t="s">
        <v>64</v>
      </c>
      <c r="J76" t="s">
        <v>65</v>
      </c>
      <c r="K76">
        <v>5.9299999999999999E-2</v>
      </c>
      <c r="L76">
        <v>1.33</v>
      </c>
      <c r="M76">
        <v>2.23</v>
      </c>
      <c r="N76" t="s">
        <v>66</v>
      </c>
      <c r="O76" t="s">
        <v>67</v>
      </c>
      <c r="P76">
        <v>1.67</v>
      </c>
      <c r="Q76">
        <v>21.7</v>
      </c>
      <c r="R76">
        <v>1240</v>
      </c>
      <c r="S76" s="4"/>
      <c r="T76" s="4">
        <v>1</v>
      </c>
      <c r="U76" s="4">
        <v>1</v>
      </c>
      <c r="V76" s="4"/>
      <c r="W76" s="13">
        <f t="shared" si="19"/>
        <v>2.23</v>
      </c>
      <c r="X76" s="15">
        <f t="shared" si="20"/>
        <v>2.23</v>
      </c>
      <c r="Y76" s="15">
        <f t="shared" si="21"/>
        <v>2.23</v>
      </c>
      <c r="Z76" s="4"/>
      <c r="AA76" s="4"/>
      <c r="AB76" s="13"/>
      <c r="AF76" s="4">
        <v>1</v>
      </c>
      <c r="AG76" s="4"/>
      <c r="AH76" s="4">
        <f t="shared" si="22"/>
        <v>1240</v>
      </c>
      <c r="AI76" s="4">
        <f t="shared" si="4"/>
        <v>1240</v>
      </c>
      <c r="AJ76" s="4">
        <f t="shared" si="18"/>
        <v>1240</v>
      </c>
      <c r="AK76" s="15"/>
      <c r="AL76" s="4"/>
      <c r="AM76" s="13"/>
      <c r="AO76" s="15"/>
      <c r="AP76" s="4"/>
      <c r="AQ76" s="4"/>
      <c r="AR76" s="4">
        <v>70</v>
      </c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</row>
    <row r="77" spans="1:72">
      <c r="A77" s="1">
        <v>46101</v>
      </c>
      <c r="B77" s="16">
        <v>0.54467592592592595</v>
      </c>
      <c r="C77" t="s">
        <v>221</v>
      </c>
      <c r="D77" t="s">
        <v>95</v>
      </c>
      <c r="E77">
        <v>49</v>
      </c>
      <c r="F77" t="s">
        <v>63</v>
      </c>
      <c r="G77">
        <v>1</v>
      </c>
      <c r="H77">
        <v>1</v>
      </c>
      <c r="I77" t="s">
        <v>64</v>
      </c>
      <c r="J77" t="s">
        <v>65</v>
      </c>
      <c r="K77">
        <v>0.10199999999999999</v>
      </c>
      <c r="L77">
        <v>2.13</v>
      </c>
      <c r="M77">
        <v>26.3</v>
      </c>
      <c r="N77" t="s">
        <v>66</v>
      </c>
      <c r="O77" t="s">
        <v>67</v>
      </c>
      <c r="P77">
        <v>0.75700000000000001</v>
      </c>
      <c r="Q77">
        <v>10.1</v>
      </c>
      <c r="R77">
        <v>522</v>
      </c>
      <c r="S77" s="4"/>
      <c r="T77" s="4">
        <v>1</v>
      </c>
      <c r="U77" s="4">
        <v>1</v>
      </c>
      <c r="V77" s="4"/>
      <c r="W77" s="13">
        <f t="shared" si="19"/>
        <v>26.3</v>
      </c>
      <c r="X77" s="15">
        <f t="shared" si="20"/>
        <v>26.3</v>
      </c>
      <c r="Y77" s="15">
        <f t="shared" si="21"/>
        <v>26.3</v>
      </c>
      <c r="Z77" s="4"/>
      <c r="AA77" s="4"/>
      <c r="AB77" s="13"/>
      <c r="AF77" s="4">
        <v>1</v>
      </c>
      <c r="AG77" s="4"/>
      <c r="AH77" s="4">
        <f t="shared" si="22"/>
        <v>522</v>
      </c>
      <c r="AI77" s="4">
        <f t="shared" ref="AI77:AI140" si="23">IF(T77=1,AH77,(AH77-0))</f>
        <v>522</v>
      </c>
      <c r="AJ77" s="4">
        <f t="shared" si="18"/>
        <v>522</v>
      </c>
      <c r="AK77" s="15"/>
      <c r="AL77" s="4"/>
      <c r="AM77" s="13"/>
      <c r="AO77" s="13"/>
      <c r="AQ77" s="4"/>
      <c r="AR77" s="4">
        <v>71</v>
      </c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</row>
    <row r="78" spans="1:72">
      <c r="A78" s="1">
        <v>46101</v>
      </c>
      <c r="B78" s="16">
        <v>0.54556712962962961</v>
      </c>
      <c r="C78" t="s">
        <v>221</v>
      </c>
      <c r="D78" t="s">
        <v>96</v>
      </c>
      <c r="E78">
        <v>50</v>
      </c>
      <c r="F78" t="s">
        <v>85</v>
      </c>
      <c r="G78">
        <v>1</v>
      </c>
      <c r="H78">
        <v>1</v>
      </c>
      <c r="I78" t="s">
        <v>64</v>
      </c>
      <c r="J78" t="s">
        <v>65</v>
      </c>
      <c r="K78">
        <v>0.78100000000000003</v>
      </c>
      <c r="L78">
        <v>14.1</v>
      </c>
      <c r="M78">
        <v>361</v>
      </c>
      <c r="N78" t="s">
        <v>66</v>
      </c>
      <c r="O78" t="s">
        <v>67</v>
      </c>
      <c r="P78">
        <v>7.59</v>
      </c>
      <c r="Q78">
        <v>94.3</v>
      </c>
      <c r="R78">
        <v>4410</v>
      </c>
      <c r="S78" s="4"/>
      <c r="T78" s="4">
        <v>1</v>
      </c>
      <c r="U78" s="4">
        <v>3</v>
      </c>
      <c r="V78" s="4" t="s">
        <v>193</v>
      </c>
      <c r="W78" s="13">
        <f t="shared" si="19"/>
        <v>361</v>
      </c>
      <c r="X78" s="15">
        <f t="shared" si="20"/>
        <v>361</v>
      </c>
      <c r="Y78" s="15">
        <f t="shared" si="21"/>
        <v>361</v>
      </c>
      <c r="Z78" s="4"/>
      <c r="AA78" s="4"/>
      <c r="AB78" s="13"/>
      <c r="AF78" s="4">
        <v>3</v>
      </c>
      <c r="AG78" s="4" t="s">
        <v>193</v>
      </c>
      <c r="AH78" s="4">
        <f t="shared" si="22"/>
        <v>4410</v>
      </c>
      <c r="AI78" s="4">
        <f t="shared" si="23"/>
        <v>4410</v>
      </c>
      <c r="AJ78" s="4">
        <f t="shared" si="18"/>
        <v>4410</v>
      </c>
      <c r="AK78" s="15"/>
      <c r="AL78" s="4"/>
      <c r="AM78" s="13"/>
      <c r="AO78" s="13"/>
      <c r="AQ78" s="4"/>
      <c r="AR78" s="4">
        <v>72</v>
      </c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</row>
    <row r="79" spans="1:72">
      <c r="A79" s="1">
        <v>46101</v>
      </c>
      <c r="B79" s="16">
        <v>0.54645833333333338</v>
      </c>
      <c r="C79" t="s">
        <v>221</v>
      </c>
      <c r="D79" t="s">
        <v>198</v>
      </c>
      <c r="E79">
        <v>56</v>
      </c>
      <c r="F79" t="s">
        <v>85</v>
      </c>
      <c r="G79">
        <v>1</v>
      </c>
      <c r="H79">
        <v>1</v>
      </c>
      <c r="I79" t="s">
        <v>64</v>
      </c>
      <c r="J79" t="s">
        <v>65</v>
      </c>
      <c r="K79">
        <v>0.78100000000000003</v>
      </c>
      <c r="L79">
        <v>14.2</v>
      </c>
      <c r="M79">
        <v>363</v>
      </c>
      <c r="N79" t="s">
        <v>66</v>
      </c>
      <c r="O79" t="s">
        <v>67</v>
      </c>
      <c r="P79">
        <v>7.28</v>
      </c>
      <c r="Q79">
        <v>108</v>
      </c>
      <c r="R79">
        <v>4750</v>
      </c>
      <c r="S79" s="4"/>
      <c r="T79" s="4">
        <v>1</v>
      </c>
      <c r="U79" s="4">
        <v>1</v>
      </c>
      <c r="V79" s="4"/>
      <c r="W79" s="13">
        <f t="shared" si="19"/>
        <v>363</v>
      </c>
      <c r="X79" s="15">
        <f t="shared" si="20"/>
        <v>363</v>
      </c>
      <c r="Y79" s="15">
        <f t="shared" si="21"/>
        <v>363</v>
      </c>
      <c r="AB79" s="13">
        <f>ABS(100*ABS(Y79-Y78)/AVERAGE(Y79,Y78))</f>
        <v>0.5524861878453039</v>
      </c>
      <c r="AC79" t="str">
        <f>IF(Y79&gt;10, (IF((AND(AB79&gt;=0,AB79&lt;=20)=TRUE),"PASS","FAIL")),(IF((AND(AB79&gt;=0,AB79&lt;=50)=TRUE),"PASS","FAIL")))</f>
        <v>PASS</v>
      </c>
      <c r="AF79" s="4">
        <v>1</v>
      </c>
      <c r="AG79" s="4"/>
      <c r="AH79" s="4">
        <f t="shared" si="22"/>
        <v>4750</v>
      </c>
      <c r="AI79" s="4">
        <f t="shared" si="23"/>
        <v>4750</v>
      </c>
      <c r="AJ79" s="4">
        <f t="shared" si="18"/>
        <v>4750</v>
      </c>
      <c r="AK79" s="15"/>
      <c r="AL79" s="4"/>
      <c r="AM79" s="13">
        <f>ABS(100*ABS(AJ79-AJ78)/AVERAGE(AJ79,AJ78))</f>
        <v>7.4235807860262009</v>
      </c>
      <c r="AN79" t="str">
        <f>IF(AJ79&gt;10, (IF((AND(AM79&gt;=0,AM79&lt;=20)=TRUE),"PASS","FAIL")),(IF((AND(AM79&gt;=0,AM79&lt;=50)=TRUE),"PASS","FAIL")))</f>
        <v>PASS</v>
      </c>
      <c r="AO79" s="13"/>
      <c r="AQ79" s="4"/>
      <c r="AR79" s="4">
        <v>73</v>
      </c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</row>
    <row r="80" spans="1:72">
      <c r="A80" s="1">
        <v>46101</v>
      </c>
      <c r="B80" s="16">
        <v>0.547337962962963</v>
      </c>
      <c r="C80" t="s">
        <v>221</v>
      </c>
      <c r="D80" t="s">
        <v>62</v>
      </c>
      <c r="E80">
        <v>51</v>
      </c>
      <c r="F80" t="s">
        <v>63</v>
      </c>
      <c r="G80">
        <v>1</v>
      </c>
      <c r="H80">
        <v>1</v>
      </c>
      <c r="I80" t="s">
        <v>64</v>
      </c>
      <c r="J80" t="s">
        <v>65</v>
      </c>
      <c r="K80">
        <v>0.40500000000000003</v>
      </c>
      <c r="L80">
        <v>7.53</v>
      </c>
      <c r="M80">
        <v>182</v>
      </c>
      <c r="N80" t="s">
        <v>66</v>
      </c>
      <c r="O80" t="s">
        <v>67</v>
      </c>
      <c r="P80">
        <v>1.99</v>
      </c>
      <c r="Q80">
        <v>25.8</v>
      </c>
      <c r="R80">
        <v>1480</v>
      </c>
      <c r="S80" s="4"/>
      <c r="T80" s="4">
        <v>1</v>
      </c>
      <c r="U80" s="4">
        <v>3</v>
      </c>
      <c r="V80" s="4" t="s">
        <v>193</v>
      </c>
      <c r="W80" s="13">
        <f t="shared" si="19"/>
        <v>182</v>
      </c>
      <c r="X80" s="15">
        <f t="shared" si="20"/>
        <v>182</v>
      </c>
      <c r="Y80" s="15">
        <f t="shared" si="21"/>
        <v>182</v>
      </c>
      <c r="Z80" s="4"/>
      <c r="AA80" s="4"/>
      <c r="AB80" s="13"/>
      <c r="AF80" s="4">
        <v>1</v>
      </c>
      <c r="AG80" s="4"/>
      <c r="AH80" s="4">
        <f t="shared" si="22"/>
        <v>1480</v>
      </c>
      <c r="AI80" s="4">
        <f t="shared" si="23"/>
        <v>1480</v>
      </c>
      <c r="AJ80" s="4">
        <f t="shared" si="18"/>
        <v>1480</v>
      </c>
      <c r="AM80" s="13"/>
      <c r="AO80" s="13"/>
      <c r="AQ80" s="4"/>
      <c r="AR80" s="4">
        <v>74</v>
      </c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</row>
    <row r="81" spans="1:72">
      <c r="A81" s="1">
        <v>46101</v>
      </c>
      <c r="B81" s="16">
        <v>0.54822916666666666</v>
      </c>
      <c r="C81" t="s">
        <v>221</v>
      </c>
      <c r="D81" t="s">
        <v>97</v>
      </c>
      <c r="E81">
        <v>52</v>
      </c>
      <c r="F81" t="s">
        <v>63</v>
      </c>
      <c r="G81">
        <v>1</v>
      </c>
      <c r="H81">
        <v>1</v>
      </c>
      <c r="I81" t="s">
        <v>64</v>
      </c>
      <c r="J81" t="s">
        <v>65</v>
      </c>
      <c r="K81">
        <v>0.54200000000000004</v>
      </c>
      <c r="L81">
        <v>9.98</v>
      </c>
      <c r="M81">
        <v>250</v>
      </c>
      <c r="N81" t="s">
        <v>66</v>
      </c>
      <c r="O81" t="s">
        <v>67</v>
      </c>
      <c r="P81">
        <v>3.3</v>
      </c>
      <c r="Q81">
        <v>43.1</v>
      </c>
      <c r="R81">
        <v>2410</v>
      </c>
      <c r="S81" s="4"/>
      <c r="T81" s="4">
        <v>1</v>
      </c>
      <c r="U81" s="4">
        <v>3</v>
      </c>
      <c r="V81" s="4" t="s">
        <v>193</v>
      </c>
      <c r="W81" s="13">
        <f t="shared" si="19"/>
        <v>250</v>
      </c>
      <c r="X81" s="15">
        <f t="shared" si="20"/>
        <v>250</v>
      </c>
      <c r="Y81" s="15">
        <f t="shared" si="21"/>
        <v>250</v>
      </c>
      <c r="Z81" s="4"/>
      <c r="AA81" s="4"/>
      <c r="AB81" s="13"/>
      <c r="AD81" s="4"/>
      <c r="AE81" s="4"/>
      <c r="AF81" s="4">
        <v>3</v>
      </c>
      <c r="AG81" s="4" t="s">
        <v>193</v>
      </c>
      <c r="AH81" s="4">
        <f t="shared" si="22"/>
        <v>2410</v>
      </c>
      <c r="AI81" s="4">
        <f t="shared" si="23"/>
        <v>2410</v>
      </c>
      <c r="AJ81" s="4">
        <f t="shared" si="18"/>
        <v>2410</v>
      </c>
      <c r="AK81" s="15"/>
      <c r="AL81" s="4"/>
      <c r="AM81" s="13"/>
      <c r="AO81" s="13"/>
      <c r="AQ81" s="4"/>
      <c r="AR81" s="4">
        <v>75</v>
      </c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</row>
    <row r="82" spans="1:72">
      <c r="A82" s="1">
        <v>46101</v>
      </c>
      <c r="B82" s="16">
        <v>0.54912037037037043</v>
      </c>
      <c r="C82" t="s">
        <v>221</v>
      </c>
      <c r="D82" t="s">
        <v>98</v>
      </c>
      <c r="E82">
        <v>53</v>
      </c>
      <c r="F82" t="s">
        <v>63</v>
      </c>
      <c r="G82">
        <v>1</v>
      </c>
      <c r="H82">
        <v>1</v>
      </c>
      <c r="I82" t="s">
        <v>64</v>
      </c>
      <c r="J82" t="s">
        <v>65</v>
      </c>
      <c r="K82">
        <v>6.4899999999999999E-2</v>
      </c>
      <c r="L82">
        <v>1.41</v>
      </c>
      <c r="M82">
        <v>4.67</v>
      </c>
      <c r="N82" t="s">
        <v>66</v>
      </c>
      <c r="O82" t="s">
        <v>67</v>
      </c>
      <c r="P82">
        <v>0.36199999999999999</v>
      </c>
      <c r="Q82">
        <v>4.87</v>
      </c>
      <c r="R82">
        <v>181</v>
      </c>
      <c r="S82" s="4"/>
      <c r="T82" s="4">
        <v>1</v>
      </c>
      <c r="U82" s="4">
        <v>1</v>
      </c>
      <c r="V82" s="4"/>
      <c r="W82" s="13">
        <f t="shared" si="19"/>
        <v>4.67</v>
      </c>
      <c r="X82" s="15">
        <f t="shared" si="20"/>
        <v>4.67</v>
      </c>
      <c r="Y82" s="15">
        <f t="shared" si="21"/>
        <v>4.67</v>
      </c>
      <c r="Z82" s="4"/>
      <c r="AA82" s="4"/>
      <c r="AB82" s="15"/>
      <c r="AC82" s="4"/>
      <c r="AF82" s="4">
        <v>1</v>
      </c>
      <c r="AG82" s="4"/>
      <c r="AH82" s="4">
        <f t="shared" si="22"/>
        <v>181</v>
      </c>
      <c r="AI82" s="4">
        <f t="shared" si="23"/>
        <v>181</v>
      </c>
      <c r="AJ82" s="4">
        <f t="shared" si="18"/>
        <v>181</v>
      </c>
      <c r="AM82" s="13"/>
      <c r="AO82" s="13"/>
      <c r="AQ82" s="4"/>
      <c r="AR82" s="4">
        <v>76</v>
      </c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</row>
    <row r="83" spans="1:72">
      <c r="A83" s="1">
        <v>46101</v>
      </c>
      <c r="B83" s="16">
        <v>0.55000000000000004</v>
      </c>
      <c r="C83" t="s">
        <v>221</v>
      </c>
      <c r="D83" t="s">
        <v>99</v>
      </c>
      <c r="E83">
        <v>54</v>
      </c>
      <c r="F83" t="s">
        <v>63</v>
      </c>
      <c r="G83">
        <v>1</v>
      </c>
      <c r="H83">
        <v>1</v>
      </c>
      <c r="I83" t="s">
        <v>64</v>
      </c>
      <c r="J83" t="s">
        <v>65</v>
      </c>
      <c r="K83">
        <v>7.17E-2</v>
      </c>
      <c r="L83">
        <v>1.57</v>
      </c>
      <c r="M83">
        <v>9.41</v>
      </c>
      <c r="N83" t="s">
        <v>66</v>
      </c>
      <c r="O83" t="s">
        <v>67</v>
      </c>
      <c r="P83">
        <v>0.34</v>
      </c>
      <c r="Q83">
        <v>4.5599999999999996</v>
      </c>
      <c r="R83">
        <v>161</v>
      </c>
      <c r="S83" s="4"/>
      <c r="T83" s="4">
        <v>1</v>
      </c>
      <c r="U83" s="4">
        <v>1</v>
      </c>
      <c r="V83" s="4"/>
      <c r="W83" s="13">
        <f t="shared" si="19"/>
        <v>9.41</v>
      </c>
      <c r="X83" s="15">
        <f t="shared" si="20"/>
        <v>9.41</v>
      </c>
      <c r="Y83" s="15">
        <f t="shared" si="21"/>
        <v>9.41</v>
      </c>
      <c r="Z83" s="4"/>
      <c r="AA83" s="4"/>
      <c r="AB83" s="13"/>
      <c r="AF83" s="4">
        <v>1</v>
      </c>
      <c r="AG83" s="4"/>
      <c r="AH83" s="4">
        <f t="shared" si="22"/>
        <v>161</v>
      </c>
      <c r="AI83" s="4">
        <f t="shared" si="23"/>
        <v>161</v>
      </c>
      <c r="AJ83" s="4">
        <f t="shared" si="18"/>
        <v>161</v>
      </c>
      <c r="AK83" s="15"/>
      <c r="AL83" s="4"/>
      <c r="AM83" s="13"/>
      <c r="AO83" s="15"/>
      <c r="AP83" s="4"/>
      <c r="AQ83" s="4"/>
      <c r="AR83" s="4">
        <v>77</v>
      </c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</row>
    <row r="84" spans="1:72">
      <c r="A84" s="1">
        <v>46101</v>
      </c>
      <c r="B84" s="16">
        <v>0.55087962962962966</v>
      </c>
      <c r="C84" t="s">
        <v>221</v>
      </c>
      <c r="D84" t="s">
        <v>100</v>
      </c>
      <c r="E84">
        <v>55</v>
      </c>
      <c r="F84" t="s">
        <v>91</v>
      </c>
      <c r="G84">
        <v>1</v>
      </c>
      <c r="H84">
        <v>1</v>
      </c>
      <c r="I84" t="s">
        <v>64</v>
      </c>
      <c r="J84" t="s">
        <v>65</v>
      </c>
      <c r="K84">
        <v>0.28499999999999998</v>
      </c>
      <c r="L84">
        <v>5.4</v>
      </c>
      <c r="M84">
        <v>122</v>
      </c>
      <c r="N84" t="s">
        <v>66</v>
      </c>
      <c r="O84" t="s">
        <v>67</v>
      </c>
      <c r="P84">
        <v>1.73</v>
      </c>
      <c r="Q84">
        <v>22.4</v>
      </c>
      <c r="R84">
        <v>1280</v>
      </c>
      <c r="S84" s="4"/>
      <c r="T84" s="4">
        <v>1</v>
      </c>
      <c r="U84" s="4">
        <v>1</v>
      </c>
      <c r="V84" s="4"/>
      <c r="W84" s="13">
        <f t="shared" si="19"/>
        <v>122</v>
      </c>
      <c r="X84" s="15">
        <f t="shared" si="20"/>
        <v>122</v>
      </c>
      <c r="Y84" s="15">
        <f t="shared" si="21"/>
        <v>122</v>
      </c>
      <c r="Z84" s="4"/>
      <c r="AA84" s="4"/>
      <c r="AB84" s="15"/>
      <c r="AC84" s="4"/>
      <c r="AF84" s="4">
        <v>1</v>
      </c>
      <c r="AG84" s="4"/>
      <c r="AH84" s="4">
        <f t="shared" si="22"/>
        <v>1280</v>
      </c>
      <c r="AI84" s="4">
        <f t="shared" si="23"/>
        <v>1280</v>
      </c>
      <c r="AJ84" s="4">
        <f t="shared" si="18"/>
        <v>1280</v>
      </c>
      <c r="AK84" s="15"/>
      <c r="AL84" s="4"/>
      <c r="AM84" s="15"/>
      <c r="AN84" s="4"/>
      <c r="AO84" s="13"/>
      <c r="AQ84" s="4"/>
      <c r="AR84" s="4">
        <v>78</v>
      </c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</row>
    <row r="85" spans="1:72">
      <c r="A85" s="1">
        <v>46101</v>
      </c>
      <c r="B85" s="16">
        <v>0.55175925925925928</v>
      </c>
      <c r="C85" t="s">
        <v>221</v>
      </c>
      <c r="D85" t="s">
        <v>199</v>
      </c>
      <c r="E85">
        <v>57</v>
      </c>
      <c r="F85" t="s">
        <v>91</v>
      </c>
      <c r="G85">
        <v>1</v>
      </c>
      <c r="H85">
        <v>1</v>
      </c>
      <c r="I85" t="s">
        <v>64</v>
      </c>
      <c r="J85" t="s">
        <v>65</v>
      </c>
      <c r="K85">
        <v>0.33600000000000002</v>
      </c>
      <c r="L85">
        <v>6.36</v>
      </c>
      <c r="M85">
        <v>149</v>
      </c>
      <c r="N85" t="s">
        <v>66</v>
      </c>
      <c r="O85" t="s">
        <v>67</v>
      </c>
      <c r="P85">
        <v>2.1</v>
      </c>
      <c r="Q85">
        <v>27.2</v>
      </c>
      <c r="R85">
        <v>1560</v>
      </c>
      <c r="S85" s="4"/>
      <c r="T85" s="4">
        <v>1</v>
      </c>
      <c r="U85" s="4">
        <v>1</v>
      </c>
      <c r="V85" s="4"/>
      <c r="W85" s="13">
        <f t="shared" si="19"/>
        <v>149</v>
      </c>
      <c r="X85" s="15">
        <f t="shared" si="20"/>
        <v>149</v>
      </c>
      <c r="Y85" s="15">
        <f t="shared" si="21"/>
        <v>149</v>
      </c>
      <c r="Z85" s="4"/>
      <c r="AA85" s="4"/>
      <c r="AB85" s="13"/>
      <c r="AD85">
        <f>100*((Y85*10250)-(Y84*10000))/(1000*250)</f>
        <v>122.9</v>
      </c>
      <c r="AE85" t="str">
        <f>IF(Y85&gt;30, (IF((AND(AD85&gt;=80,AD85&lt;=120)=TRUE),"PASS","FAIL")),(IF((AND(AD85&gt;=50,AD85&lt;=150)=TRUE),"PASS","FAIL")))</f>
        <v>FAIL</v>
      </c>
      <c r="AF85" s="4">
        <v>1</v>
      </c>
      <c r="AG85" s="4"/>
      <c r="AH85" s="4">
        <f t="shared" si="22"/>
        <v>1560</v>
      </c>
      <c r="AI85" s="4">
        <f t="shared" si="23"/>
        <v>1560</v>
      </c>
      <c r="AJ85" s="4">
        <f t="shared" si="18"/>
        <v>1560</v>
      </c>
      <c r="AK85" s="15"/>
      <c r="AL85" s="4"/>
      <c r="AM85" s="13"/>
      <c r="AO85" s="13">
        <f>100*((AJ85*10250)-(AJ84*10000))/(1000*2500)</f>
        <v>127.6</v>
      </c>
      <c r="AP85" t="str">
        <f>IF(AJ85&gt;30, (IF((AND(AO85&gt;=80,AO85&lt;=120)=TRUE),"PASS","FAIL")),(IF((AND(AO85&gt;=50,AO85&lt;=150)=TRUE),"PASS","FAIL")))</f>
        <v>FAIL</v>
      </c>
      <c r="AQ85" s="4"/>
      <c r="AR85" s="4">
        <v>79</v>
      </c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</row>
    <row r="86" spans="1:72">
      <c r="A86" s="1">
        <v>46101</v>
      </c>
      <c r="B86" s="16">
        <v>0.55265046296296294</v>
      </c>
      <c r="C86" t="s">
        <v>221</v>
      </c>
      <c r="D86" t="s">
        <v>186</v>
      </c>
      <c r="E86" t="s">
        <v>72</v>
      </c>
      <c r="F86" t="s">
        <v>92</v>
      </c>
      <c r="G86">
        <v>1</v>
      </c>
      <c r="H86">
        <v>1</v>
      </c>
      <c r="I86" t="s">
        <v>64</v>
      </c>
      <c r="J86" t="s">
        <v>65</v>
      </c>
      <c r="K86">
        <v>1.17E-2</v>
      </c>
      <c r="L86">
        <v>0.124</v>
      </c>
      <c r="M86">
        <v>-34.1</v>
      </c>
      <c r="N86" t="s">
        <v>66</v>
      </c>
      <c r="O86" t="s">
        <v>67</v>
      </c>
      <c r="P86">
        <v>2.0199999999999999E-2</v>
      </c>
      <c r="Q86">
        <v>0.41</v>
      </c>
      <c r="R86">
        <v>-120</v>
      </c>
      <c r="S86" s="4"/>
      <c r="T86" s="4">
        <v>1</v>
      </c>
      <c r="U86" s="4">
        <v>1</v>
      </c>
      <c r="V86" s="4"/>
      <c r="W86" s="13">
        <f t="shared" si="19"/>
        <v>-34.1</v>
      </c>
      <c r="X86" s="15">
        <f t="shared" si="20"/>
        <v>-34.1</v>
      </c>
      <c r="Y86" s="15">
        <f t="shared" si="21"/>
        <v>-34.1</v>
      </c>
      <c r="Z86" s="4"/>
      <c r="AA86" s="4"/>
      <c r="AB86" s="15"/>
      <c r="AC86" s="4"/>
      <c r="AF86" s="4">
        <v>1</v>
      </c>
      <c r="AG86" s="4"/>
      <c r="AH86" s="4">
        <f t="shared" si="22"/>
        <v>-120</v>
      </c>
      <c r="AI86" s="4">
        <f t="shared" si="23"/>
        <v>-120</v>
      </c>
      <c r="AJ86" s="4">
        <f t="shared" si="18"/>
        <v>-120</v>
      </c>
      <c r="AK86" s="15"/>
      <c r="AL86" s="4"/>
      <c r="AM86" s="15"/>
      <c r="AN86" s="4"/>
      <c r="AO86" s="13"/>
      <c r="AQ86" s="4"/>
      <c r="AR86" s="4">
        <v>80</v>
      </c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</row>
    <row r="87" spans="1:72">
      <c r="A87" s="1">
        <v>46101</v>
      </c>
      <c r="B87" s="16">
        <v>0.55353009259259256</v>
      </c>
      <c r="C87" t="s">
        <v>221</v>
      </c>
      <c r="D87" t="s">
        <v>196</v>
      </c>
      <c r="E87">
        <v>15</v>
      </c>
      <c r="F87" t="s">
        <v>92</v>
      </c>
      <c r="G87">
        <v>1</v>
      </c>
      <c r="H87">
        <v>1</v>
      </c>
      <c r="I87" t="s">
        <v>64</v>
      </c>
      <c r="J87" t="s">
        <v>65</v>
      </c>
      <c r="K87">
        <v>0.10100000000000001</v>
      </c>
      <c r="L87">
        <v>2.0699999999999998</v>
      </c>
      <c r="M87">
        <v>24.3</v>
      </c>
      <c r="N87" t="s">
        <v>66</v>
      </c>
      <c r="O87" t="s">
        <v>67</v>
      </c>
      <c r="P87">
        <v>0.47399999999999998</v>
      </c>
      <c r="Q87">
        <v>6.32</v>
      </c>
      <c r="R87">
        <v>277</v>
      </c>
      <c r="S87" s="4"/>
      <c r="T87" s="4">
        <v>1</v>
      </c>
      <c r="U87" s="4">
        <v>1</v>
      </c>
      <c r="V87" s="4"/>
      <c r="W87" s="13">
        <f t="shared" si="19"/>
        <v>24.3</v>
      </c>
      <c r="X87" s="15">
        <f t="shared" si="20"/>
        <v>24.3</v>
      </c>
      <c r="Y87" s="15">
        <f t="shared" si="21"/>
        <v>24.3</v>
      </c>
      <c r="Z87" s="4">
        <f>100*(Y87-25)/25</f>
        <v>-2.7999999999999972</v>
      </c>
      <c r="AA87" s="4" t="str">
        <f>IF((ABS(Z87))&lt;=20,"PASS","FAIL")</f>
        <v>PASS</v>
      </c>
      <c r="AB87" s="13"/>
      <c r="AF87" s="4">
        <v>1</v>
      </c>
      <c r="AG87" s="4"/>
      <c r="AH87" s="4">
        <f t="shared" si="22"/>
        <v>277</v>
      </c>
      <c r="AI87" s="4">
        <f t="shared" si="23"/>
        <v>277</v>
      </c>
      <c r="AJ87" s="4">
        <f t="shared" si="18"/>
        <v>277</v>
      </c>
      <c r="AK87" s="15">
        <f>100*(AJ87-250)/250</f>
        <v>10.8</v>
      </c>
      <c r="AL87" s="4" t="str">
        <f>IF((ABS(AK87))&lt;=20,"PASS","FAIL")</f>
        <v>PASS</v>
      </c>
      <c r="AM87" s="13"/>
      <c r="AO87" s="13"/>
      <c r="AQ87" s="4"/>
      <c r="AR87" s="4">
        <v>81</v>
      </c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</row>
    <row r="88" spans="1:72">
      <c r="A88" s="1">
        <v>46101</v>
      </c>
      <c r="B88" s="16">
        <v>0.55440972222222218</v>
      </c>
      <c r="C88" t="s">
        <v>221</v>
      </c>
      <c r="D88" t="s">
        <v>194</v>
      </c>
      <c r="E88" t="s">
        <v>68</v>
      </c>
      <c r="F88" t="s">
        <v>63</v>
      </c>
      <c r="G88">
        <v>1</v>
      </c>
      <c r="H88">
        <v>1</v>
      </c>
      <c r="I88" t="s">
        <v>64</v>
      </c>
      <c r="J88" t="s">
        <v>65</v>
      </c>
      <c r="K88">
        <v>0.14599999999999999</v>
      </c>
      <c r="L88">
        <v>1.79</v>
      </c>
      <c r="M88">
        <v>16</v>
      </c>
      <c r="N88" t="s">
        <v>66</v>
      </c>
      <c r="O88" t="s">
        <v>67</v>
      </c>
      <c r="P88">
        <v>7.95</v>
      </c>
      <c r="Q88">
        <v>150</v>
      </c>
      <c r="R88">
        <v>5300</v>
      </c>
      <c r="S88" s="4">
        <f>100*(Q89/Q88)</f>
        <v>98</v>
      </c>
      <c r="T88" s="4">
        <v>1</v>
      </c>
      <c r="U88" s="4">
        <v>1</v>
      </c>
      <c r="V88" s="4"/>
      <c r="W88" s="13">
        <f t="shared" si="19"/>
        <v>16</v>
      </c>
      <c r="X88" s="15">
        <f t="shared" si="20"/>
        <v>16</v>
      </c>
      <c r="Y88" s="15">
        <f t="shared" si="21"/>
        <v>16</v>
      </c>
      <c r="Z88" s="4"/>
      <c r="AA88" s="4"/>
      <c r="AB88" s="13"/>
      <c r="AD88" s="4"/>
      <c r="AE88" s="4"/>
      <c r="AF88" s="4">
        <v>1</v>
      </c>
      <c r="AG88" s="4"/>
      <c r="AH88" s="4">
        <f t="shared" si="22"/>
        <v>5300</v>
      </c>
      <c r="AI88" s="4">
        <f t="shared" si="23"/>
        <v>5300</v>
      </c>
      <c r="AJ88" s="4">
        <f t="shared" si="18"/>
        <v>5300</v>
      </c>
      <c r="AK88" s="15"/>
      <c r="AL88" s="4"/>
      <c r="AM88" s="13"/>
      <c r="AO88" s="15"/>
      <c r="AP88" s="4"/>
      <c r="AQ88" s="4"/>
      <c r="AR88" s="4">
        <v>82</v>
      </c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</row>
    <row r="89" spans="1:72">
      <c r="A89" s="1">
        <v>46101</v>
      </c>
      <c r="B89" s="16">
        <v>0.55530092592592595</v>
      </c>
      <c r="C89" t="s">
        <v>221</v>
      </c>
      <c r="D89" t="s">
        <v>195</v>
      </c>
      <c r="E89" t="s">
        <v>69</v>
      </c>
      <c r="F89" t="s">
        <v>63</v>
      </c>
      <c r="G89">
        <v>1</v>
      </c>
      <c r="H89">
        <v>1</v>
      </c>
      <c r="I89" t="s">
        <v>64</v>
      </c>
      <c r="J89" t="s">
        <v>65</v>
      </c>
      <c r="K89">
        <v>0.14399999999999999</v>
      </c>
      <c r="L89">
        <v>1.75</v>
      </c>
      <c r="M89">
        <v>14.8</v>
      </c>
      <c r="N89" t="s">
        <v>66</v>
      </c>
      <c r="O89" t="s">
        <v>67</v>
      </c>
      <c r="P89">
        <v>7.94</v>
      </c>
      <c r="Q89">
        <v>147</v>
      </c>
      <c r="R89">
        <v>5290</v>
      </c>
      <c r="S89" s="4"/>
      <c r="T89" s="4">
        <v>1</v>
      </c>
      <c r="U89" s="4">
        <v>1</v>
      </c>
      <c r="V89" s="4"/>
      <c r="W89" s="13">
        <f t="shared" si="19"/>
        <v>14.8</v>
      </c>
      <c r="X89" s="15">
        <f t="shared" si="20"/>
        <v>14.8</v>
      </c>
      <c r="Y89" s="15">
        <f t="shared" si="21"/>
        <v>14.8</v>
      </c>
      <c r="Z89" s="4"/>
      <c r="AA89" s="4"/>
      <c r="AB89" s="15"/>
      <c r="AC89" s="4"/>
      <c r="AD89" s="4"/>
      <c r="AE89" s="4"/>
      <c r="AF89" s="4">
        <v>1</v>
      </c>
      <c r="AG89" s="4"/>
      <c r="AH89" s="4">
        <f t="shared" si="22"/>
        <v>5290</v>
      </c>
      <c r="AI89" s="4">
        <f t="shared" si="23"/>
        <v>5290</v>
      </c>
      <c r="AJ89" s="4">
        <f t="shared" si="18"/>
        <v>5290</v>
      </c>
      <c r="AK89" s="15"/>
      <c r="AL89" s="4"/>
      <c r="AM89" s="15"/>
      <c r="AN89" s="4"/>
      <c r="AO89" s="15"/>
      <c r="AP89" s="4"/>
      <c r="AQ89" s="4"/>
      <c r="AR89" s="4">
        <v>83</v>
      </c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</row>
    <row r="90" spans="1:72">
      <c r="A90" s="1">
        <v>46101</v>
      </c>
      <c r="B90" s="16">
        <v>0.55615740740740738</v>
      </c>
      <c r="C90" t="s">
        <v>221</v>
      </c>
      <c r="D90" t="s">
        <v>102</v>
      </c>
      <c r="E90">
        <v>58</v>
      </c>
      <c r="F90" t="s">
        <v>63</v>
      </c>
      <c r="G90">
        <v>1</v>
      </c>
      <c r="H90">
        <v>1</v>
      </c>
      <c r="I90" t="s">
        <v>64</v>
      </c>
      <c r="J90" t="s">
        <v>65</v>
      </c>
      <c r="K90">
        <v>0.17299999999999999</v>
      </c>
      <c r="L90">
        <v>3.3</v>
      </c>
      <c r="M90">
        <v>60.8</v>
      </c>
      <c r="N90" t="s">
        <v>66</v>
      </c>
      <c r="O90" t="s">
        <v>67</v>
      </c>
      <c r="P90">
        <v>0.77</v>
      </c>
      <c r="Q90">
        <v>10.1</v>
      </c>
      <c r="R90">
        <v>523</v>
      </c>
      <c r="S90" s="4"/>
      <c r="T90" s="4">
        <v>1</v>
      </c>
      <c r="U90" s="4">
        <v>3</v>
      </c>
      <c r="V90" s="4" t="s">
        <v>258</v>
      </c>
      <c r="W90" s="13">
        <f t="shared" si="19"/>
        <v>60.8</v>
      </c>
      <c r="X90" s="15">
        <f t="shared" si="20"/>
        <v>60.8</v>
      </c>
      <c r="Y90" s="15">
        <f t="shared" si="21"/>
        <v>60.8</v>
      </c>
      <c r="AB90" s="13"/>
      <c r="AD90" s="4"/>
      <c r="AE90" s="4"/>
      <c r="AF90" s="4">
        <v>3</v>
      </c>
      <c r="AG90" s="4" t="s">
        <v>259</v>
      </c>
      <c r="AH90" s="4">
        <f t="shared" si="22"/>
        <v>523</v>
      </c>
      <c r="AI90" s="4">
        <f t="shared" si="23"/>
        <v>523</v>
      </c>
      <c r="AJ90" s="4">
        <f t="shared" si="18"/>
        <v>523</v>
      </c>
      <c r="AM90" s="13"/>
      <c r="AO90" s="15"/>
      <c r="AP90" s="4"/>
      <c r="AQ90" s="4"/>
      <c r="AR90" s="4">
        <v>84</v>
      </c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</row>
    <row r="91" spans="1:72">
      <c r="A91" s="1">
        <v>46101</v>
      </c>
      <c r="B91" s="16">
        <v>0.557037037037037</v>
      </c>
      <c r="C91" t="s">
        <v>221</v>
      </c>
      <c r="D91" t="s">
        <v>103</v>
      </c>
      <c r="E91">
        <v>59</v>
      </c>
      <c r="F91" t="s">
        <v>63</v>
      </c>
      <c r="G91">
        <v>1</v>
      </c>
      <c r="H91">
        <v>1</v>
      </c>
      <c r="I91" t="s">
        <v>64</v>
      </c>
      <c r="J91" t="s">
        <v>65</v>
      </c>
      <c r="K91">
        <v>7.1499999999999994E-2</v>
      </c>
      <c r="L91">
        <v>1.5</v>
      </c>
      <c r="M91">
        <v>7.52</v>
      </c>
      <c r="N91" t="s">
        <v>66</v>
      </c>
      <c r="O91" t="s">
        <v>67</v>
      </c>
      <c r="P91">
        <v>1.1000000000000001</v>
      </c>
      <c r="Q91">
        <v>14.4</v>
      </c>
      <c r="R91">
        <v>793</v>
      </c>
      <c r="S91" s="4"/>
      <c r="T91" s="4">
        <v>1</v>
      </c>
      <c r="U91" s="4">
        <v>1</v>
      </c>
      <c r="V91" s="4"/>
      <c r="W91" s="13">
        <f t="shared" si="19"/>
        <v>7.52</v>
      </c>
      <c r="X91" s="15">
        <f t="shared" si="20"/>
        <v>7.52</v>
      </c>
      <c r="Y91" s="15">
        <f t="shared" si="21"/>
        <v>7.52</v>
      </c>
      <c r="AB91" s="13"/>
      <c r="AF91" s="4">
        <v>1</v>
      </c>
      <c r="AG91" s="4"/>
      <c r="AH91" s="4">
        <f t="shared" si="22"/>
        <v>793</v>
      </c>
      <c r="AI91" s="4">
        <f t="shared" si="23"/>
        <v>793</v>
      </c>
      <c r="AJ91" s="4">
        <f t="shared" si="18"/>
        <v>793</v>
      </c>
      <c r="AM91" s="13"/>
      <c r="AO91" s="13"/>
      <c r="AQ91" s="4"/>
      <c r="AR91" s="4">
        <v>85</v>
      </c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</row>
    <row r="92" spans="1:72">
      <c r="A92" s="1">
        <v>46101</v>
      </c>
      <c r="B92" s="16">
        <v>0.55791666666666662</v>
      </c>
      <c r="C92" t="s">
        <v>221</v>
      </c>
      <c r="D92" t="s">
        <v>104</v>
      </c>
      <c r="E92">
        <v>60</v>
      </c>
      <c r="F92" t="s">
        <v>63</v>
      </c>
      <c r="G92">
        <v>1</v>
      </c>
      <c r="H92">
        <v>1</v>
      </c>
      <c r="I92" t="s">
        <v>64</v>
      </c>
      <c r="J92" t="s">
        <v>65</v>
      </c>
      <c r="K92">
        <v>5.91E-2</v>
      </c>
      <c r="L92">
        <v>1.29</v>
      </c>
      <c r="M92">
        <v>1.05</v>
      </c>
      <c r="N92" t="s">
        <v>66</v>
      </c>
      <c r="O92" t="s">
        <v>67</v>
      </c>
      <c r="P92">
        <v>3.29</v>
      </c>
      <c r="Q92">
        <v>43</v>
      </c>
      <c r="R92">
        <v>2400</v>
      </c>
      <c r="S92" s="4"/>
      <c r="T92" s="4">
        <v>1</v>
      </c>
      <c r="U92" s="4">
        <v>1</v>
      </c>
      <c r="V92" s="4"/>
      <c r="W92" s="13">
        <f t="shared" ref="W92:W123" si="24">M92*H92</f>
        <v>1.05</v>
      </c>
      <c r="X92" s="15">
        <f t="shared" ref="X92:X123" si="25">IF(T92=1,W92,(W92-0))</f>
        <v>1.05</v>
      </c>
      <c r="Y92" s="15">
        <f t="shared" ref="Y92:Y123" si="26">IF(T92=1,W92,(X92*T92))</f>
        <v>1.05</v>
      </c>
      <c r="Z92" s="4"/>
      <c r="AA92" s="4"/>
      <c r="AB92" s="13"/>
      <c r="AF92" s="4">
        <v>3</v>
      </c>
      <c r="AG92" s="4" t="s">
        <v>193</v>
      </c>
      <c r="AH92" s="4">
        <f t="shared" si="22"/>
        <v>2400</v>
      </c>
      <c r="AI92" s="4">
        <f t="shared" si="23"/>
        <v>2400</v>
      </c>
      <c r="AJ92" s="4">
        <f t="shared" si="18"/>
        <v>2400</v>
      </c>
      <c r="AK92" s="15"/>
      <c r="AL92" s="4"/>
      <c r="AM92" s="13"/>
      <c r="AO92" s="13"/>
      <c r="AQ92" s="4"/>
      <c r="AR92" s="4">
        <v>86</v>
      </c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</row>
    <row r="93" spans="1:72">
      <c r="A93" s="1">
        <v>46101</v>
      </c>
      <c r="B93" s="16">
        <v>0.55883101851851846</v>
      </c>
      <c r="C93" t="s">
        <v>221</v>
      </c>
      <c r="D93" t="s">
        <v>105</v>
      </c>
      <c r="E93">
        <v>61</v>
      </c>
      <c r="F93" t="s">
        <v>63</v>
      </c>
      <c r="G93">
        <v>1</v>
      </c>
      <c r="H93">
        <v>1</v>
      </c>
      <c r="I93" t="s">
        <v>64</v>
      </c>
      <c r="J93" t="s">
        <v>65</v>
      </c>
      <c r="K93">
        <v>6.4299999999999996E-2</v>
      </c>
      <c r="L93">
        <v>1.4</v>
      </c>
      <c r="M93">
        <v>4.29</v>
      </c>
      <c r="N93" t="s">
        <v>66</v>
      </c>
      <c r="O93" t="s">
        <v>67</v>
      </c>
      <c r="P93">
        <v>2.0299999999999998</v>
      </c>
      <c r="Q93">
        <v>26.5</v>
      </c>
      <c r="R93">
        <v>1520</v>
      </c>
      <c r="T93" s="4">
        <v>1</v>
      </c>
      <c r="U93" s="4">
        <v>1</v>
      </c>
      <c r="V93" s="4"/>
      <c r="W93" s="13">
        <f t="shared" si="24"/>
        <v>4.29</v>
      </c>
      <c r="X93" s="15">
        <f t="shared" si="25"/>
        <v>4.29</v>
      </c>
      <c r="Y93" s="15">
        <f t="shared" si="26"/>
        <v>4.29</v>
      </c>
      <c r="AB93" s="13"/>
      <c r="AF93" s="4">
        <v>1</v>
      </c>
      <c r="AG93" s="4"/>
      <c r="AH93" s="4">
        <f t="shared" si="22"/>
        <v>1520</v>
      </c>
      <c r="AI93" s="4">
        <f t="shared" si="23"/>
        <v>1520</v>
      </c>
      <c r="AJ93" s="4">
        <f t="shared" si="18"/>
        <v>1520</v>
      </c>
      <c r="AM93" s="13"/>
      <c r="AO93" s="13"/>
      <c r="AQ93" s="4"/>
      <c r="AR93" s="4">
        <v>87</v>
      </c>
      <c r="AS93" s="4"/>
    </row>
    <row r="94" spans="1:72">
      <c r="A94" s="1">
        <v>46101</v>
      </c>
      <c r="B94" s="16">
        <v>0.55972222222222223</v>
      </c>
      <c r="C94" t="s">
        <v>221</v>
      </c>
      <c r="D94" t="s">
        <v>106</v>
      </c>
      <c r="E94">
        <v>62</v>
      </c>
      <c r="F94" t="s">
        <v>85</v>
      </c>
      <c r="G94">
        <v>1</v>
      </c>
      <c r="H94">
        <v>1</v>
      </c>
      <c r="I94" t="s">
        <v>64</v>
      </c>
      <c r="J94" t="s">
        <v>65</v>
      </c>
      <c r="K94">
        <v>5.7799999999999997E-2</v>
      </c>
      <c r="L94">
        <v>1.27</v>
      </c>
      <c r="M94">
        <v>0.36399999999999999</v>
      </c>
      <c r="N94" t="s">
        <v>66</v>
      </c>
      <c r="O94" t="s">
        <v>67</v>
      </c>
      <c r="P94">
        <v>1.19</v>
      </c>
      <c r="Q94">
        <v>15.5</v>
      </c>
      <c r="R94">
        <v>862</v>
      </c>
      <c r="S94" s="4"/>
      <c r="T94" s="4">
        <v>1</v>
      </c>
      <c r="U94" s="4">
        <v>1</v>
      </c>
      <c r="V94" s="4"/>
      <c r="W94" s="13">
        <f t="shared" si="24"/>
        <v>0.36399999999999999</v>
      </c>
      <c r="X94" s="15">
        <f t="shared" si="25"/>
        <v>0.36399999999999999</v>
      </c>
      <c r="Y94" s="15">
        <f t="shared" si="26"/>
        <v>0.36399999999999999</v>
      </c>
      <c r="AB94" s="13"/>
      <c r="AF94" s="4">
        <v>1</v>
      </c>
      <c r="AG94" s="4"/>
      <c r="AH94" s="4">
        <f t="shared" si="22"/>
        <v>862</v>
      </c>
      <c r="AI94" s="4">
        <f t="shared" si="23"/>
        <v>862</v>
      </c>
      <c r="AJ94" s="4">
        <f t="shared" si="18"/>
        <v>862</v>
      </c>
      <c r="AM94" s="13"/>
      <c r="AO94" s="13"/>
      <c r="AQ94" s="4"/>
      <c r="AR94" s="4">
        <v>88</v>
      </c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</row>
    <row r="95" spans="1:72">
      <c r="A95" s="1">
        <v>46101</v>
      </c>
      <c r="B95" s="16">
        <v>0.56061342592592589</v>
      </c>
      <c r="C95" t="s">
        <v>221</v>
      </c>
      <c r="D95" t="s">
        <v>200</v>
      </c>
      <c r="E95">
        <v>68</v>
      </c>
      <c r="F95" t="s">
        <v>85</v>
      </c>
      <c r="G95">
        <v>1</v>
      </c>
      <c r="H95">
        <v>1</v>
      </c>
      <c r="I95" t="s">
        <v>64</v>
      </c>
      <c r="J95" t="s">
        <v>65</v>
      </c>
      <c r="K95">
        <v>5.8099999999999999E-2</v>
      </c>
      <c r="L95">
        <v>1.33</v>
      </c>
      <c r="M95">
        <v>2.2200000000000002</v>
      </c>
      <c r="N95" t="s">
        <v>66</v>
      </c>
      <c r="O95" t="s">
        <v>67</v>
      </c>
      <c r="P95">
        <v>1.24</v>
      </c>
      <c r="Q95">
        <v>16.100000000000001</v>
      </c>
      <c r="R95">
        <v>900</v>
      </c>
      <c r="S95" s="4"/>
      <c r="T95" s="4">
        <v>1</v>
      </c>
      <c r="U95" s="4">
        <v>1</v>
      </c>
      <c r="V95" s="4"/>
      <c r="W95" s="13">
        <f t="shared" si="24"/>
        <v>2.2200000000000002</v>
      </c>
      <c r="X95" s="15">
        <f t="shared" si="25"/>
        <v>2.2200000000000002</v>
      </c>
      <c r="Y95" s="15">
        <f t="shared" si="26"/>
        <v>2.2200000000000002</v>
      </c>
      <c r="Z95" s="4"/>
      <c r="AA95" s="4"/>
      <c r="AB95" s="13">
        <f>ABS(100*ABS(Y95-Y94)/AVERAGE(Y95,Y94))</f>
        <v>143.65325077399382</v>
      </c>
      <c r="AC95" t="str">
        <f>IF(Y95&gt;10, (IF((AND(AB95&gt;=0,AB95&lt;=20)=TRUE),"PASS","FAIL")),(IF((AND(AB95&gt;=0,AB95&lt;=50)=TRUE),"PASS","FAIL")))</f>
        <v>FAIL</v>
      </c>
      <c r="AF95" s="4">
        <v>1</v>
      </c>
      <c r="AG95" s="4"/>
      <c r="AH95" s="4">
        <f t="shared" si="22"/>
        <v>900</v>
      </c>
      <c r="AI95" s="4">
        <f t="shared" si="23"/>
        <v>900</v>
      </c>
      <c r="AJ95" s="4">
        <f t="shared" si="18"/>
        <v>900</v>
      </c>
      <c r="AK95" s="15"/>
      <c r="AL95" s="4"/>
      <c r="AM95" s="13">
        <f>ABS(100*ABS(AJ95-AJ94)/AVERAGE(AJ95,AJ94))</f>
        <v>4.3132803632236092</v>
      </c>
      <c r="AN95" t="str">
        <f>IF(AJ95&gt;10, (IF((AND(AM95&gt;=0,AM95&lt;=20)=TRUE),"PASS","FAIL")),(IF((AND(AM95&gt;=0,AM95&lt;=50)=TRUE),"PASS","FAIL")))</f>
        <v>PASS</v>
      </c>
      <c r="AO95" s="13"/>
      <c r="AQ95" s="4"/>
      <c r="AR95" s="4">
        <v>89</v>
      </c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</row>
    <row r="96" spans="1:72">
      <c r="A96" s="1">
        <v>46101</v>
      </c>
      <c r="B96" s="16">
        <v>0.56150462962962966</v>
      </c>
      <c r="C96" t="s">
        <v>221</v>
      </c>
      <c r="D96" t="s">
        <v>107</v>
      </c>
      <c r="E96">
        <v>63</v>
      </c>
      <c r="F96" t="s">
        <v>63</v>
      </c>
      <c r="G96">
        <v>1</v>
      </c>
      <c r="H96">
        <v>1</v>
      </c>
      <c r="I96" t="s">
        <v>64</v>
      </c>
      <c r="J96" t="s">
        <v>65</v>
      </c>
      <c r="K96">
        <v>0.495</v>
      </c>
      <c r="L96">
        <v>9.19</v>
      </c>
      <c r="M96">
        <v>229</v>
      </c>
      <c r="N96" t="s">
        <v>66</v>
      </c>
      <c r="O96" t="s">
        <v>67</v>
      </c>
      <c r="P96">
        <v>2.62</v>
      </c>
      <c r="Q96">
        <v>34.200000000000003</v>
      </c>
      <c r="R96">
        <v>1950</v>
      </c>
      <c r="S96" s="4"/>
      <c r="T96" s="4">
        <v>1</v>
      </c>
      <c r="U96" s="4">
        <v>3</v>
      </c>
      <c r="V96" s="4" t="s">
        <v>193</v>
      </c>
      <c r="W96" s="13">
        <f t="shared" si="24"/>
        <v>229</v>
      </c>
      <c r="X96" s="15">
        <f t="shared" si="25"/>
        <v>229</v>
      </c>
      <c r="Y96" s="15">
        <f t="shared" si="26"/>
        <v>229</v>
      </c>
      <c r="AB96" s="13"/>
      <c r="AF96" s="4">
        <v>3</v>
      </c>
      <c r="AG96" s="4" t="s">
        <v>193</v>
      </c>
      <c r="AH96" s="4">
        <f t="shared" si="22"/>
        <v>1950</v>
      </c>
      <c r="AI96" s="4">
        <f t="shared" si="23"/>
        <v>1950</v>
      </c>
      <c r="AJ96" s="4">
        <f t="shared" si="18"/>
        <v>1950</v>
      </c>
      <c r="AM96" s="13"/>
      <c r="AO96" s="13"/>
      <c r="AQ96" s="4"/>
      <c r="AR96" s="4">
        <v>90</v>
      </c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</row>
    <row r="97" spans="1:72">
      <c r="A97" s="1">
        <v>46101</v>
      </c>
      <c r="B97" s="16">
        <v>0.56239583333333332</v>
      </c>
      <c r="C97" t="s">
        <v>221</v>
      </c>
      <c r="D97" t="s">
        <v>108</v>
      </c>
      <c r="E97">
        <v>64</v>
      </c>
      <c r="F97" t="s">
        <v>63</v>
      </c>
      <c r="G97">
        <v>1</v>
      </c>
      <c r="H97">
        <v>1</v>
      </c>
      <c r="I97" t="s">
        <v>64</v>
      </c>
      <c r="J97" t="s">
        <v>65</v>
      </c>
      <c r="K97">
        <v>8.6300000000000002E-2</v>
      </c>
      <c r="L97">
        <v>1.84</v>
      </c>
      <c r="M97">
        <v>17.600000000000001</v>
      </c>
      <c r="N97" t="s">
        <v>66</v>
      </c>
      <c r="O97" t="s">
        <v>67</v>
      </c>
      <c r="P97">
        <v>0.91</v>
      </c>
      <c r="Q97">
        <v>9.48</v>
      </c>
      <c r="R97">
        <v>484</v>
      </c>
      <c r="S97" s="4"/>
      <c r="T97" s="4">
        <v>1</v>
      </c>
      <c r="U97" s="4">
        <v>1</v>
      </c>
      <c r="V97" s="4"/>
      <c r="W97" s="13">
        <f t="shared" si="24"/>
        <v>17.600000000000001</v>
      </c>
      <c r="X97" s="15">
        <f t="shared" si="25"/>
        <v>17.600000000000001</v>
      </c>
      <c r="Y97" s="15">
        <f t="shared" si="26"/>
        <v>17.600000000000001</v>
      </c>
      <c r="Z97" s="4"/>
      <c r="AA97" s="4"/>
      <c r="AB97" s="13"/>
      <c r="AF97" s="4">
        <v>1</v>
      </c>
      <c r="AG97" s="4"/>
      <c r="AH97" s="4">
        <f t="shared" si="22"/>
        <v>484</v>
      </c>
      <c r="AI97" s="4">
        <f t="shared" si="23"/>
        <v>484</v>
      </c>
      <c r="AJ97" s="4">
        <f t="shared" si="18"/>
        <v>484</v>
      </c>
      <c r="AK97" s="15"/>
      <c r="AL97" s="4"/>
      <c r="AM97" s="13"/>
      <c r="AO97" s="13"/>
      <c r="AQ97" s="4"/>
      <c r="AR97" s="4">
        <v>91</v>
      </c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</row>
    <row r="98" spans="1:72">
      <c r="A98" s="1">
        <v>46101</v>
      </c>
      <c r="B98" s="16">
        <v>0.56328703703703709</v>
      </c>
      <c r="C98" t="s">
        <v>221</v>
      </c>
      <c r="D98" t="s">
        <v>109</v>
      </c>
      <c r="E98">
        <v>65</v>
      </c>
      <c r="F98" t="s">
        <v>63</v>
      </c>
      <c r="G98">
        <v>1</v>
      </c>
      <c r="H98">
        <v>1</v>
      </c>
      <c r="I98" t="s">
        <v>64</v>
      </c>
      <c r="J98" t="s">
        <v>65</v>
      </c>
      <c r="K98">
        <v>0.26600000000000001</v>
      </c>
      <c r="L98">
        <v>5.04</v>
      </c>
      <c r="M98">
        <v>112</v>
      </c>
      <c r="N98" t="s">
        <v>66</v>
      </c>
      <c r="O98" t="s">
        <v>67</v>
      </c>
      <c r="P98">
        <v>3.33</v>
      </c>
      <c r="Q98">
        <v>43.4</v>
      </c>
      <c r="R98">
        <v>2420</v>
      </c>
      <c r="T98" s="4">
        <v>1</v>
      </c>
      <c r="U98" s="4">
        <v>1</v>
      </c>
      <c r="V98" s="4"/>
      <c r="W98" s="13">
        <f t="shared" si="24"/>
        <v>112</v>
      </c>
      <c r="X98" s="15">
        <f t="shared" si="25"/>
        <v>112</v>
      </c>
      <c r="Y98" s="15">
        <f t="shared" si="26"/>
        <v>112</v>
      </c>
      <c r="Z98" s="4"/>
      <c r="AA98" s="4"/>
      <c r="AB98" s="13"/>
      <c r="AD98" s="4"/>
      <c r="AE98" s="4"/>
      <c r="AF98" s="4">
        <v>3</v>
      </c>
      <c r="AG98" s="4" t="s">
        <v>193</v>
      </c>
      <c r="AH98" s="4">
        <f t="shared" si="22"/>
        <v>2420</v>
      </c>
      <c r="AI98" s="4">
        <f t="shared" si="23"/>
        <v>2420</v>
      </c>
      <c r="AJ98" s="4">
        <f t="shared" si="18"/>
        <v>2420</v>
      </c>
      <c r="AK98" s="15"/>
      <c r="AL98" s="4"/>
      <c r="AM98" s="13"/>
      <c r="AO98" s="15"/>
      <c r="AP98" s="4"/>
      <c r="AQ98" s="4"/>
      <c r="AR98" s="4">
        <v>92</v>
      </c>
      <c r="AS98" s="4"/>
    </row>
    <row r="99" spans="1:72">
      <c r="A99" s="1">
        <v>46101</v>
      </c>
      <c r="B99" s="16">
        <v>0.56417824074074074</v>
      </c>
      <c r="C99" t="s">
        <v>221</v>
      </c>
      <c r="D99" t="s">
        <v>184</v>
      </c>
      <c r="E99">
        <v>66</v>
      </c>
      <c r="F99" t="s">
        <v>63</v>
      </c>
      <c r="G99">
        <v>1</v>
      </c>
      <c r="H99">
        <v>1</v>
      </c>
      <c r="I99" t="s">
        <v>64</v>
      </c>
      <c r="J99" t="s">
        <v>65</v>
      </c>
      <c r="K99">
        <v>0.36899999999999999</v>
      </c>
      <c r="L99">
        <v>6.95</v>
      </c>
      <c r="M99">
        <v>166</v>
      </c>
      <c r="N99" t="s">
        <v>66</v>
      </c>
      <c r="O99" t="s">
        <v>67</v>
      </c>
      <c r="P99">
        <v>7.16</v>
      </c>
      <c r="Q99">
        <v>105</v>
      </c>
      <c r="R99">
        <v>4680</v>
      </c>
      <c r="T99" s="4">
        <v>1</v>
      </c>
      <c r="U99" s="4">
        <v>1</v>
      </c>
      <c r="V99" s="4"/>
      <c r="W99" s="13">
        <f t="shared" si="24"/>
        <v>166</v>
      </c>
      <c r="X99" s="15">
        <f t="shared" si="25"/>
        <v>166</v>
      </c>
      <c r="Y99" s="15">
        <f t="shared" si="26"/>
        <v>166</v>
      </c>
      <c r="Z99" s="4"/>
      <c r="AA99" s="4"/>
      <c r="AB99" s="15"/>
      <c r="AC99" s="4"/>
      <c r="AF99" s="4">
        <v>3</v>
      </c>
      <c r="AG99" s="4" t="s">
        <v>193</v>
      </c>
      <c r="AH99" s="4">
        <f t="shared" si="22"/>
        <v>4680</v>
      </c>
      <c r="AI99" s="4">
        <f t="shared" si="23"/>
        <v>4680</v>
      </c>
      <c r="AJ99" s="4">
        <f t="shared" si="18"/>
        <v>4680</v>
      </c>
      <c r="AK99" s="15"/>
      <c r="AL99" s="4"/>
      <c r="AM99" s="15"/>
      <c r="AN99" s="4"/>
      <c r="AO99" s="13"/>
      <c r="AQ99" s="4"/>
      <c r="AR99" s="4">
        <v>93</v>
      </c>
      <c r="AS99" s="4"/>
    </row>
    <row r="100" spans="1:72">
      <c r="A100" s="1">
        <v>46101</v>
      </c>
      <c r="B100" s="16">
        <v>0.56505787037037036</v>
      </c>
      <c r="C100" t="s">
        <v>221</v>
      </c>
      <c r="D100" t="s">
        <v>110</v>
      </c>
      <c r="E100">
        <v>67</v>
      </c>
      <c r="F100" t="s">
        <v>91</v>
      </c>
      <c r="G100">
        <v>1</v>
      </c>
      <c r="H100">
        <v>1</v>
      </c>
      <c r="I100" t="s">
        <v>64</v>
      </c>
      <c r="J100" t="s">
        <v>65</v>
      </c>
      <c r="K100">
        <v>0.20799999999999999</v>
      </c>
      <c r="L100">
        <v>4.1100000000000003</v>
      </c>
      <c r="M100">
        <v>84.6</v>
      </c>
      <c r="N100" t="s">
        <v>66</v>
      </c>
      <c r="O100" t="s">
        <v>67</v>
      </c>
      <c r="P100">
        <v>1.0900000000000001</v>
      </c>
      <c r="Q100">
        <v>14.4</v>
      </c>
      <c r="R100">
        <v>793</v>
      </c>
      <c r="T100" s="4">
        <v>1</v>
      </c>
      <c r="U100" s="4">
        <v>1</v>
      </c>
      <c r="V100" s="4"/>
      <c r="W100" s="13">
        <f t="shared" si="24"/>
        <v>84.6</v>
      </c>
      <c r="X100" s="15">
        <f t="shared" si="25"/>
        <v>84.6</v>
      </c>
      <c r="Y100" s="15">
        <f t="shared" si="26"/>
        <v>84.6</v>
      </c>
      <c r="Z100" s="4"/>
      <c r="AA100" s="4"/>
      <c r="AB100" s="13"/>
      <c r="AD100" s="4"/>
      <c r="AE100" s="4"/>
      <c r="AF100" s="4">
        <v>1</v>
      </c>
      <c r="AG100" s="4"/>
      <c r="AH100" s="4">
        <f t="shared" si="22"/>
        <v>793</v>
      </c>
      <c r="AI100" s="4">
        <f t="shared" si="23"/>
        <v>793</v>
      </c>
      <c r="AJ100" s="4">
        <f t="shared" si="18"/>
        <v>793</v>
      </c>
      <c r="AK100" s="15"/>
      <c r="AL100" s="4"/>
      <c r="AM100" s="13"/>
      <c r="AO100" s="15"/>
      <c r="AP100" s="4"/>
      <c r="AQ100" s="4"/>
      <c r="AR100" s="4">
        <v>94</v>
      </c>
      <c r="AS100" s="4"/>
    </row>
    <row r="101" spans="1:72">
      <c r="A101" s="1">
        <v>46101</v>
      </c>
      <c r="B101" s="16">
        <v>0.56594907407407402</v>
      </c>
      <c r="C101" t="s">
        <v>221</v>
      </c>
      <c r="D101" t="s">
        <v>201</v>
      </c>
      <c r="E101">
        <v>69</v>
      </c>
      <c r="F101" t="s">
        <v>91</v>
      </c>
      <c r="G101">
        <v>1</v>
      </c>
      <c r="H101">
        <v>1</v>
      </c>
      <c r="I101" t="s">
        <v>64</v>
      </c>
      <c r="J101" t="s">
        <v>65</v>
      </c>
      <c r="K101">
        <v>0.25900000000000001</v>
      </c>
      <c r="L101">
        <v>5.0199999999999996</v>
      </c>
      <c r="M101">
        <v>111</v>
      </c>
      <c r="N101" t="s">
        <v>66</v>
      </c>
      <c r="O101" t="s">
        <v>67</v>
      </c>
      <c r="P101">
        <v>1.39</v>
      </c>
      <c r="Q101">
        <v>18.2</v>
      </c>
      <c r="R101">
        <v>1030</v>
      </c>
      <c r="T101" s="4">
        <v>1</v>
      </c>
      <c r="U101" s="4">
        <v>1</v>
      </c>
      <c r="V101" s="4"/>
      <c r="W101" s="13">
        <f t="shared" si="24"/>
        <v>111</v>
      </c>
      <c r="X101" s="15">
        <f t="shared" si="25"/>
        <v>111</v>
      </c>
      <c r="Y101" s="15">
        <f t="shared" si="26"/>
        <v>111</v>
      </c>
      <c r="Z101" s="4"/>
      <c r="AA101" s="4"/>
      <c r="AB101" s="15"/>
      <c r="AC101" s="4"/>
      <c r="AD101">
        <f>100*((Y101*10250)-(Y100*10000))/(1000*250)</f>
        <v>116.7</v>
      </c>
      <c r="AE101" t="str">
        <f>IF(Y101&gt;30, (IF((AND(AD101&gt;=80,AD101&lt;=120)=TRUE),"PASS","FAIL")),(IF((AND(AD101&gt;=50,AD101&lt;=150)=TRUE),"PASS","FAIL")))</f>
        <v>PASS</v>
      </c>
      <c r="AF101" s="4">
        <v>1</v>
      </c>
      <c r="AG101" s="4"/>
      <c r="AH101" s="4">
        <f t="shared" si="22"/>
        <v>1030</v>
      </c>
      <c r="AI101" s="4">
        <f t="shared" si="23"/>
        <v>1030</v>
      </c>
      <c r="AJ101" s="4">
        <f t="shared" si="18"/>
        <v>1030</v>
      </c>
      <c r="AK101" s="15"/>
      <c r="AL101" s="4"/>
      <c r="AM101" s="15"/>
      <c r="AN101" s="4"/>
      <c r="AO101" s="13">
        <f>100*((AJ101*10250)-(AJ100*10000))/(1000*2500)</f>
        <v>105.1</v>
      </c>
      <c r="AP101" t="str">
        <f>IF(AJ101&gt;30, (IF((AND(AO101&gt;=80,AO101&lt;=120)=TRUE),"PASS","FAIL")),(IF((AND(AO101&gt;=50,AO101&lt;=150)=TRUE),"PASS","FAIL")))</f>
        <v>PASS</v>
      </c>
      <c r="AQ101" s="4"/>
      <c r="AR101" s="4">
        <v>95</v>
      </c>
      <c r="AS101" s="4"/>
    </row>
    <row r="102" spans="1:72">
      <c r="A102" s="1">
        <v>46101</v>
      </c>
      <c r="B102" s="16">
        <v>0.56684027777777779</v>
      </c>
      <c r="C102" t="s">
        <v>221</v>
      </c>
      <c r="D102" t="s">
        <v>226</v>
      </c>
      <c r="E102" t="s">
        <v>70</v>
      </c>
      <c r="F102" t="s">
        <v>92</v>
      </c>
      <c r="G102">
        <v>1</v>
      </c>
      <c r="H102">
        <v>1</v>
      </c>
      <c r="I102" t="s">
        <v>64</v>
      </c>
      <c r="J102" t="s">
        <v>65</v>
      </c>
      <c r="K102">
        <v>0.14699999999999999</v>
      </c>
      <c r="L102">
        <v>1.83</v>
      </c>
      <c r="M102">
        <v>17.2</v>
      </c>
      <c r="N102" t="s">
        <v>66</v>
      </c>
      <c r="O102" t="s">
        <v>67</v>
      </c>
      <c r="P102">
        <v>4.3299999999999996E-3</v>
      </c>
      <c r="Q102">
        <v>2.5000000000000001E-3</v>
      </c>
      <c r="R102">
        <v>-148</v>
      </c>
      <c r="T102" s="4">
        <v>1</v>
      </c>
      <c r="U102" s="4">
        <v>1</v>
      </c>
      <c r="V102" s="4"/>
      <c r="W102" s="13">
        <f t="shared" si="24"/>
        <v>17.2</v>
      </c>
      <c r="X102" s="15">
        <f t="shared" si="25"/>
        <v>17.2</v>
      </c>
      <c r="Y102" s="15">
        <f t="shared" si="26"/>
        <v>17.2</v>
      </c>
      <c r="Z102" s="4"/>
      <c r="AA102" s="4"/>
      <c r="AB102" s="13"/>
      <c r="AF102" s="4">
        <v>1</v>
      </c>
      <c r="AG102" s="4"/>
      <c r="AH102" s="4">
        <f t="shared" si="22"/>
        <v>-148</v>
      </c>
      <c r="AI102" s="4">
        <f t="shared" si="23"/>
        <v>-148</v>
      </c>
      <c r="AJ102" s="4">
        <f t="shared" si="18"/>
        <v>-148</v>
      </c>
      <c r="AK102" s="15"/>
      <c r="AL102" s="4"/>
      <c r="AM102" s="13"/>
      <c r="AO102" s="13"/>
      <c r="AQ102" s="4"/>
      <c r="AR102" s="4">
        <v>96</v>
      </c>
      <c r="AS102" s="4"/>
    </row>
    <row r="103" spans="1:72">
      <c r="A103" s="1">
        <v>46101</v>
      </c>
      <c r="B103" s="16">
        <v>0.56771990740740741</v>
      </c>
      <c r="C103" t="s">
        <v>221</v>
      </c>
      <c r="D103" t="s">
        <v>196</v>
      </c>
      <c r="E103">
        <v>15</v>
      </c>
      <c r="F103" t="s">
        <v>92</v>
      </c>
      <c r="G103">
        <v>1</v>
      </c>
      <c r="H103">
        <v>1</v>
      </c>
      <c r="I103" t="s">
        <v>64</v>
      </c>
      <c r="J103" t="s">
        <v>65</v>
      </c>
      <c r="K103">
        <v>0.10199999999999999</v>
      </c>
      <c r="L103">
        <v>2.0299999999999998</v>
      </c>
      <c r="M103">
        <v>23.2</v>
      </c>
      <c r="N103" t="s">
        <v>66</v>
      </c>
      <c r="O103" t="s">
        <v>67</v>
      </c>
      <c r="P103">
        <v>0.47499999999999998</v>
      </c>
      <c r="Q103">
        <v>6.31</v>
      </c>
      <c r="R103">
        <v>277</v>
      </c>
      <c r="T103" s="4">
        <v>1</v>
      </c>
      <c r="U103" s="4">
        <v>1</v>
      </c>
      <c r="V103" s="4"/>
      <c r="W103" s="13">
        <f t="shared" si="24"/>
        <v>23.2</v>
      </c>
      <c r="X103" s="15">
        <f t="shared" si="25"/>
        <v>23.2</v>
      </c>
      <c r="Y103" s="15">
        <f t="shared" si="26"/>
        <v>23.2</v>
      </c>
      <c r="Z103" s="4">
        <f>100*(Y103-25)/25</f>
        <v>-7.200000000000002</v>
      </c>
      <c r="AA103" s="4" t="str">
        <f>IF((ABS(Z103))&lt;=20,"PASS","FAIL")</f>
        <v>PASS</v>
      </c>
      <c r="AB103" s="13"/>
      <c r="AF103" s="4">
        <v>1</v>
      </c>
      <c r="AG103" s="4"/>
      <c r="AH103" s="4">
        <f t="shared" si="22"/>
        <v>277</v>
      </c>
      <c r="AI103" s="4">
        <f t="shared" si="23"/>
        <v>277</v>
      </c>
      <c r="AJ103" s="4">
        <f t="shared" si="18"/>
        <v>277</v>
      </c>
      <c r="AK103" s="15">
        <f>100*(AJ103-250)/250</f>
        <v>10.8</v>
      </c>
      <c r="AL103" s="4" t="str">
        <f>IF((ABS(AK103))&lt;=20,"PASS","FAIL")</f>
        <v>PASS</v>
      </c>
      <c r="AM103" s="13"/>
      <c r="AO103" s="13"/>
      <c r="AQ103" s="4"/>
      <c r="AR103" s="4">
        <v>97</v>
      </c>
      <c r="AS103" s="4"/>
    </row>
    <row r="104" spans="1:72">
      <c r="A104" s="1">
        <v>46101</v>
      </c>
      <c r="B104" s="16">
        <v>0.56859953703703703</v>
      </c>
      <c r="C104" t="s">
        <v>221</v>
      </c>
      <c r="D104" t="s">
        <v>111</v>
      </c>
      <c r="E104">
        <v>70</v>
      </c>
      <c r="F104" t="s">
        <v>63</v>
      </c>
      <c r="G104">
        <v>1</v>
      </c>
      <c r="H104">
        <v>1</v>
      </c>
      <c r="I104" t="s">
        <v>64</v>
      </c>
      <c r="J104" t="s">
        <v>65</v>
      </c>
      <c r="K104">
        <v>6.6799999999999998E-2</v>
      </c>
      <c r="L104">
        <v>1.43</v>
      </c>
      <c r="M104">
        <v>5.16</v>
      </c>
      <c r="N104" t="s">
        <v>66</v>
      </c>
      <c r="O104" t="s">
        <v>67</v>
      </c>
      <c r="P104">
        <v>0.52800000000000002</v>
      </c>
      <c r="Q104">
        <v>7.03</v>
      </c>
      <c r="R104">
        <v>324</v>
      </c>
      <c r="S104" s="4"/>
      <c r="T104" s="4">
        <v>1</v>
      </c>
      <c r="U104" s="4">
        <v>1</v>
      </c>
      <c r="V104" s="4"/>
      <c r="W104" s="13">
        <f t="shared" si="24"/>
        <v>5.16</v>
      </c>
      <c r="X104" s="15">
        <f t="shared" si="25"/>
        <v>5.16</v>
      </c>
      <c r="Y104" s="15">
        <f t="shared" si="26"/>
        <v>5.16</v>
      </c>
      <c r="Z104" s="4"/>
      <c r="AA104" s="4"/>
      <c r="AB104" s="13"/>
      <c r="AD104" s="4"/>
      <c r="AE104" s="4"/>
      <c r="AF104" s="4">
        <v>1</v>
      </c>
      <c r="AG104" s="4"/>
      <c r="AH104" s="4">
        <f t="shared" si="22"/>
        <v>324</v>
      </c>
      <c r="AI104" s="4">
        <f t="shared" si="23"/>
        <v>324</v>
      </c>
      <c r="AJ104" s="4">
        <f t="shared" si="18"/>
        <v>324</v>
      </c>
      <c r="AK104" s="15"/>
      <c r="AL104" s="4"/>
      <c r="AM104" s="13"/>
      <c r="AO104" s="15"/>
      <c r="AP104" s="4"/>
      <c r="AQ104" s="4"/>
      <c r="AR104" s="4">
        <v>98</v>
      </c>
      <c r="AS104" s="4"/>
    </row>
    <row r="105" spans="1:72">
      <c r="A105" s="1">
        <v>46101</v>
      </c>
      <c r="B105" s="16">
        <v>0.56949074074074069</v>
      </c>
      <c r="C105" t="s">
        <v>221</v>
      </c>
      <c r="D105" t="s">
        <v>112</v>
      </c>
      <c r="E105">
        <v>71</v>
      </c>
      <c r="F105" t="s">
        <v>63</v>
      </c>
      <c r="G105">
        <v>1</v>
      </c>
      <c r="H105">
        <v>1</v>
      </c>
      <c r="I105" t="s">
        <v>64</v>
      </c>
      <c r="J105" t="s">
        <v>65</v>
      </c>
      <c r="K105">
        <v>8.3000000000000004E-2</v>
      </c>
      <c r="L105">
        <v>1.75</v>
      </c>
      <c r="M105">
        <v>14.8</v>
      </c>
      <c r="N105" t="s">
        <v>66</v>
      </c>
      <c r="O105" t="s">
        <v>67</v>
      </c>
      <c r="P105">
        <v>0.95599999999999996</v>
      </c>
      <c r="Q105">
        <v>12.6</v>
      </c>
      <c r="R105">
        <v>683</v>
      </c>
      <c r="T105" s="4">
        <v>1</v>
      </c>
      <c r="U105" s="4">
        <v>1</v>
      </c>
      <c r="V105" s="4"/>
      <c r="W105" s="13">
        <f t="shared" si="24"/>
        <v>14.8</v>
      </c>
      <c r="X105" s="15">
        <f t="shared" si="25"/>
        <v>14.8</v>
      </c>
      <c r="Y105" s="15">
        <f t="shared" si="26"/>
        <v>14.8</v>
      </c>
      <c r="Z105" s="4"/>
      <c r="AA105" s="4"/>
      <c r="AB105" s="15"/>
      <c r="AC105" s="4"/>
      <c r="AD105" s="4"/>
      <c r="AE105" s="4"/>
      <c r="AF105" s="4">
        <v>1</v>
      </c>
      <c r="AG105" s="4"/>
      <c r="AH105" s="4">
        <f t="shared" si="22"/>
        <v>683</v>
      </c>
      <c r="AI105" s="4">
        <f t="shared" si="23"/>
        <v>683</v>
      </c>
      <c r="AJ105" s="4">
        <f t="shared" si="18"/>
        <v>683</v>
      </c>
      <c r="AK105" s="15"/>
      <c r="AL105" s="4"/>
      <c r="AM105" s="15"/>
      <c r="AN105" s="4"/>
      <c r="AO105" s="15"/>
      <c r="AP105" s="4"/>
      <c r="AQ105" s="4"/>
      <c r="AR105" s="4">
        <v>99</v>
      </c>
      <c r="AS105" s="4"/>
    </row>
    <row r="106" spans="1:72">
      <c r="A106" s="1">
        <v>46101</v>
      </c>
      <c r="B106" s="16">
        <v>0.57037037037037042</v>
      </c>
      <c r="C106" t="s">
        <v>221</v>
      </c>
      <c r="D106" t="s">
        <v>113</v>
      </c>
      <c r="E106">
        <v>72</v>
      </c>
      <c r="F106" t="s">
        <v>63</v>
      </c>
      <c r="G106">
        <v>1</v>
      </c>
      <c r="H106">
        <v>1</v>
      </c>
      <c r="I106" t="s">
        <v>64</v>
      </c>
      <c r="J106" t="s">
        <v>65</v>
      </c>
      <c r="K106">
        <v>6.4799999999999996E-2</v>
      </c>
      <c r="L106">
        <v>1.43</v>
      </c>
      <c r="M106">
        <v>5.24</v>
      </c>
      <c r="N106" t="s">
        <v>66</v>
      </c>
      <c r="O106" t="s">
        <v>67</v>
      </c>
      <c r="P106">
        <v>2.64</v>
      </c>
      <c r="Q106">
        <v>34.5</v>
      </c>
      <c r="R106">
        <v>1960</v>
      </c>
      <c r="T106" s="4">
        <v>1</v>
      </c>
      <c r="U106" s="4">
        <v>1</v>
      </c>
      <c r="V106" s="4"/>
      <c r="W106" s="13">
        <f t="shared" si="24"/>
        <v>5.24</v>
      </c>
      <c r="X106" s="15">
        <f t="shared" si="25"/>
        <v>5.24</v>
      </c>
      <c r="Y106" s="15">
        <f t="shared" si="26"/>
        <v>5.24</v>
      </c>
      <c r="AB106" s="13"/>
      <c r="AD106" s="4"/>
      <c r="AE106" s="4"/>
      <c r="AF106" s="4">
        <v>3</v>
      </c>
      <c r="AG106" s="4" t="s">
        <v>193</v>
      </c>
      <c r="AH106" s="4">
        <f t="shared" si="22"/>
        <v>1960</v>
      </c>
      <c r="AI106" s="4">
        <f t="shared" si="23"/>
        <v>1960</v>
      </c>
      <c r="AJ106" s="4">
        <f t="shared" si="18"/>
        <v>1960</v>
      </c>
      <c r="AM106" s="13"/>
      <c r="AO106" s="15"/>
      <c r="AP106" s="4"/>
      <c r="AQ106" s="4"/>
      <c r="AR106" s="4">
        <v>100</v>
      </c>
      <c r="AS106" s="4"/>
    </row>
    <row r="107" spans="1:72">
      <c r="A107" s="1">
        <v>46101</v>
      </c>
      <c r="B107" s="16">
        <v>0.57123842592592589</v>
      </c>
      <c r="C107" t="s">
        <v>221</v>
      </c>
      <c r="D107" t="s">
        <v>114</v>
      </c>
      <c r="E107">
        <v>73</v>
      </c>
      <c r="F107" t="s">
        <v>63</v>
      </c>
      <c r="G107">
        <v>1</v>
      </c>
      <c r="H107">
        <v>1</v>
      </c>
      <c r="I107" t="s">
        <v>64</v>
      </c>
      <c r="J107" t="s">
        <v>65</v>
      </c>
      <c r="K107">
        <v>6.2300000000000001E-2</v>
      </c>
      <c r="L107">
        <v>1.35</v>
      </c>
      <c r="M107">
        <v>2.84</v>
      </c>
      <c r="N107" t="s">
        <v>66</v>
      </c>
      <c r="O107" t="s">
        <v>67</v>
      </c>
      <c r="P107">
        <v>1.4</v>
      </c>
      <c r="Q107">
        <v>18.2</v>
      </c>
      <c r="R107">
        <v>1030</v>
      </c>
      <c r="T107" s="4">
        <v>1</v>
      </c>
      <c r="U107" s="4">
        <v>1</v>
      </c>
      <c r="V107" s="4"/>
      <c r="W107" s="13">
        <f t="shared" si="24"/>
        <v>2.84</v>
      </c>
      <c r="X107" s="15">
        <f t="shared" si="25"/>
        <v>2.84</v>
      </c>
      <c r="Y107" s="15">
        <f t="shared" si="26"/>
        <v>2.84</v>
      </c>
      <c r="Z107" s="4"/>
      <c r="AA107" s="4"/>
      <c r="AB107" s="13"/>
      <c r="AF107" s="4">
        <v>1</v>
      </c>
      <c r="AG107" s="4"/>
      <c r="AH107" s="4">
        <f t="shared" si="22"/>
        <v>1030</v>
      </c>
      <c r="AI107" s="4">
        <f t="shared" si="23"/>
        <v>1030</v>
      </c>
      <c r="AJ107" s="4">
        <f t="shared" si="18"/>
        <v>1030</v>
      </c>
      <c r="AK107" s="15"/>
      <c r="AL107" s="4"/>
      <c r="AM107" s="13"/>
      <c r="AO107" s="13"/>
      <c r="AQ107" s="4"/>
      <c r="AR107" s="4">
        <v>101</v>
      </c>
      <c r="AS107" s="4"/>
    </row>
    <row r="108" spans="1:72">
      <c r="A108" s="1">
        <v>46101</v>
      </c>
      <c r="B108" s="16">
        <v>0.57214120370370369</v>
      </c>
      <c r="C108" t="s">
        <v>221</v>
      </c>
      <c r="D108" t="s">
        <v>115</v>
      </c>
      <c r="E108">
        <v>74</v>
      </c>
      <c r="F108" t="s">
        <v>85</v>
      </c>
      <c r="G108">
        <v>1</v>
      </c>
      <c r="H108">
        <v>1</v>
      </c>
      <c r="I108" t="s">
        <v>64</v>
      </c>
      <c r="J108" t="s">
        <v>65</v>
      </c>
      <c r="K108">
        <v>7.6499999999999999E-2</v>
      </c>
      <c r="L108">
        <v>1.63</v>
      </c>
      <c r="M108">
        <v>11.4</v>
      </c>
      <c r="N108" t="s">
        <v>66</v>
      </c>
      <c r="O108" t="s">
        <v>67</v>
      </c>
      <c r="P108">
        <v>1.82</v>
      </c>
      <c r="Q108">
        <v>23.6</v>
      </c>
      <c r="R108">
        <v>1350</v>
      </c>
      <c r="S108" s="4"/>
      <c r="T108" s="4">
        <v>1</v>
      </c>
      <c r="U108" s="4">
        <v>1</v>
      </c>
      <c r="V108" s="4"/>
      <c r="W108" s="13">
        <f t="shared" si="24"/>
        <v>11.4</v>
      </c>
      <c r="X108" s="15">
        <f t="shared" si="25"/>
        <v>11.4</v>
      </c>
      <c r="Y108" s="15">
        <f t="shared" si="26"/>
        <v>11.4</v>
      </c>
      <c r="Z108" s="4"/>
      <c r="AA108" s="4"/>
      <c r="AB108" s="13"/>
      <c r="AF108" s="4">
        <v>1</v>
      </c>
      <c r="AG108" s="4"/>
      <c r="AH108" s="4">
        <f t="shared" si="22"/>
        <v>1350</v>
      </c>
      <c r="AI108" s="4">
        <f t="shared" si="23"/>
        <v>1350</v>
      </c>
      <c r="AJ108" s="4">
        <f t="shared" si="18"/>
        <v>1350</v>
      </c>
      <c r="AK108" s="15"/>
      <c r="AL108" s="4"/>
      <c r="AM108" s="13"/>
      <c r="AO108" s="13"/>
      <c r="AQ108" s="4"/>
      <c r="AR108" s="4">
        <v>102</v>
      </c>
      <c r="AS108" s="4"/>
    </row>
    <row r="109" spans="1:72">
      <c r="A109" s="1">
        <v>46101</v>
      </c>
      <c r="B109" s="16">
        <v>0.57303240740740746</v>
      </c>
      <c r="C109" t="s">
        <v>221</v>
      </c>
      <c r="D109" t="s">
        <v>202</v>
      </c>
      <c r="E109">
        <v>80</v>
      </c>
      <c r="F109" t="s">
        <v>85</v>
      </c>
      <c r="G109">
        <v>1</v>
      </c>
      <c r="H109">
        <v>1</v>
      </c>
      <c r="I109" t="s">
        <v>64</v>
      </c>
      <c r="J109" t="s">
        <v>65</v>
      </c>
      <c r="K109">
        <v>7.8700000000000006E-2</v>
      </c>
      <c r="L109">
        <v>1.7</v>
      </c>
      <c r="M109">
        <v>13.3</v>
      </c>
      <c r="N109" t="s">
        <v>66</v>
      </c>
      <c r="O109" t="s">
        <v>67</v>
      </c>
      <c r="P109">
        <v>1.76</v>
      </c>
      <c r="Q109">
        <v>22.7</v>
      </c>
      <c r="R109">
        <v>1300</v>
      </c>
      <c r="T109" s="4">
        <v>1</v>
      </c>
      <c r="U109" s="4">
        <v>1</v>
      </c>
      <c r="V109" s="4"/>
      <c r="W109" s="13">
        <f t="shared" si="24"/>
        <v>13.3</v>
      </c>
      <c r="X109" s="15">
        <f t="shared" si="25"/>
        <v>13.3</v>
      </c>
      <c r="Y109" s="15">
        <f t="shared" si="26"/>
        <v>13.3</v>
      </c>
      <c r="Z109" s="4"/>
      <c r="AA109" s="4"/>
      <c r="AB109" s="13">
        <f>ABS(100*ABS(Y109-Y108)/AVERAGE(Y109,Y108))</f>
        <v>15.384615384615385</v>
      </c>
      <c r="AC109" t="str">
        <f>IF(Y109&gt;10, (IF((AND(AB109&gt;=0,AB109&lt;=20)=TRUE),"PASS","FAIL")),(IF((AND(AB109&gt;=0,AB109&lt;=50)=TRUE),"PASS","FAIL")))</f>
        <v>PASS</v>
      </c>
      <c r="AF109" s="4">
        <v>1</v>
      </c>
      <c r="AG109" s="4"/>
      <c r="AH109" s="4">
        <f t="shared" si="22"/>
        <v>1300</v>
      </c>
      <c r="AI109" s="4">
        <f t="shared" si="23"/>
        <v>1300</v>
      </c>
      <c r="AJ109" s="4">
        <f t="shared" si="18"/>
        <v>1300</v>
      </c>
      <c r="AK109" s="15"/>
      <c r="AL109" s="4"/>
      <c r="AM109" s="13">
        <f>ABS(100*ABS(AJ109-AJ108)/AVERAGE(AJ109,AJ108))</f>
        <v>3.7735849056603774</v>
      </c>
      <c r="AN109" t="str">
        <f>IF(AJ109&gt;10, (IF((AND(AM109&gt;=0,AM109&lt;=20)=TRUE),"PASS","FAIL")),(IF((AND(AM109&gt;=0,AM109&lt;=50)=TRUE),"PASS","FAIL")))</f>
        <v>PASS</v>
      </c>
      <c r="AO109" s="13"/>
      <c r="AQ109" s="4"/>
      <c r="AR109" s="4">
        <v>103</v>
      </c>
      <c r="AS109" s="4"/>
    </row>
    <row r="110" spans="1:72">
      <c r="A110" s="1">
        <v>46101</v>
      </c>
      <c r="B110" s="16">
        <v>0.57391203703703708</v>
      </c>
      <c r="C110" t="s">
        <v>221</v>
      </c>
      <c r="D110" t="s">
        <v>116</v>
      </c>
      <c r="E110">
        <v>75</v>
      </c>
      <c r="F110" t="s">
        <v>63</v>
      </c>
      <c r="G110">
        <v>1</v>
      </c>
      <c r="H110">
        <v>1</v>
      </c>
      <c r="I110" t="s">
        <v>64</v>
      </c>
      <c r="J110" t="s">
        <v>65</v>
      </c>
      <c r="K110">
        <v>0.161</v>
      </c>
      <c r="L110">
        <v>3.24</v>
      </c>
      <c r="M110">
        <v>59.1</v>
      </c>
      <c r="N110" t="s">
        <v>66</v>
      </c>
      <c r="O110" t="s">
        <v>67</v>
      </c>
      <c r="P110">
        <v>6.18</v>
      </c>
      <c r="Q110">
        <v>85.3</v>
      </c>
      <c r="R110">
        <v>4140</v>
      </c>
      <c r="S110" s="4"/>
      <c r="T110" s="4">
        <v>1</v>
      </c>
      <c r="U110" s="4">
        <v>1</v>
      </c>
      <c r="V110" s="4"/>
      <c r="W110" s="13">
        <f t="shared" si="24"/>
        <v>59.1</v>
      </c>
      <c r="X110" s="15">
        <f t="shared" si="25"/>
        <v>59.1</v>
      </c>
      <c r="Y110" s="15">
        <f t="shared" si="26"/>
        <v>59.1</v>
      </c>
      <c r="Z110" s="4"/>
      <c r="AA110" s="4"/>
      <c r="AB110" s="13"/>
      <c r="AF110" s="4">
        <v>3</v>
      </c>
      <c r="AG110" s="4" t="s">
        <v>193</v>
      </c>
      <c r="AH110" s="4">
        <f t="shared" si="22"/>
        <v>4140</v>
      </c>
      <c r="AI110" s="4">
        <f t="shared" si="23"/>
        <v>4140</v>
      </c>
      <c r="AJ110" s="4">
        <f t="shared" ref="AJ110:AJ173" si="27">IF(T110=1,AH110,(AI110*T110))</f>
        <v>4140</v>
      </c>
      <c r="AK110" s="15"/>
      <c r="AL110" s="4"/>
      <c r="AM110" s="13"/>
      <c r="AO110" s="13"/>
      <c r="AQ110" s="4"/>
      <c r="AR110" s="4">
        <v>104</v>
      </c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</row>
    <row r="111" spans="1:72">
      <c r="A111" s="1">
        <v>46101</v>
      </c>
      <c r="B111" s="16">
        <v>0.57481481481481478</v>
      </c>
      <c r="C111" t="s">
        <v>221</v>
      </c>
      <c r="D111" t="s">
        <v>117</v>
      </c>
      <c r="E111">
        <v>76</v>
      </c>
      <c r="F111" t="s">
        <v>63</v>
      </c>
      <c r="G111">
        <v>1</v>
      </c>
      <c r="H111">
        <v>1</v>
      </c>
      <c r="I111" t="s">
        <v>64</v>
      </c>
      <c r="J111" t="s">
        <v>65</v>
      </c>
      <c r="K111">
        <v>0.24299999999999999</v>
      </c>
      <c r="L111">
        <v>4.6399999999999997</v>
      </c>
      <c r="M111">
        <v>100</v>
      </c>
      <c r="N111" t="s">
        <v>66</v>
      </c>
      <c r="O111" t="s">
        <v>67</v>
      </c>
      <c r="P111">
        <v>3</v>
      </c>
      <c r="Q111">
        <v>37.9</v>
      </c>
      <c r="R111">
        <v>2140</v>
      </c>
      <c r="S111" s="4"/>
      <c r="T111" s="4">
        <v>1</v>
      </c>
      <c r="U111" s="4">
        <v>1</v>
      </c>
      <c r="V111" s="4"/>
      <c r="W111" s="13">
        <f t="shared" si="24"/>
        <v>100</v>
      </c>
      <c r="X111" s="15">
        <f t="shared" si="25"/>
        <v>100</v>
      </c>
      <c r="Y111" s="15">
        <f t="shared" si="26"/>
        <v>100</v>
      </c>
      <c r="Z111" s="4"/>
      <c r="AA111" s="4"/>
      <c r="AB111" s="13"/>
      <c r="AF111" s="4">
        <v>3</v>
      </c>
      <c r="AG111" s="4" t="s">
        <v>193</v>
      </c>
      <c r="AH111" s="4">
        <f t="shared" si="22"/>
        <v>2140</v>
      </c>
      <c r="AI111" s="4">
        <f t="shared" si="23"/>
        <v>2140</v>
      </c>
      <c r="AJ111" s="4">
        <f t="shared" si="27"/>
        <v>2140</v>
      </c>
      <c r="AK111" s="15"/>
      <c r="AL111" s="4"/>
      <c r="AM111" s="13"/>
      <c r="AO111" s="13"/>
      <c r="AQ111" s="4"/>
      <c r="AR111" s="4">
        <v>105</v>
      </c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</row>
    <row r="112" spans="1:72">
      <c r="A112" s="1">
        <v>46101</v>
      </c>
      <c r="B112" s="16">
        <v>0.57570601851851855</v>
      </c>
      <c r="C112" t="s">
        <v>221</v>
      </c>
      <c r="D112" t="s">
        <v>118</v>
      </c>
      <c r="E112">
        <v>77</v>
      </c>
      <c r="F112" t="s">
        <v>63</v>
      </c>
      <c r="G112">
        <v>1</v>
      </c>
      <c r="H112">
        <v>1</v>
      </c>
      <c r="I112" t="s">
        <v>64</v>
      </c>
      <c r="J112" t="s">
        <v>65</v>
      </c>
      <c r="K112">
        <v>6.7500000000000004E-2</v>
      </c>
      <c r="L112">
        <v>1.44</v>
      </c>
      <c r="M112">
        <v>5.52</v>
      </c>
      <c r="N112" t="s">
        <v>66</v>
      </c>
      <c r="O112" t="s">
        <v>67</v>
      </c>
      <c r="P112">
        <v>0.94799999999999995</v>
      </c>
      <c r="Q112">
        <v>12.4</v>
      </c>
      <c r="R112">
        <v>672</v>
      </c>
      <c r="T112" s="4">
        <v>1</v>
      </c>
      <c r="U112" s="4">
        <v>1</v>
      </c>
      <c r="V112" s="4"/>
      <c r="W112" s="13">
        <f t="shared" si="24"/>
        <v>5.52</v>
      </c>
      <c r="X112" s="15">
        <f t="shared" si="25"/>
        <v>5.52</v>
      </c>
      <c r="Y112" s="15">
        <f t="shared" si="26"/>
        <v>5.52</v>
      </c>
      <c r="Z112" s="4"/>
      <c r="AA112" s="4"/>
      <c r="AB112" s="13"/>
      <c r="AF112" s="4">
        <v>1</v>
      </c>
      <c r="AG112" s="4"/>
      <c r="AH112" s="4">
        <f t="shared" si="22"/>
        <v>672</v>
      </c>
      <c r="AI112" s="4">
        <f t="shared" si="23"/>
        <v>672</v>
      </c>
      <c r="AJ112" s="4">
        <f t="shared" si="27"/>
        <v>672</v>
      </c>
      <c r="AK112" s="15"/>
      <c r="AL112" s="4"/>
      <c r="AM112" s="13"/>
      <c r="AO112" s="13"/>
      <c r="AQ112" s="4"/>
      <c r="AR112" s="4">
        <v>106</v>
      </c>
      <c r="AS112" s="4"/>
    </row>
    <row r="113" spans="1:72">
      <c r="A113" s="1">
        <v>46101</v>
      </c>
      <c r="B113" s="16">
        <v>0.57659722222222221</v>
      </c>
      <c r="C113" t="s">
        <v>221</v>
      </c>
      <c r="D113" t="s">
        <v>119</v>
      </c>
      <c r="E113">
        <v>78</v>
      </c>
      <c r="F113" t="s">
        <v>63</v>
      </c>
      <c r="G113">
        <v>1</v>
      </c>
      <c r="H113">
        <v>1</v>
      </c>
      <c r="I113" t="s">
        <v>64</v>
      </c>
      <c r="J113" t="s">
        <v>65</v>
      </c>
      <c r="K113">
        <v>7.3899999999999993E-2</v>
      </c>
      <c r="L113">
        <v>1.61</v>
      </c>
      <c r="M113">
        <v>10.6</v>
      </c>
      <c r="N113" t="s">
        <v>66</v>
      </c>
      <c r="O113" t="s">
        <v>67</v>
      </c>
      <c r="P113">
        <v>0.628</v>
      </c>
      <c r="Q113">
        <v>8.23</v>
      </c>
      <c r="R113">
        <v>403</v>
      </c>
      <c r="T113" s="4">
        <v>1</v>
      </c>
      <c r="U113" s="4">
        <v>1</v>
      </c>
      <c r="V113" s="4"/>
      <c r="W113" s="13">
        <f t="shared" si="24"/>
        <v>10.6</v>
      </c>
      <c r="X113" s="15">
        <f t="shared" si="25"/>
        <v>10.6</v>
      </c>
      <c r="Y113" s="15">
        <f t="shared" si="26"/>
        <v>10.6</v>
      </c>
      <c r="Z113" s="4"/>
      <c r="AA113" s="4"/>
      <c r="AB113" s="13"/>
      <c r="AF113" s="4">
        <v>1</v>
      </c>
      <c r="AG113" s="4"/>
      <c r="AH113" s="4">
        <f t="shared" si="22"/>
        <v>403</v>
      </c>
      <c r="AI113" s="4">
        <f t="shared" si="23"/>
        <v>403</v>
      </c>
      <c r="AJ113" s="4">
        <f t="shared" si="27"/>
        <v>403</v>
      </c>
      <c r="AK113" s="15"/>
      <c r="AL113" s="4"/>
      <c r="AM113" s="13"/>
      <c r="AO113" s="13"/>
      <c r="AQ113" s="4"/>
      <c r="AR113" s="4">
        <v>107</v>
      </c>
      <c r="AS113" s="4"/>
    </row>
    <row r="114" spans="1:72">
      <c r="A114" s="1">
        <v>46101</v>
      </c>
      <c r="B114" s="16">
        <v>0.57748842592592597</v>
      </c>
      <c r="C114" t="s">
        <v>221</v>
      </c>
      <c r="D114" t="s">
        <v>120</v>
      </c>
      <c r="E114">
        <v>79</v>
      </c>
      <c r="F114" t="s">
        <v>91</v>
      </c>
      <c r="G114">
        <v>1</v>
      </c>
      <c r="H114">
        <v>1</v>
      </c>
      <c r="I114" t="s">
        <v>64</v>
      </c>
      <c r="J114" t="s">
        <v>65</v>
      </c>
      <c r="K114">
        <v>7.3999999999999996E-2</v>
      </c>
      <c r="L114">
        <v>1.6</v>
      </c>
      <c r="M114">
        <v>10.4</v>
      </c>
      <c r="N114" t="s">
        <v>66</v>
      </c>
      <c r="O114" t="s">
        <v>67</v>
      </c>
      <c r="P114">
        <v>0.82299999999999995</v>
      </c>
      <c r="Q114">
        <v>10.8</v>
      </c>
      <c r="R114">
        <v>570</v>
      </c>
      <c r="T114" s="4">
        <v>1</v>
      </c>
      <c r="U114" s="4">
        <v>1</v>
      </c>
      <c r="V114" s="4"/>
      <c r="W114" s="13">
        <f t="shared" si="24"/>
        <v>10.4</v>
      </c>
      <c r="X114" s="15">
        <f t="shared" si="25"/>
        <v>10.4</v>
      </c>
      <c r="Y114" s="15">
        <f t="shared" si="26"/>
        <v>10.4</v>
      </c>
      <c r="Z114" s="4"/>
      <c r="AA114" s="4"/>
      <c r="AB114" s="15"/>
      <c r="AC114" s="4"/>
      <c r="AF114" s="4">
        <v>1</v>
      </c>
      <c r="AG114" s="4"/>
      <c r="AH114" s="4">
        <f t="shared" si="22"/>
        <v>570</v>
      </c>
      <c r="AI114" s="4">
        <f t="shared" si="23"/>
        <v>570</v>
      </c>
      <c r="AJ114" s="4">
        <f t="shared" si="27"/>
        <v>570</v>
      </c>
      <c r="AK114" s="15"/>
      <c r="AL114" s="4"/>
      <c r="AM114" s="15"/>
      <c r="AN114" s="4"/>
      <c r="AO114" s="13"/>
      <c r="AQ114" s="4"/>
      <c r="AR114" s="4">
        <v>108</v>
      </c>
      <c r="AS114" s="4"/>
    </row>
    <row r="115" spans="1:72">
      <c r="A115" s="1">
        <v>46101</v>
      </c>
      <c r="B115" s="16">
        <v>0.57837962962962963</v>
      </c>
      <c r="C115" t="s">
        <v>221</v>
      </c>
      <c r="D115" t="s">
        <v>203</v>
      </c>
      <c r="E115">
        <v>81</v>
      </c>
      <c r="F115" t="s">
        <v>91</v>
      </c>
      <c r="G115">
        <v>1</v>
      </c>
      <c r="H115">
        <v>1</v>
      </c>
      <c r="I115" t="s">
        <v>64</v>
      </c>
      <c r="J115" t="s">
        <v>65</v>
      </c>
      <c r="K115">
        <v>0.125</v>
      </c>
      <c r="L115">
        <v>2.5099999999999998</v>
      </c>
      <c r="M115">
        <v>37.4</v>
      </c>
      <c r="N115" t="s">
        <v>66</v>
      </c>
      <c r="O115" t="s">
        <v>67</v>
      </c>
      <c r="P115">
        <v>1.1599999999999999</v>
      </c>
      <c r="Q115">
        <v>15.1</v>
      </c>
      <c r="R115">
        <v>839</v>
      </c>
      <c r="T115" s="4">
        <v>1</v>
      </c>
      <c r="U115" s="4">
        <v>1</v>
      </c>
      <c r="V115" s="4"/>
      <c r="W115" s="13">
        <f t="shared" si="24"/>
        <v>37.4</v>
      </c>
      <c r="X115" s="15">
        <f t="shared" si="25"/>
        <v>37.4</v>
      </c>
      <c r="Y115" s="15">
        <f t="shared" si="26"/>
        <v>37.4</v>
      </c>
      <c r="Z115" s="4"/>
      <c r="AA115" s="4"/>
      <c r="AB115" s="13"/>
      <c r="AD115">
        <f>100*((Y115*10250)-(Y114*10000))/(1000*250)</f>
        <v>111.74</v>
      </c>
      <c r="AE115" t="str">
        <f>IF(Y115&gt;30, (IF((AND(AD115&gt;=80,AD115&lt;=120)=TRUE),"PASS","FAIL")),(IF((AND(AD115&gt;=50,AD115&lt;=150)=TRUE),"PASS","FAIL")))</f>
        <v>PASS</v>
      </c>
      <c r="AF115" s="4">
        <v>1</v>
      </c>
      <c r="AG115" s="4"/>
      <c r="AH115" s="4">
        <f t="shared" si="22"/>
        <v>839</v>
      </c>
      <c r="AI115" s="4">
        <f t="shared" si="23"/>
        <v>839</v>
      </c>
      <c r="AJ115" s="4">
        <f t="shared" si="27"/>
        <v>839</v>
      </c>
      <c r="AK115" s="15"/>
      <c r="AL115" s="4"/>
      <c r="AM115" s="13"/>
      <c r="AO115" s="13">
        <f>100*((AJ115*10250)-(AJ114*10000))/(1000*2500)</f>
        <v>115.99</v>
      </c>
      <c r="AP115" t="str">
        <f>IF(AJ115&gt;30, (IF((AND(AO115&gt;=80,AO115&lt;=120)=TRUE),"PASS","FAIL")),(IF((AND(AO115&gt;=50,AO115&lt;=150)=TRUE),"PASS","FAIL")))</f>
        <v>PASS</v>
      </c>
      <c r="AQ115" s="4"/>
      <c r="AR115" s="4">
        <v>109</v>
      </c>
      <c r="AS115" s="4"/>
    </row>
    <row r="116" spans="1:72">
      <c r="A116" s="1">
        <v>46101</v>
      </c>
      <c r="B116" s="16">
        <v>0.57928240740740744</v>
      </c>
      <c r="C116" t="s">
        <v>221</v>
      </c>
      <c r="D116" t="s">
        <v>101</v>
      </c>
      <c r="E116">
        <v>16</v>
      </c>
      <c r="F116" t="s">
        <v>92</v>
      </c>
      <c r="G116">
        <v>1</v>
      </c>
      <c r="H116">
        <v>1</v>
      </c>
      <c r="I116" t="s">
        <v>64</v>
      </c>
      <c r="J116" t="s">
        <v>65</v>
      </c>
      <c r="K116">
        <v>0.10100000000000001</v>
      </c>
      <c r="L116">
        <v>2.0699999999999998</v>
      </c>
      <c r="M116">
        <v>24.4</v>
      </c>
      <c r="N116" t="s">
        <v>66</v>
      </c>
      <c r="O116" t="s">
        <v>67</v>
      </c>
      <c r="P116">
        <v>0.46800000000000003</v>
      </c>
      <c r="Q116">
        <v>6.27</v>
      </c>
      <c r="R116">
        <v>274</v>
      </c>
      <c r="T116" s="4">
        <v>1</v>
      </c>
      <c r="U116" s="4">
        <v>1</v>
      </c>
      <c r="V116" s="4"/>
      <c r="W116" s="13">
        <f t="shared" si="24"/>
        <v>24.4</v>
      </c>
      <c r="X116" s="15">
        <f t="shared" si="25"/>
        <v>24.4</v>
      </c>
      <c r="Y116" s="15">
        <f t="shared" si="26"/>
        <v>24.4</v>
      </c>
      <c r="Z116" s="4">
        <f>100*(Y116-25)/25</f>
        <v>-2.4000000000000057</v>
      </c>
      <c r="AA116" s="4" t="str">
        <f>IF((ABS(Z116))&lt;=20,"PASS","FAIL")</f>
        <v>PASS</v>
      </c>
      <c r="AB116" s="13"/>
      <c r="AD116" s="4"/>
      <c r="AE116" s="4"/>
      <c r="AF116" s="4">
        <v>1</v>
      </c>
      <c r="AG116" s="4"/>
      <c r="AH116" s="4">
        <f t="shared" si="22"/>
        <v>274</v>
      </c>
      <c r="AI116" s="4">
        <f t="shared" si="23"/>
        <v>274</v>
      </c>
      <c r="AJ116" s="4">
        <f t="shared" si="27"/>
        <v>274</v>
      </c>
      <c r="AK116" s="15">
        <f>100*(AJ116-250)/250</f>
        <v>9.6</v>
      </c>
      <c r="AL116" s="4" t="str">
        <f>IF((ABS(AK116))&lt;=20,"PASS","FAIL")</f>
        <v>PASS</v>
      </c>
      <c r="AM116" s="13"/>
      <c r="AO116" s="15"/>
      <c r="AP116" s="4"/>
      <c r="AQ116" s="4"/>
      <c r="AR116" s="4">
        <v>110</v>
      </c>
      <c r="AS116" s="4"/>
    </row>
    <row r="117" spans="1:72">
      <c r="A117" s="1">
        <v>46101</v>
      </c>
      <c r="B117" s="16">
        <v>0.58016203703703706</v>
      </c>
      <c r="C117" t="s">
        <v>221</v>
      </c>
      <c r="D117" t="s">
        <v>194</v>
      </c>
      <c r="E117" t="s">
        <v>68</v>
      </c>
      <c r="F117" t="s">
        <v>63</v>
      </c>
      <c r="G117">
        <v>1</v>
      </c>
      <c r="H117">
        <v>1</v>
      </c>
      <c r="I117" t="s">
        <v>64</v>
      </c>
      <c r="J117" t="s">
        <v>65</v>
      </c>
      <c r="K117">
        <v>0.14899999999999999</v>
      </c>
      <c r="L117">
        <v>1.87</v>
      </c>
      <c r="M117">
        <v>18.3</v>
      </c>
      <c r="N117" t="s">
        <v>66</v>
      </c>
      <c r="O117" t="s">
        <v>67</v>
      </c>
      <c r="P117">
        <v>7.94</v>
      </c>
      <c r="Q117">
        <v>147</v>
      </c>
      <c r="R117">
        <v>5290</v>
      </c>
      <c r="S117" s="4">
        <f>100*(Q118/Q117)</f>
        <v>100</v>
      </c>
      <c r="T117" s="4">
        <v>1</v>
      </c>
      <c r="U117" s="4">
        <v>1</v>
      </c>
      <c r="V117" s="4"/>
      <c r="W117" s="13">
        <f t="shared" si="24"/>
        <v>18.3</v>
      </c>
      <c r="X117" s="15">
        <f t="shared" si="25"/>
        <v>18.3</v>
      </c>
      <c r="Y117" s="15">
        <f t="shared" si="26"/>
        <v>18.3</v>
      </c>
      <c r="Z117" s="4"/>
      <c r="AA117" s="4"/>
      <c r="AB117" s="13"/>
      <c r="AF117" s="4">
        <v>1</v>
      </c>
      <c r="AG117" s="4"/>
      <c r="AH117" s="4">
        <f t="shared" si="22"/>
        <v>5290</v>
      </c>
      <c r="AI117" s="4">
        <f t="shared" si="23"/>
        <v>5290</v>
      </c>
      <c r="AJ117" s="4">
        <f t="shared" si="27"/>
        <v>5290</v>
      </c>
      <c r="AK117" s="15"/>
      <c r="AL117" s="4"/>
      <c r="AM117" s="13"/>
      <c r="AO117" s="13"/>
      <c r="AQ117" s="4"/>
      <c r="AR117" s="4">
        <v>111</v>
      </c>
      <c r="AS117" s="4"/>
    </row>
    <row r="118" spans="1:72">
      <c r="A118" s="1">
        <v>46101</v>
      </c>
      <c r="B118" s="16">
        <v>0.58104166666666668</v>
      </c>
      <c r="C118" t="s">
        <v>221</v>
      </c>
      <c r="D118" t="s">
        <v>195</v>
      </c>
      <c r="E118" t="s">
        <v>69</v>
      </c>
      <c r="F118" t="s">
        <v>63</v>
      </c>
      <c r="G118">
        <v>1</v>
      </c>
      <c r="H118">
        <v>1</v>
      </c>
      <c r="I118" t="s">
        <v>64</v>
      </c>
      <c r="J118" t="s">
        <v>65</v>
      </c>
      <c r="K118">
        <v>0.14299999999999999</v>
      </c>
      <c r="L118">
        <v>1.74</v>
      </c>
      <c r="M118">
        <v>14.5</v>
      </c>
      <c r="N118" t="s">
        <v>66</v>
      </c>
      <c r="O118" t="s">
        <v>67</v>
      </c>
      <c r="P118">
        <v>7.95</v>
      </c>
      <c r="Q118">
        <v>147</v>
      </c>
      <c r="R118">
        <v>5290</v>
      </c>
      <c r="S118" s="4"/>
      <c r="T118" s="4">
        <v>1</v>
      </c>
      <c r="U118" s="4">
        <v>1</v>
      </c>
      <c r="V118" s="4"/>
      <c r="W118" s="13">
        <f t="shared" si="24"/>
        <v>14.5</v>
      </c>
      <c r="X118" s="15">
        <f t="shared" si="25"/>
        <v>14.5</v>
      </c>
      <c r="Y118" s="15">
        <f t="shared" si="26"/>
        <v>14.5</v>
      </c>
      <c r="Z118" s="4"/>
      <c r="AA118" s="4"/>
      <c r="AB118" s="13"/>
      <c r="AD118" s="4"/>
      <c r="AE118" s="4"/>
      <c r="AF118" s="4">
        <v>1</v>
      </c>
      <c r="AG118" s="4"/>
      <c r="AH118" s="4">
        <f t="shared" si="22"/>
        <v>5290</v>
      </c>
      <c r="AI118" s="4">
        <f t="shared" si="23"/>
        <v>5290</v>
      </c>
      <c r="AJ118" s="4">
        <f t="shared" si="27"/>
        <v>5290</v>
      </c>
      <c r="AK118" s="15"/>
      <c r="AL118" s="4"/>
      <c r="AM118" s="13"/>
      <c r="AO118" s="15"/>
      <c r="AP118" s="4"/>
      <c r="AQ118" s="4"/>
      <c r="AR118" s="4">
        <v>112</v>
      </c>
      <c r="AS118" s="4"/>
    </row>
    <row r="119" spans="1:72">
      <c r="A119" s="1">
        <v>46101</v>
      </c>
      <c r="B119" s="16">
        <v>0.58193287037037034</v>
      </c>
      <c r="C119" t="s">
        <v>221</v>
      </c>
      <c r="D119" t="s">
        <v>186</v>
      </c>
      <c r="E119" t="s">
        <v>72</v>
      </c>
      <c r="F119" t="s">
        <v>63</v>
      </c>
      <c r="G119">
        <v>1</v>
      </c>
      <c r="H119">
        <v>1</v>
      </c>
      <c r="I119" t="s">
        <v>64</v>
      </c>
      <c r="J119" t="s">
        <v>65</v>
      </c>
      <c r="K119">
        <v>1.37E-2</v>
      </c>
      <c r="L119">
        <v>0.14799999999999999</v>
      </c>
      <c r="M119">
        <v>-33.4</v>
      </c>
      <c r="N119" t="s">
        <v>66</v>
      </c>
      <c r="O119" t="s">
        <v>67</v>
      </c>
      <c r="P119">
        <v>4.9099999999999998E-2</v>
      </c>
      <c r="Q119">
        <v>0.81599999999999995</v>
      </c>
      <c r="R119">
        <v>-91.8</v>
      </c>
      <c r="T119" s="4">
        <v>1</v>
      </c>
      <c r="U119" s="4">
        <v>1</v>
      </c>
      <c r="V119" s="4"/>
      <c r="W119" s="13">
        <f t="shared" si="24"/>
        <v>-33.4</v>
      </c>
      <c r="X119" s="15">
        <f t="shared" si="25"/>
        <v>-33.4</v>
      </c>
      <c r="Y119" s="15">
        <f t="shared" si="26"/>
        <v>-33.4</v>
      </c>
      <c r="Z119" s="4"/>
      <c r="AA119" s="4"/>
      <c r="AB119" s="13"/>
      <c r="AD119" s="4"/>
      <c r="AE119" s="4"/>
      <c r="AF119" s="4">
        <v>1</v>
      </c>
      <c r="AG119" s="4"/>
      <c r="AH119" s="4">
        <f t="shared" si="22"/>
        <v>-91.8</v>
      </c>
      <c r="AI119" s="4">
        <f t="shared" si="23"/>
        <v>-91.8</v>
      </c>
      <c r="AJ119" s="4">
        <f t="shared" si="27"/>
        <v>-91.8</v>
      </c>
      <c r="AK119" s="15"/>
      <c r="AL119" s="4"/>
      <c r="AM119" s="13"/>
      <c r="AO119" s="15"/>
      <c r="AP119" s="4"/>
      <c r="AQ119" s="4"/>
      <c r="AR119" s="4">
        <v>113</v>
      </c>
      <c r="AS119" s="4"/>
    </row>
    <row r="120" spans="1:72">
      <c r="A120" s="1">
        <v>46101</v>
      </c>
      <c r="B120" s="16">
        <v>0.58282407407407411</v>
      </c>
      <c r="C120" t="s">
        <v>221</v>
      </c>
      <c r="D120" t="s">
        <v>121</v>
      </c>
      <c r="E120">
        <v>82</v>
      </c>
      <c r="F120" t="s">
        <v>63</v>
      </c>
      <c r="G120">
        <v>1</v>
      </c>
      <c r="H120">
        <v>1</v>
      </c>
      <c r="I120" t="s">
        <v>64</v>
      </c>
      <c r="J120" t="s">
        <v>65</v>
      </c>
      <c r="K120">
        <v>7.9699999999999993E-2</v>
      </c>
      <c r="L120">
        <v>1.7</v>
      </c>
      <c r="M120">
        <v>13.3</v>
      </c>
      <c r="N120" t="s">
        <v>66</v>
      </c>
      <c r="O120" t="s">
        <v>67</v>
      </c>
      <c r="P120">
        <v>4.7</v>
      </c>
      <c r="Q120">
        <v>62.8</v>
      </c>
      <c r="R120">
        <v>3310</v>
      </c>
      <c r="T120" s="4">
        <v>1</v>
      </c>
      <c r="U120" s="4">
        <v>3</v>
      </c>
      <c r="V120" s="4" t="s">
        <v>260</v>
      </c>
      <c r="W120" s="13">
        <f t="shared" si="24"/>
        <v>13.3</v>
      </c>
      <c r="X120" s="15">
        <f t="shared" si="25"/>
        <v>13.3</v>
      </c>
      <c r="Y120" s="15">
        <f t="shared" si="26"/>
        <v>13.3</v>
      </c>
      <c r="Z120" s="4"/>
      <c r="AA120" s="4"/>
      <c r="AB120" s="13"/>
      <c r="AD120" s="4"/>
      <c r="AE120" s="4"/>
      <c r="AF120" s="4">
        <v>3</v>
      </c>
      <c r="AG120" s="4" t="s">
        <v>193</v>
      </c>
      <c r="AH120" s="4">
        <f t="shared" si="22"/>
        <v>3310</v>
      </c>
      <c r="AI120" s="4">
        <f t="shared" si="23"/>
        <v>3310</v>
      </c>
      <c r="AJ120" s="4">
        <f t="shared" si="27"/>
        <v>3310</v>
      </c>
      <c r="AK120" s="15"/>
      <c r="AL120" s="4"/>
      <c r="AM120" s="13"/>
      <c r="AO120" s="15"/>
      <c r="AP120" s="4"/>
      <c r="AQ120" s="4"/>
      <c r="AR120" s="4">
        <v>114</v>
      </c>
      <c r="AS120" s="4"/>
    </row>
    <row r="121" spans="1:72">
      <c r="A121" s="1">
        <v>46101</v>
      </c>
      <c r="B121" s="16">
        <v>0.58370370370370372</v>
      </c>
      <c r="C121" t="s">
        <v>221</v>
      </c>
      <c r="D121" t="s">
        <v>122</v>
      </c>
      <c r="E121">
        <v>83</v>
      </c>
      <c r="F121" t="s">
        <v>63</v>
      </c>
      <c r="G121">
        <v>1</v>
      </c>
      <c r="H121">
        <v>1</v>
      </c>
      <c r="I121" t="s">
        <v>64</v>
      </c>
      <c r="J121" t="s">
        <v>65</v>
      </c>
      <c r="K121">
        <v>0.33700000000000002</v>
      </c>
      <c r="L121">
        <v>6.46</v>
      </c>
      <c r="M121">
        <v>152</v>
      </c>
      <c r="N121" t="s">
        <v>66</v>
      </c>
      <c r="O121" t="s">
        <v>67</v>
      </c>
      <c r="P121">
        <v>1.63</v>
      </c>
      <c r="Q121">
        <v>21.4</v>
      </c>
      <c r="R121">
        <v>1220</v>
      </c>
      <c r="T121" s="4">
        <v>1</v>
      </c>
      <c r="U121" s="4">
        <v>1</v>
      </c>
      <c r="V121" s="4"/>
      <c r="W121" s="13">
        <f t="shared" si="24"/>
        <v>152</v>
      </c>
      <c r="X121" s="15">
        <f t="shared" si="25"/>
        <v>152</v>
      </c>
      <c r="Y121" s="15">
        <f t="shared" si="26"/>
        <v>152</v>
      </c>
      <c r="Z121" s="4"/>
      <c r="AA121" s="4"/>
      <c r="AB121" s="15"/>
      <c r="AC121" s="4"/>
      <c r="AF121" s="4">
        <v>1</v>
      </c>
      <c r="AG121" s="4"/>
      <c r="AH121" s="4">
        <f t="shared" si="22"/>
        <v>1220</v>
      </c>
      <c r="AI121" s="4">
        <f t="shared" si="23"/>
        <v>1220</v>
      </c>
      <c r="AJ121" s="4">
        <f t="shared" si="27"/>
        <v>1220</v>
      </c>
      <c r="AK121" s="15"/>
      <c r="AL121" s="4"/>
      <c r="AM121" s="15"/>
      <c r="AN121" s="4"/>
      <c r="AO121" s="13"/>
      <c r="AQ121" s="4"/>
      <c r="AR121" s="4">
        <v>115</v>
      </c>
      <c r="AS121" s="4"/>
    </row>
    <row r="122" spans="1:72">
      <c r="A122" s="1">
        <v>46101</v>
      </c>
      <c r="B122" s="16">
        <v>0.58458333333333334</v>
      </c>
      <c r="C122" t="s">
        <v>221</v>
      </c>
      <c r="D122" t="s">
        <v>123</v>
      </c>
      <c r="E122">
        <v>84</v>
      </c>
      <c r="F122" t="s">
        <v>63</v>
      </c>
      <c r="G122">
        <v>1</v>
      </c>
      <c r="H122">
        <v>1</v>
      </c>
      <c r="I122" t="s">
        <v>64</v>
      </c>
      <c r="J122" t="s">
        <v>65</v>
      </c>
      <c r="K122">
        <v>6.9900000000000004E-2</v>
      </c>
      <c r="L122">
        <v>1.49</v>
      </c>
      <c r="M122">
        <v>7.2</v>
      </c>
      <c r="N122" t="s">
        <v>66</v>
      </c>
      <c r="O122" t="s">
        <v>67</v>
      </c>
      <c r="P122">
        <v>0.42599999999999999</v>
      </c>
      <c r="Q122">
        <v>5.79</v>
      </c>
      <c r="R122">
        <v>242</v>
      </c>
      <c r="T122" s="4">
        <v>1</v>
      </c>
      <c r="U122" s="4">
        <v>1</v>
      </c>
      <c r="V122" s="4"/>
      <c r="W122" s="13">
        <f t="shared" si="24"/>
        <v>7.2</v>
      </c>
      <c r="X122" s="15">
        <f t="shared" si="25"/>
        <v>7.2</v>
      </c>
      <c r="Y122" s="15">
        <f t="shared" si="26"/>
        <v>7.2</v>
      </c>
      <c r="AB122" s="13"/>
      <c r="AF122" s="4">
        <v>1</v>
      </c>
      <c r="AG122" s="4"/>
      <c r="AH122" s="4">
        <f t="shared" si="22"/>
        <v>242</v>
      </c>
      <c r="AI122" s="4">
        <f t="shared" si="23"/>
        <v>242</v>
      </c>
      <c r="AJ122" s="4">
        <f t="shared" si="27"/>
        <v>242</v>
      </c>
      <c r="AM122" s="13"/>
      <c r="AO122" s="13"/>
      <c r="AQ122" s="4"/>
      <c r="AR122" s="4">
        <v>116</v>
      </c>
      <c r="AS122" s="4"/>
    </row>
    <row r="123" spans="1:72">
      <c r="A123" s="1">
        <v>46101</v>
      </c>
      <c r="B123" s="16">
        <v>0.585474537037037</v>
      </c>
      <c r="C123" t="s">
        <v>221</v>
      </c>
      <c r="D123" t="s">
        <v>124</v>
      </c>
      <c r="E123">
        <v>85</v>
      </c>
      <c r="F123" t="s">
        <v>63</v>
      </c>
      <c r="G123">
        <v>1</v>
      </c>
      <c r="H123">
        <v>1</v>
      </c>
      <c r="I123" t="s">
        <v>64</v>
      </c>
      <c r="J123" t="s">
        <v>65</v>
      </c>
      <c r="K123">
        <v>6.9699999999999998E-2</v>
      </c>
      <c r="L123">
        <v>1.49</v>
      </c>
      <c r="M123">
        <v>7.23</v>
      </c>
      <c r="N123" t="s">
        <v>66</v>
      </c>
      <c r="O123" t="s">
        <v>67</v>
      </c>
      <c r="P123">
        <v>0.24399999999999999</v>
      </c>
      <c r="Q123">
        <v>3.34</v>
      </c>
      <c r="R123">
        <v>79.3</v>
      </c>
      <c r="T123" s="4">
        <v>1</v>
      </c>
      <c r="U123" s="4">
        <v>1</v>
      </c>
      <c r="V123" s="4"/>
      <c r="W123" s="13">
        <f t="shared" si="24"/>
        <v>7.23</v>
      </c>
      <c r="X123" s="15">
        <f t="shared" si="25"/>
        <v>7.23</v>
      </c>
      <c r="Y123" s="15">
        <f t="shared" si="26"/>
        <v>7.23</v>
      </c>
      <c r="Z123" s="4"/>
      <c r="AA123" s="4"/>
      <c r="AB123" s="13"/>
      <c r="AF123" s="4">
        <v>1</v>
      </c>
      <c r="AG123" s="4"/>
      <c r="AH123" s="4">
        <f t="shared" si="22"/>
        <v>79.3</v>
      </c>
      <c r="AI123" s="4">
        <f t="shared" si="23"/>
        <v>79.3</v>
      </c>
      <c r="AJ123" s="4">
        <f t="shared" si="27"/>
        <v>79.3</v>
      </c>
      <c r="AK123" s="15"/>
      <c r="AL123" s="4"/>
      <c r="AM123" s="13"/>
      <c r="AO123" s="13"/>
      <c r="AQ123" s="4"/>
      <c r="AR123" s="4">
        <v>117</v>
      </c>
      <c r="AS123" s="4"/>
    </row>
    <row r="124" spans="1:72">
      <c r="A124" s="1">
        <v>46101</v>
      </c>
      <c r="B124" s="16">
        <v>0.58635416666666662</v>
      </c>
      <c r="C124" t="s">
        <v>221</v>
      </c>
      <c r="D124" t="s">
        <v>125</v>
      </c>
      <c r="E124">
        <v>86</v>
      </c>
      <c r="F124" t="s">
        <v>85</v>
      </c>
      <c r="G124">
        <v>1</v>
      </c>
      <c r="H124">
        <v>1</v>
      </c>
      <c r="I124" t="s">
        <v>64</v>
      </c>
      <c r="J124" t="s">
        <v>65</v>
      </c>
      <c r="K124">
        <v>5.0099999999999999E-2</v>
      </c>
      <c r="L124">
        <v>1.17</v>
      </c>
      <c r="M124">
        <v>-2.59</v>
      </c>
      <c r="N124" t="s">
        <v>66</v>
      </c>
      <c r="O124" t="s">
        <v>67</v>
      </c>
      <c r="P124">
        <v>1.69</v>
      </c>
      <c r="Q124">
        <v>22</v>
      </c>
      <c r="R124">
        <v>1260</v>
      </c>
      <c r="S124" s="4"/>
      <c r="T124" s="4">
        <v>1</v>
      </c>
      <c r="U124" s="4">
        <v>1</v>
      </c>
      <c r="V124" s="4"/>
      <c r="W124" s="13">
        <f t="shared" ref="W124:W155" si="28">M124*H124</f>
        <v>-2.59</v>
      </c>
      <c r="X124" s="15">
        <f t="shared" ref="X124:X155" si="29">IF(T124=1,W124,(W124-0))</f>
        <v>-2.59</v>
      </c>
      <c r="Y124" s="15">
        <f t="shared" ref="Y124:Y155" si="30">IF(T124=1,W124,(X124*T124))</f>
        <v>-2.59</v>
      </c>
      <c r="Z124" s="4"/>
      <c r="AA124" s="4"/>
      <c r="AB124" s="13"/>
      <c r="AF124" s="4">
        <v>1</v>
      </c>
      <c r="AG124" s="4"/>
      <c r="AH124" s="4">
        <f t="shared" ref="AH124:AH187" si="31">R124*H124</f>
        <v>1260</v>
      </c>
      <c r="AI124" s="4">
        <f t="shared" si="23"/>
        <v>1260</v>
      </c>
      <c r="AJ124" s="4">
        <f t="shared" si="27"/>
        <v>1260</v>
      </c>
      <c r="AK124" s="15"/>
      <c r="AL124" s="4"/>
      <c r="AM124" s="13"/>
      <c r="AO124" s="13"/>
      <c r="AQ124" s="4"/>
      <c r="AR124" s="4">
        <v>118</v>
      </c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</row>
    <row r="125" spans="1:72">
      <c r="A125" s="1">
        <v>46101</v>
      </c>
      <c r="B125" s="16">
        <v>0.58725694444444443</v>
      </c>
      <c r="C125" t="s">
        <v>221</v>
      </c>
      <c r="D125" t="s">
        <v>204</v>
      </c>
      <c r="E125">
        <v>92</v>
      </c>
      <c r="F125" t="s">
        <v>85</v>
      </c>
      <c r="G125">
        <v>1</v>
      </c>
      <c r="H125">
        <v>1</v>
      </c>
      <c r="I125" t="s">
        <v>64</v>
      </c>
      <c r="J125" t="s">
        <v>65</v>
      </c>
      <c r="K125">
        <v>5.2900000000000003E-2</v>
      </c>
      <c r="L125">
        <v>1.27</v>
      </c>
      <c r="M125">
        <v>0.41199999999999998</v>
      </c>
      <c r="N125" t="s">
        <v>66</v>
      </c>
      <c r="O125" t="s">
        <v>67</v>
      </c>
      <c r="P125">
        <v>1.69</v>
      </c>
      <c r="Q125">
        <v>22.1</v>
      </c>
      <c r="R125">
        <v>1260</v>
      </c>
      <c r="S125" s="4"/>
      <c r="T125" s="4">
        <v>1</v>
      </c>
      <c r="U125" s="4">
        <v>1</v>
      </c>
      <c r="V125" s="4"/>
      <c r="W125" s="13">
        <f t="shared" si="28"/>
        <v>0.41199999999999998</v>
      </c>
      <c r="X125" s="15">
        <f t="shared" si="29"/>
        <v>0.41199999999999998</v>
      </c>
      <c r="Y125" s="15">
        <f t="shared" si="30"/>
        <v>0.41199999999999998</v>
      </c>
      <c r="Z125" s="4"/>
      <c r="AA125" s="4"/>
      <c r="AB125" s="13">
        <f>ABS(100*ABS(Y125-Y124)/AVERAGE(Y125,Y124))</f>
        <v>275.66574839302109</v>
      </c>
      <c r="AC125" t="str">
        <f>IF(Y125&gt;10, (IF((AND(AB125&gt;=0,AB125&lt;=20)=TRUE),"PASS","FAIL")),(IF((AND(AB125&gt;=0,AB125&lt;=50)=TRUE),"PASS","FAIL")))</f>
        <v>FAIL</v>
      </c>
      <c r="AF125" s="4">
        <v>1</v>
      </c>
      <c r="AG125" s="4"/>
      <c r="AH125" s="4">
        <f t="shared" si="31"/>
        <v>1260</v>
      </c>
      <c r="AI125" s="4">
        <f t="shared" si="23"/>
        <v>1260</v>
      </c>
      <c r="AJ125" s="4">
        <f t="shared" si="27"/>
        <v>1260</v>
      </c>
      <c r="AK125" s="15"/>
      <c r="AL125" s="4"/>
      <c r="AM125" s="13">
        <f>ABS(100*ABS(AJ125-AJ124)/AVERAGE(AJ125,AJ124))</f>
        <v>0</v>
      </c>
      <c r="AN125" t="str">
        <f>IF(AJ125&gt;10, (IF((AND(AM125&gt;=0,AM125&lt;=20)=TRUE),"PASS","FAIL")),(IF((AND(AM125&gt;=0,AM125&lt;=50)=TRUE),"PASS","FAIL")))</f>
        <v>PASS</v>
      </c>
      <c r="AO125" s="13"/>
      <c r="AQ125" s="4"/>
      <c r="AR125" s="4">
        <v>119</v>
      </c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</row>
    <row r="126" spans="1:72">
      <c r="A126" s="1">
        <v>46101</v>
      </c>
      <c r="B126" s="16">
        <v>0.58812500000000001</v>
      </c>
      <c r="C126" t="s">
        <v>221</v>
      </c>
      <c r="D126" t="s">
        <v>126</v>
      </c>
      <c r="E126">
        <v>87</v>
      </c>
      <c r="F126" t="s">
        <v>63</v>
      </c>
      <c r="G126">
        <v>1</v>
      </c>
      <c r="H126">
        <v>1</v>
      </c>
      <c r="I126" t="s">
        <v>64</v>
      </c>
      <c r="J126" t="s">
        <v>65</v>
      </c>
      <c r="K126">
        <v>0.11</v>
      </c>
      <c r="L126">
        <v>2.2400000000000002</v>
      </c>
      <c r="M126">
        <v>29.6</v>
      </c>
      <c r="N126" t="s">
        <v>66</v>
      </c>
      <c r="O126" t="s">
        <v>67</v>
      </c>
      <c r="P126">
        <v>0.35199999999999998</v>
      </c>
      <c r="Q126">
        <v>4.79</v>
      </c>
      <c r="R126">
        <v>176</v>
      </c>
      <c r="S126" s="4"/>
      <c r="T126" s="4">
        <v>2</v>
      </c>
      <c r="U126" s="4">
        <v>1</v>
      </c>
      <c r="V126" s="4"/>
      <c r="W126" s="13">
        <f t="shared" si="28"/>
        <v>29.6</v>
      </c>
      <c r="X126" s="15">
        <f t="shared" si="29"/>
        <v>29.6</v>
      </c>
      <c r="Y126" s="15">
        <f t="shared" si="30"/>
        <v>59.2</v>
      </c>
      <c r="Z126" s="4"/>
      <c r="AA126" s="4"/>
      <c r="AB126" s="13"/>
      <c r="AF126" s="4">
        <v>1</v>
      </c>
      <c r="AG126" s="4"/>
      <c r="AH126" s="4">
        <f t="shared" si="31"/>
        <v>176</v>
      </c>
      <c r="AI126" s="4">
        <f t="shared" si="23"/>
        <v>176</v>
      </c>
      <c r="AJ126" s="4">
        <f t="shared" si="27"/>
        <v>352</v>
      </c>
      <c r="AK126" s="15"/>
      <c r="AL126" s="4"/>
      <c r="AM126" s="13"/>
      <c r="AO126" s="13"/>
      <c r="AQ126" s="4"/>
      <c r="AR126" s="4">
        <v>120</v>
      </c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</row>
    <row r="127" spans="1:72">
      <c r="A127" s="1">
        <v>46101</v>
      </c>
      <c r="B127" s="16">
        <v>0.58902777777777782</v>
      </c>
      <c r="C127" t="s">
        <v>221</v>
      </c>
      <c r="D127" t="s">
        <v>127</v>
      </c>
      <c r="E127">
        <v>88</v>
      </c>
      <c r="F127" t="s">
        <v>63</v>
      </c>
      <c r="G127">
        <v>1</v>
      </c>
      <c r="H127">
        <v>1</v>
      </c>
      <c r="I127" t="s">
        <v>64</v>
      </c>
      <c r="J127" t="s">
        <v>65</v>
      </c>
      <c r="K127">
        <v>8.4900000000000003E-2</v>
      </c>
      <c r="L127">
        <v>1.73</v>
      </c>
      <c r="M127">
        <v>14.3</v>
      </c>
      <c r="N127" t="s">
        <v>66</v>
      </c>
      <c r="O127" t="s">
        <v>67</v>
      </c>
      <c r="P127">
        <v>0.52800000000000002</v>
      </c>
      <c r="Q127">
        <v>7.08</v>
      </c>
      <c r="R127">
        <v>327</v>
      </c>
      <c r="S127" s="4"/>
      <c r="T127" s="4">
        <v>2</v>
      </c>
      <c r="U127" s="4">
        <v>1</v>
      </c>
      <c r="V127" s="4"/>
      <c r="W127" s="13">
        <f t="shared" si="28"/>
        <v>14.3</v>
      </c>
      <c r="X127" s="15">
        <f t="shared" si="29"/>
        <v>14.3</v>
      </c>
      <c r="Y127" s="15">
        <f t="shared" si="30"/>
        <v>28.6</v>
      </c>
      <c r="Z127" s="4"/>
      <c r="AA127" s="4"/>
      <c r="AB127" s="13"/>
      <c r="AF127" s="4">
        <v>1</v>
      </c>
      <c r="AG127" s="4"/>
      <c r="AH127" s="4">
        <f t="shared" si="31"/>
        <v>327</v>
      </c>
      <c r="AI127" s="4">
        <f t="shared" si="23"/>
        <v>327</v>
      </c>
      <c r="AJ127" s="4">
        <f t="shared" si="27"/>
        <v>654</v>
      </c>
      <c r="AK127" s="15"/>
      <c r="AL127" s="4"/>
      <c r="AM127" s="13"/>
      <c r="AO127" s="13"/>
      <c r="AQ127" s="4"/>
      <c r="AR127" s="4">
        <v>121</v>
      </c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</row>
    <row r="128" spans="1:72">
      <c r="A128" s="1">
        <v>46101</v>
      </c>
      <c r="B128" s="16">
        <v>0.58990740740740744</v>
      </c>
      <c r="C128" t="s">
        <v>221</v>
      </c>
      <c r="D128" t="s">
        <v>128</v>
      </c>
      <c r="E128">
        <v>89</v>
      </c>
      <c r="F128" t="s">
        <v>63</v>
      </c>
      <c r="G128">
        <v>1</v>
      </c>
      <c r="H128">
        <v>1</v>
      </c>
      <c r="I128" t="s">
        <v>64</v>
      </c>
      <c r="J128" t="s">
        <v>65</v>
      </c>
      <c r="K128">
        <v>0.151</v>
      </c>
      <c r="L128">
        <v>3</v>
      </c>
      <c r="M128">
        <v>51.9</v>
      </c>
      <c r="N128" t="s">
        <v>66</v>
      </c>
      <c r="O128" t="s">
        <v>67</v>
      </c>
      <c r="P128">
        <v>0.89400000000000002</v>
      </c>
      <c r="Q128">
        <v>11.7</v>
      </c>
      <c r="R128">
        <v>628</v>
      </c>
      <c r="T128" s="4">
        <v>2</v>
      </c>
      <c r="U128" s="4">
        <v>1</v>
      </c>
      <c r="V128" s="4"/>
      <c r="W128" s="13">
        <f t="shared" si="28"/>
        <v>51.9</v>
      </c>
      <c r="X128" s="15">
        <f t="shared" si="29"/>
        <v>51.9</v>
      </c>
      <c r="Y128" s="15">
        <f t="shared" si="30"/>
        <v>103.8</v>
      </c>
      <c r="Z128" s="4"/>
      <c r="AA128" s="4"/>
      <c r="AB128" s="15"/>
      <c r="AC128" s="4"/>
      <c r="AD128" s="4"/>
      <c r="AE128" s="4"/>
      <c r="AF128" s="4">
        <v>1</v>
      </c>
      <c r="AG128" s="4"/>
      <c r="AH128" s="4">
        <f t="shared" si="31"/>
        <v>628</v>
      </c>
      <c r="AI128" s="4">
        <f t="shared" si="23"/>
        <v>628</v>
      </c>
      <c r="AJ128" s="4">
        <f t="shared" si="27"/>
        <v>1256</v>
      </c>
      <c r="AM128" s="15"/>
      <c r="AN128" s="4"/>
      <c r="AO128" s="15"/>
      <c r="AP128" s="4"/>
      <c r="AQ128" s="4"/>
      <c r="AR128" s="4">
        <v>122</v>
      </c>
      <c r="AS128" s="4"/>
    </row>
    <row r="129" spans="1:72">
      <c r="A129" s="1">
        <v>46101</v>
      </c>
      <c r="B129" s="16">
        <v>0.59079861111111109</v>
      </c>
      <c r="C129" t="s">
        <v>221</v>
      </c>
      <c r="D129" t="s">
        <v>129</v>
      </c>
      <c r="E129">
        <v>90</v>
      </c>
      <c r="F129" t="s">
        <v>63</v>
      </c>
      <c r="G129">
        <v>1</v>
      </c>
      <c r="H129">
        <v>1</v>
      </c>
      <c r="I129" t="s">
        <v>64</v>
      </c>
      <c r="J129" t="s">
        <v>65</v>
      </c>
      <c r="K129">
        <v>0.22900000000000001</v>
      </c>
      <c r="L129">
        <v>4.4800000000000004</v>
      </c>
      <c r="M129">
        <v>95.4</v>
      </c>
      <c r="N129" t="s">
        <v>66</v>
      </c>
      <c r="O129" t="s">
        <v>67</v>
      </c>
      <c r="P129">
        <v>1.18</v>
      </c>
      <c r="Q129">
        <v>15.4</v>
      </c>
      <c r="R129">
        <v>857</v>
      </c>
      <c r="T129" s="4">
        <v>2</v>
      </c>
      <c r="U129" s="4">
        <v>1</v>
      </c>
      <c r="V129" s="4"/>
      <c r="W129" s="13">
        <f t="shared" si="28"/>
        <v>95.4</v>
      </c>
      <c r="X129" s="15">
        <f t="shared" si="29"/>
        <v>95.4</v>
      </c>
      <c r="Y129" s="15">
        <f t="shared" si="30"/>
        <v>190.8</v>
      </c>
      <c r="AB129" s="13"/>
      <c r="AF129" s="4">
        <v>1</v>
      </c>
      <c r="AG129" s="4"/>
      <c r="AH129" s="4">
        <f t="shared" si="31"/>
        <v>857</v>
      </c>
      <c r="AI129" s="4">
        <f t="shared" si="23"/>
        <v>857</v>
      </c>
      <c r="AJ129" s="4">
        <f t="shared" si="27"/>
        <v>1714</v>
      </c>
      <c r="AK129" s="15"/>
      <c r="AL129" s="4"/>
      <c r="AM129" s="13"/>
      <c r="AO129" s="13"/>
      <c r="AQ129" s="4"/>
      <c r="AR129" s="4">
        <v>123</v>
      </c>
      <c r="AS129" s="4"/>
    </row>
    <row r="130" spans="1:72">
      <c r="A130" s="1">
        <v>46101</v>
      </c>
      <c r="B130" s="16">
        <v>0.59168981481481486</v>
      </c>
      <c r="C130" t="s">
        <v>221</v>
      </c>
      <c r="D130" t="s">
        <v>130</v>
      </c>
      <c r="E130">
        <v>91</v>
      </c>
      <c r="F130" t="s">
        <v>63</v>
      </c>
      <c r="G130">
        <v>1</v>
      </c>
      <c r="H130">
        <v>1</v>
      </c>
      <c r="I130" t="s">
        <v>64</v>
      </c>
      <c r="J130" t="s">
        <v>65</v>
      </c>
      <c r="K130">
        <v>9.0800000000000006E-2</v>
      </c>
      <c r="L130">
        <v>1.94</v>
      </c>
      <c r="M130">
        <v>20.6</v>
      </c>
      <c r="N130" t="s">
        <v>66</v>
      </c>
      <c r="O130" t="s">
        <v>67</v>
      </c>
      <c r="P130">
        <v>0.54600000000000004</v>
      </c>
      <c r="Q130">
        <v>7.27</v>
      </c>
      <c r="R130">
        <v>340</v>
      </c>
      <c r="T130" s="4">
        <v>2</v>
      </c>
      <c r="U130" s="4">
        <v>1</v>
      </c>
      <c r="V130" s="4"/>
      <c r="W130" s="13">
        <f t="shared" si="28"/>
        <v>20.6</v>
      </c>
      <c r="X130" s="15">
        <f t="shared" si="29"/>
        <v>20.6</v>
      </c>
      <c r="Y130" s="15">
        <f t="shared" si="30"/>
        <v>41.2</v>
      </c>
      <c r="Z130" s="4"/>
      <c r="AA130" s="4"/>
      <c r="AB130" s="13"/>
      <c r="AD130" s="4"/>
      <c r="AE130" s="4"/>
      <c r="AF130" s="4">
        <v>1</v>
      </c>
      <c r="AG130" s="4"/>
      <c r="AH130" s="4">
        <f t="shared" si="31"/>
        <v>340</v>
      </c>
      <c r="AI130" s="4">
        <f t="shared" si="23"/>
        <v>340</v>
      </c>
      <c r="AJ130" s="4">
        <f t="shared" si="27"/>
        <v>680</v>
      </c>
      <c r="AK130" s="15"/>
      <c r="AL130" s="4"/>
      <c r="AM130" s="13"/>
      <c r="AO130" s="15"/>
      <c r="AP130" s="4"/>
      <c r="AQ130" s="4"/>
      <c r="AR130" s="4">
        <v>124</v>
      </c>
      <c r="AS130" s="4"/>
    </row>
    <row r="131" spans="1:72">
      <c r="A131" s="1">
        <v>46101</v>
      </c>
      <c r="B131" s="16">
        <v>0.59258101851851852</v>
      </c>
      <c r="C131" t="s">
        <v>221</v>
      </c>
      <c r="D131" t="s">
        <v>208</v>
      </c>
      <c r="E131">
        <v>2</v>
      </c>
      <c r="F131" t="s">
        <v>92</v>
      </c>
      <c r="G131">
        <v>1</v>
      </c>
      <c r="H131">
        <v>1</v>
      </c>
      <c r="I131" t="s">
        <v>64</v>
      </c>
      <c r="J131" t="s">
        <v>65</v>
      </c>
      <c r="K131">
        <v>0.34</v>
      </c>
      <c r="L131">
        <v>6.37</v>
      </c>
      <c r="M131">
        <v>150</v>
      </c>
      <c r="N131" t="s">
        <v>66</v>
      </c>
      <c r="O131" t="s">
        <v>67</v>
      </c>
      <c r="P131">
        <v>1.99</v>
      </c>
      <c r="Q131">
        <v>25.9</v>
      </c>
      <c r="R131">
        <v>1490</v>
      </c>
      <c r="T131" s="4">
        <v>1</v>
      </c>
      <c r="U131" s="4">
        <v>1</v>
      </c>
      <c r="V131" s="4"/>
      <c r="W131" s="13">
        <f t="shared" si="28"/>
        <v>150</v>
      </c>
      <c r="X131" s="15">
        <f t="shared" si="29"/>
        <v>150</v>
      </c>
      <c r="Y131" s="15">
        <f t="shared" si="30"/>
        <v>150</v>
      </c>
      <c r="Z131" s="4">
        <f>100*(Y131-150)/150</f>
        <v>0</v>
      </c>
      <c r="AA131" s="4" t="str">
        <f>IF((ABS(Z131))&lt;=20,"PASS","FAIL")</f>
        <v>PASS</v>
      </c>
      <c r="AB131" s="15"/>
      <c r="AC131" s="4"/>
      <c r="AF131" s="4">
        <v>1</v>
      </c>
      <c r="AG131" s="4"/>
      <c r="AH131" s="4">
        <f t="shared" si="31"/>
        <v>1490</v>
      </c>
      <c r="AI131" s="4">
        <f t="shared" si="23"/>
        <v>1490</v>
      </c>
      <c r="AJ131" s="4">
        <f t="shared" si="27"/>
        <v>1490</v>
      </c>
      <c r="AK131" s="15">
        <f>100*(AJ131-1500)/1500</f>
        <v>-0.66666666666666663</v>
      </c>
      <c r="AL131" s="4" t="str">
        <f>IF((ABS(AK131))&lt;=20,"PASS","FAIL")</f>
        <v>PASS</v>
      </c>
      <c r="AM131" s="15"/>
      <c r="AN131" s="4"/>
      <c r="AO131" s="13"/>
      <c r="AQ131" s="4"/>
      <c r="AR131" s="4">
        <v>125</v>
      </c>
      <c r="AS131" s="4"/>
    </row>
    <row r="132" spans="1:72">
      <c r="A132" s="1">
        <v>46101</v>
      </c>
      <c r="B132" s="16">
        <v>0.59347222222222218</v>
      </c>
      <c r="C132" t="s">
        <v>221</v>
      </c>
      <c r="D132" t="s">
        <v>209</v>
      </c>
      <c r="E132">
        <v>4</v>
      </c>
      <c r="F132" t="s">
        <v>92</v>
      </c>
      <c r="G132">
        <v>1</v>
      </c>
      <c r="H132">
        <v>1</v>
      </c>
      <c r="I132" t="s">
        <v>64</v>
      </c>
      <c r="J132" t="s">
        <v>65</v>
      </c>
      <c r="K132">
        <v>0.246</v>
      </c>
      <c r="L132">
        <v>4.68</v>
      </c>
      <c r="M132">
        <v>101</v>
      </c>
      <c r="N132" t="s">
        <v>66</v>
      </c>
      <c r="O132" t="s">
        <v>67</v>
      </c>
      <c r="P132">
        <v>1.38</v>
      </c>
      <c r="Q132">
        <v>18.100000000000001</v>
      </c>
      <c r="R132">
        <v>1020</v>
      </c>
      <c r="S132" s="4"/>
      <c r="T132" s="4">
        <v>1</v>
      </c>
      <c r="U132" s="4">
        <v>1</v>
      </c>
      <c r="V132" s="4"/>
      <c r="W132" s="13">
        <f t="shared" si="28"/>
        <v>101</v>
      </c>
      <c r="X132" s="15">
        <f t="shared" si="29"/>
        <v>101</v>
      </c>
      <c r="Y132" s="15">
        <f t="shared" si="30"/>
        <v>101</v>
      </c>
      <c r="Z132" s="4">
        <f>100*(Y132-100)/100</f>
        <v>1</v>
      </c>
      <c r="AA132" s="4" t="str">
        <f t="shared" ref="AA132:AA136" si="32">IF((ABS(Z132))&lt;=20,"PASS","FAIL")</f>
        <v>PASS</v>
      </c>
      <c r="AB132" s="13"/>
      <c r="AC132" s="4"/>
      <c r="AF132" s="4">
        <v>1</v>
      </c>
      <c r="AG132" s="4"/>
      <c r="AH132" s="4">
        <f t="shared" si="31"/>
        <v>1020</v>
      </c>
      <c r="AI132" s="4">
        <f t="shared" si="23"/>
        <v>1020</v>
      </c>
      <c r="AJ132" s="4">
        <f t="shared" si="27"/>
        <v>1020</v>
      </c>
      <c r="AK132" s="15">
        <f>100*(AJ132-1000)/1000</f>
        <v>2</v>
      </c>
      <c r="AL132" s="4" t="str">
        <f t="shared" ref="AL132:AL136" si="33">IF((ABS(AK132))&lt;=20,"PASS","FAIL")</f>
        <v>PASS</v>
      </c>
      <c r="AM132" s="13"/>
      <c r="AN132" s="4"/>
      <c r="AO132" s="15"/>
      <c r="AQ132" s="4"/>
      <c r="AR132" s="4">
        <v>126</v>
      </c>
      <c r="AS132" s="4"/>
    </row>
    <row r="133" spans="1:72">
      <c r="A133" s="1">
        <v>46101</v>
      </c>
      <c r="B133" s="16">
        <v>0.5943518518518518</v>
      </c>
      <c r="C133" t="s">
        <v>221</v>
      </c>
      <c r="D133" t="s">
        <v>210</v>
      </c>
      <c r="E133">
        <v>6</v>
      </c>
      <c r="F133" t="s">
        <v>92</v>
      </c>
      <c r="G133">
        <v>1</v>
      </c>
      <c r="H133">
        <v>1</v>
      </c>
      <c r="I133" t="s">
        <v>64</v>
      </c>
      <c r="J133" t="s">
        <v>65</v>
      </c>
      <c r="K133">
        <v>0.14699999999999999</v>
      </c>
      <c r="L133">
        <v>2.89</v>
      </c>
      <c r="M133">
        <v>48.9</v>
      </c>
      <c r="N133" t="s">
        <v>66</v>
      </c>
      <c r="O133" t="s">
        <v>67</v>
      </c>
      <c r="P133">
        <v>0.63200000000000001</v>
      </c>
      <c r="Q133">
        <v>8.52</v>
      </c>
      <c r="R133">
        <v>421</v>
      </c>
      <c r="T133" s="4">
        <v>1</v>
      </c>
      <c r="U133" s="4">
        <v>1</v>
      </c>
      <c r="V133" s="4"/>
      <c r="W133" s="13">
        <f t="shared" si="28"/>
        <v>48.9</v>
      </c>
      <c r="X133" s="15">
        <f t="shared" si="29"/>
        <v>48.9</v>
      </c>
      <c r="Y133" s="15">
        <f t="shared" si="30"/>
        <v>48.9</v>
      </c>
      <c r="Z133" s="4">
        <f>100*(Y133-50)/50</f>
        <v>-2.2000000000000028</v>
      </c>
      <c r="AA133" s="4" t="str">
        <f t="shared" si="32"/>
        <v>PASS</v>
      </c>
      <c r="AB133" s="15"/>
      <c r="AC133" s="4"/>
      <c r="AD133" s="4"/>
      <c r="AE133" s="4"/>
      <c r="AF133" s="4">
        <v>1</v>
      </c>
      <c r="AG133" s="4"/>
      <c r="AH133" s="4">
        <f t="shared" si="31"/>
        <v>421</v>
      </c>
      <c r="AI133" s="4">
        <f t="shared" si="23"/>
        <v>421</v>
      </c>
      <c r="AJ133" s="4">
        <f t="shared" si="27"/>
        <v>421</v>
      </c>
      <c r="AK133" s="15">
        <f>100*(AJ133-500)/500</f>
        <v>-15.8</v>
      </c>
      <c r="AL133" s="4" t="str">
        <f t="shared" si="33"/>
        <v>PASS</v>
      </c>
      <c r="AM133" s="15"/>
      <c r="AN133" s="4"/>
      <c r="AO133" s="15"/>
      <c r="AP133" s="4"/>
      <c r="AQ133" s="4"/>
      <c r="AR133" s="4">
        <v>127</v>
      </c>
      <c r="AS133" s="4"/>
    </row>
    <row r="134" spans="1:72">
      <c r="A134" s="1">
        <v>46101</v>
      </c>
      <c r="B134" s="16">
        <v>0.59525462962962961</v>
      </c>
      <c r="C134" t="s">
        <v>221</v>
      </c>
      <c r="D134" t="s">
        <v>101</v>
      </c>
      <c r="E134">
        <v>8</v>
      </c>
      <c r="F134" t="s">
        <v>92</v>
      </c>
      <c r="G134">
        <v>1</v>
      </c>
      <c r="H134">
        <v>1</v>
      </c>
      <c r="I134" t="s">
        <v>64</v>
      </c>
      <c r="J134" t="s">
        <v>65</v>
      </c>
      <c r="K134">
        <v>0.10299999999999999</v>
      </c>
      <c r="L134">
        <v>2.1</v>
      </c>
      <c r="M134">
        <v>25.2</v>
      </c>
      <c r="N134" t="s">
        <v>66</v>
      </c>
      <c r="O134" t="s">
        <v>67</v>
      </c>
      <c r="P134">
        <v>0.49099999999999999</v>
      </c>
      <c r="Q134">
        <v>6.58</v>
      </c>
      <c r="R134">
        <v>294</v>
      </c>
      <c r="T134" s="4">
        <v>1</v>
      </c>
      <c r="U134" s="4">
        <v>1</v>
      </c>
      <c r="V134" s="4"/>
      <c r="W134" s="13">
        <f t="shared" si="28"/>
        <v>25.2</v>
      </c>
      <c r="X134" s="15">
        <f t="shared" si="29"/>
        <v>25.2</v>
      </c>
      <c r="Y134" s="15">
        <f t="shared" si="30"/>
        <v>25.2</v>
      </c>
      <c r="Z134" s="4">
        <f>100*(Y134-25)/25</f>
        <v>0.79999999999999716</v>
      </c>
      <c r="AA134" s="4" t="str">
        <f t="shared" si="32"/>
        <v>PASS</v>
      </c>
      <c r="AB134" s="13"/>
      <c r="AC134" s="4"/>
      <c r="AF134" s="4">
        <v>1</v>
      </c>
      <c r="AG134" s="4"/>
      <c r="AH134" s="4">
        <f t="shared" si="31"/>
        <v>294</v>
      </c>
      <c r="AI134" s="4">
        <f t="shared" si="23"/>
        <v>294</v>
      </c>
      <c r="AJ134" s="4">
        <f t="shared" si="27"/>
        <v>294</v>
      </c>
      <c r="AK134" s="15">
        <f>100*(AJ134-250)/250</f>
        <v>17.600000000000001</v>
      </c>
      <c r="AL134" s="4" t="str">
        <f t="shared" si="33"/>
        <v>PASS</v>
      </c>
      <c r="AM134" s="13"/>
      <c r="AN134" s="4"/>
      <c r="AO134" s="15"/>
      <c r="AQ134" s="4"/>
      <c r="AR134" s="4">
        <v>128</v>
      </c>
      <c r="AS134" s="4"/>
    </row>
    <row r="135" spans="1:72">
      <c r="A135" s="1">
        <v>46101</v>
      </c>
      <c r="B135" s="16">
        <v>0.59613425925925922</v>
      </c>
      <c r="C135" t="s">
        <v>221</v>
      </c>
      <c r="D135" t="s">
        <v>211</v>
      </c>
      <c r="E135">
        <v>10</v>
      </c>
      <c r="F135" t="s">
        <v>92</v>
      </c>
      <c r="G135">
        <v>1</v>
      </c>
      <c r="H135">
        <v>1</v>
      </c>
      <c r="I135" t="s">
        <v>64</v>
      </c>
      <c r="J135" t="s">
        <v>65</v>
      </c>
      <c r="K135">
        <v>7.17E-2</v>
      </c>
      <c r="L135">
        <v>1.52</v>
      </c>
      <c r="M135">
        <v>7.92</v>
      </c>
      <c r="N135" t="s">
        <v>66</v>
      </c>
      <c r="O135" t="s">
        <v>67</v>
      </c>
      <c r="P135">
        <v>0.30199999999999999</v>
      </c>
      <c r="Q135">
        <v>4.13</v>
      </c>
      <c r="R135">
        <v>132</v>
      </c>
      <c r="T135" s="4">
        <v>1</v>
      </c>
      <c r="U135" s="4">
        <v>1</v>
      </c>
      <c r="V135" s="4"/>
      <c r="W135" s="13">
        <f t="shared" si="28"/>
        <v>7.92</v>
      </c>
      <c r="X135" s="15">
        <f t="shared" si="29"/>
        <v>7.92</v>
      </c>
      <c r="Y135" s="15">
        <f t="shared" si="30"/>
        <v>7.92</v>
      </c>
      <c r="Z135" s="4">
        <f>100*(Y135-10)/10</f>
        <v>-20.8</v>
      </c>
      <c r="AA135" s="4" t="str">
        <f t="shared" si="32"/>
        <v>FAIL</v>
      </c>
      <c r="AB135" s="13"/>
      <c r="AC135" s="4"/>
      <c r="AD135" s="4"/>
      <c r="AE135" s="4"/>
      <c r="AF135" s="4">
        <v>1</v>
      </c>
      <c r="AG135" s="4"/>
      <c r="AH135" s="4">
        <f t="shared" si="31"/>
        <v>132</v>
      </c>
      <c r="AI135" s="4">
        <f t="shared" si="23"/>
        <v>132</v>
      </c>
      <c r="AJ135" s="4">
        <f t="shared" si="27"/>
        <v>132</v>
      </c>
      <c r="AK135" s="15">
        <f>100*(AJ135-100)/100</f>
        <v>32</v>
      </c>
      <c r="AL135" s="4" t="str">
        <f t="shared" si="33"/>
        <v>FAIL</v>
      </c>
      <c r="AM135" s="13"/>
      <c r="AN135" s="4"/>
      <c r="AO135" s="15"/>
      <c r="AP135" s="4"/>
      <c r="AQ135" s="4"/>
      <c r="AR135" s="4">
        <v>129</v>
      </c>
      <c r="AS135" s="4"/>
    </row>
    <row r="136" spans="1:72">
      <c r="A136" s="1">
        <v>46101</v>
      </c>
      <c r="B136" s="16">
        <v>0.59701388888888884</v>
      </c>
      <c r="C136" t="s">
        <v>221</v>
      </c>
      <c r="D136" t="s">
        <v>212</v>
      </c>
      <c r="E136">
        <v>12</v>
      </c>
      <c r="F136" t="s">
        <v>92</v>
      </c>
      <c r="G136">
        <v>1</v>
      </c>
      <c r="H136">
        <v>1</v>
      </c>
      <c r="I136" t="s">
        <v>64</v>
      </c>
      <c r="J136" t="s">
        <v>65</v>
      </c>
      <c r="K136">
        <v>6.3E-2</v>
      </c>
      <c r="L136">
        <v>1.33</v>
      </c>
      <c r="M136">
        <v>2.25</v>
      </c>
      <c r="N136" t="s">
        <v>66</v>
      </c>
      <c r="O136" t="s">
        <v>67</v>
      </c>
      <c r="P136">
        <v>0.253</v>
      </c>
      <c r="Q136">
        <v>3.51</v>
      </c>
      <c r="R136">
        <v>90.2</v>
      </c>
      <c r="S136" s="4"/>
      <c r="T136" s="4">
        <v>1</v>
      </c>
      <c r="U136" s="4">
        <v>1</v>
      </c>
      <c r="V136" s="4"/>
      <c r="W136" s="13">
        <f t="shared" si="28"/>
        <v>2.25</v>
      </c>
      <c r="X136" s="15">
        <f t="shared" si="29"/>
        <v>2.25</v>
      </c>
      <c r="Y136" s="15">
        <f t="shared" si="30"/>
        <v>2.25</v>
      </c>
      <c r="Z136" s="4">
        <f>100*(Y136-5)/5</f>
        <v>-55</v>
      </c>
      <c r="AA136" s="4" t="str">
        <f t="shared" si="32"/>
        <v>FAIL</v>
      </c>
      <c r="AB136" s="15"/>
      <c r="AC136" s="4"/>
      <c r="AF136" s="4">
        <v>1</v>
      </c>
      <c r="AG136" s="4"/>
      <c r="AH136" s="4">
        <f t="shared" si="31"/>
        <v>90.2</v>
      </c>
      <c r="AI136" s="4">
        <f t="shared" si="23"/>
        <v>90.2</v>
      </c>
      <c r="AJ136" s="4">
        <f t="shared" si="27"/>
        <v>90.2</v>
      </c>
      <c r="AK136" s="15">
        <f>100*(AJ136-50)/50</f>
        <v>80.400000000000006</v>
      </c>
      <c r="AL136" s="4" t="str">
        <f t="shared" si="33"/>
        <v>FAIL</v>
      </c>
      <c r="AM136" s="15"/>
      <c r="AN136" s="4"/>
      <c r="AO136" s="15"/>
      <c r="AQ136" s="4"/>
      <c r="AR136" s="4">
        <v>130</v>
      </c>
      <c r="AS136" s="4"/>
    </row>
    <row r="137" spans="1:72">
      <c r="A137" s="1">
        <v>46101</v>
      </c>
      <c r="B137" s="16">
        <v>0.59789351851851846</v>
      </c>
      <c r="C137" t="s">
        <v>221</v>
      </c>
      <c r="D137" t="s">
        <v>213</v>
      </c>
      <c r="E137">
        <v>14</v>
      </c>
      <c r="F137" t="s">
        <v>92</v>
      </c>
      <c r="G137">
        <v>1</v>
      </c>
      <c r="H137">
        <v>1</v>
      </c>
      <c r="I137" t="s">
        <v>64</v>
      </c>
      <c r="J137" t="s">
        <v>65</v>
      </c>
      <c r="K137">
        <v>5.3499999999999999E-2</v>
      </c>
      <c r="L137">
        <v>1.21</v>
      </c>
      <c r="M137">
        <v>-1.18</v>
      </c>
      <c r="N137" t="s">
        <v>66</v>
      </c>
      <c r="O137" t="s">
        <v>67</v>
      </c>
      <c r="P137">
        <v>0.17699999999999999</v>
      </c>
      <c r="Q137">
        <v>2.56</v>
      </c>
      <c r="R137">
        <v>26.5</v>
      </c>
      <c r="T137" s="4">
        <v>1</v>
      </c>
      <c r="U137" s="4">
        <v>1</v>
      </c>
      <c r="V137" s="4"/>
      <c r="W137" s="13">
        <f t="shared" si="28"/>
        <v>-1.18</v>
      </c>
      <c r="X137" s="15">
        <f t="shared" si="29"/>
        <v>-1.18</v>
      </c>
      <c r="Y137" s="15">
        <f t="shared" si="30"/>
        <v>-1.18</v>
      </c>
      <c r="Z137" s="4"/>
      <c r="AA137" s="4"/>
      <c r="AB137" s="13"/>
      <c r="AC137" s="4"/>
      <c r="AF137" s="4">
        <v>1</v>
      </c>
      <c r="AG137" s="4"/>
      <c r="AH137" s="4">
        <f t="shared" si="31"/>
        <v>26.5</v>
      </c>
      <c r="AI137" s="4">
        <f t="shared" si="23"/>
        <v>26.5</v>
      </c>
      <c r="AJ137" s="4">
        <f t="shared" si="27"/>
        <v>26.5</v>
      </c>
      <c r="AK137" s="15"/>
      <c r="AL137" s="4"/>
      <c r="AM137" s="13"/>
      <c r="AN137" s="4"/>
      <c r="AO137" s="15"/>
      <c r="AQ137" s="4"/>
      <c r="AR137" s="4">
        <v>131</v>
      </c>
      <c r="AS137" s="4"/>
    </row>
    <row r="138" spans="1:72">
      <c r="A138" s="1">
        <v>46101</v>
      </c>
      <c r="B138" s="16">
        <v>0.59878472222222223</v>
      </c>
      <c r="C138" t="s">
        <v>221</v>
      </c>
      <c r="D138" t="s">
        <v>131</v>
      </c>
      <c r="E138">
        <v>94</v>
      </c>
      <c r="F138" t="s">
        <v>63</v>
      </c>
      <c r="G138">
        <v>1</v>
      </c>
      <c r="H138">
        <v>1</v>
      </c>
      <c r="I138" t="s">
        <v>64</v>
      </c>
      <c r="J138" t="s">
        <v>65</v>
      </c>
      <c r="K138">
        <v>0.121</v>
      </c>
      <c r="L138">
        <v>2.5499999999999998</v>
      </c>
      <c r="M138">
        <v>38.700000000000003</v>
      </c>
      <c r="N138" t="s">
        <v>66</v>
      </c>
      <c r="O138" t="s">
        <v>67</v>
      </c>
      <c r="P138">
        <v>0.69899999999999995</v>
      </c>
      <c r="Q138">
        <v>9.15</v>
      </c>
      <c r="R138">
        <v>462</v>
      </c>
      <c r="T138" s="4">
        <v>2</v>
      </c>
      <c r="U138" s="4">
        <v>1</v>
      </c>
      <c r="V138" s="4"/>
      <c r="W138" s="13">
        <f t="shared" si="28"/>
        <v>38.700000000000003</v>
      </c>
      <c r="X138" s="15">
        <f t="shared" si="29"/>
        <v>38.700000000000003</v>
      </c>
      <c r="Y138" s="15">
        <f t="shared" si="30"/>
        <v>77.400000000000006</v>
      </c>
      <c r="Z138" s="4"/>
      <c r="AA138" s="4"/>
      <c r="AB138" s="15"/>
      <c r="AC138" s="4"/>
      <c r="AD138" s="4"/>
      <c r="AE138" s="4"/>
      <c r="AF138" s="4">
        <v>1</v>
      </c>
      <c r="AG138" s="4"/>
      <c r="AH138" s="4">
        <f t="shared" si="31"/>
        <v>462</v>
      </c>
      <c r="AI138" s="4">
        <f t="shared" si="23"/>
        <v>462</v>
      </c>
      <c r="AJ138" s="4">
        <f t="shared" si="27"/>
        <v>924</v>
      </c>
      <c r="AK138" s="15"/>
      <c r="AL138" s="4"/>
      <c r="AM138" s="15"/>
      <c r="AN138" s="4"/>
      <c r="AO138" s="15"/>
      <c r="AP138" s="4"/>
      <c r="AQ138" s="4"/>
      <c r="AR138" s="4">
        <v>132</v>
      </c>
      <c r="AS138" s="4"/>
    </row>
    <row r="139" spans="1:72">
      <c r="A139" s="1">
        <v>46101</v>
      </c>
      <c r="B139" s="16">
        <v>0.59967592592592589</v>
      </c>
      <c r="C139" t="s">
        <v>221</v>
      </c>
      <c r="D139" t="s">
        <v>132</v>
      </c>
      <c r="E139">
        <v>95</v>
      </c>
      <c r="F139" t="s">
        <v>63</v>
      </c>
      <c r="G139">
        <v>1</v>
      </c>
      <c r="H139">
        <v>1</v>
      </c>
      <c r="I139" t="s">
        <v>64</v>
      </c>
      <c r="J139" t="s">
        <v>65</v>
      </c>
      <c r="K139">
        <v>0.27900000000000003</v>
      </c>
      <c r="L139">
        <v>5.29</v>
      </c>
      <c r="M139">
        <v>119</v>
      </c>
      <c r="N139" t="s">
        <v>66</v>
      </c>
      <c r="O139" t="s">
        <v>67</v>
      </c>
      <c r="P139">
        <v>1.35</v>
      </c>
      <c r="Q139">
        <v>17.7</v>
      </c>
      <c r="R139">
        <v>1000</v>
      </c>
      <c r="T139" s="4">
        <v>2</v>
      </c>
      <c r="U139" s="4">
        <v>1</v>
      </c>
      <c r="V139" s="4"/>
      <c r="W139" s="13">
        <f t="shared" si="28"/>
        <v>119</v>
      </c>
      <c r="X139" s="15">
        <f t="shared" si="29"/>
        <v>119</v>
      </c>
      <c r="Y139" s="15">
        <f t="shared" si="30"/>
        <v>238</v>
      </c>
      <c r="Z139" s="4"/>
      <c r="AA139" s="4"/>
      <c r="AB139" s="13"/>
      <c r="AD139" s="4"/>
      <c r="AE139" s="4"/>
      <c r="AF139" s="4">
        <v>1</v>
      </c>
      <c r="AG139" s="4"/>
      <c r="AH139" s="4">
        <f t="shared" si="31"/>
        <v>1000</v>
      </c>
      <c r="AI139" s="4">
        <f t="shared" si="23"/>
        <v>1000</v>
      </c>
      <c r="AJ139" s="4">
        <f t="shared" si="27"/>
        <v>2000</v>
      </c>
      <c r="AK139" s="15"/>
      <c r="AL139" s="4"/>
      <c r="AM139" s="13"/>
      <c r="AO139" s="15"/>
      <c r="AP139" s="4"/>
      <c r="AQ139" s="4"/>
      <c r="AR139" s="4">
        <v>133</v>
      </c>
      <c r="AS139" s="4"/>
    </row>
    <row r="140" spans="1:72">
      <c r="A140" s="1">
        <v>46101</v>
      </c>
      <c r="B140" s="16">
        <v>0.60056712962962966</v>
      </c>
      <c r="C140" t="s">
        <v>221</v>
      </c>
      <c r="D140" t="s">
        <v>133</v>
      </c>
      <c r="E140">
        <v>96</v>
      </c>
      <c r="F140" t="s">
        <v>63</v>
      </c>
      <c r="G140">
        <v>1</v>
      </c>
      <c r="H140">
        <v>1</v>
      </c>
      <c r="I140" t="s">
        <v>64</v>
      </c>
      <c r="J140" t="s">
        <v>65</v>
      </c>
      <c r="K140">
        <v>0.23300000000000001</v>
      </c>
      <c r="L140">
        <v>4.45</v>
      </c>
      <c r="M140">
        <v>94.4</v>
      </c>
      <c r="N140" t="s">
        <v>66</v>
      </c>
      <c r="O140" t="s">
        <v>67</v>
      </c>
      <c r="P140">
        <v>1.21</v>
      </c>
      <c r="Q140">
        <v>15.8</v>
      </c>
      <c r="R140">
        <v>881</v>
      </c>
      <c r="S140" s="4"/>
      <c r="T140" s="4">
        <v>2</v>
      </c>
      <c r="U140" s="4">
        <v>1</v>
      </c>
      <c r="V140" s="4"/>
      <c r="W140" s="13">
        <f t="shared" si="28"/>
        <v>94.4</v>
      </c>
      <c r="X140" s="15">
        <f t="shared" si="29"/>
        <v>94.4</v>
      </c>
      <c r="Y140" s="15">
        <f t="shared" si="30"/>
        <v>188.8</v>
      </c>
      <c r="Z140" s="4"/>
      <c r="AA140" s="4"/>
      <c r="AB140" s="15"/>
      <c r="AC140" s="4"/>
      <c r="AD140" s="4"/>
      <c r="AE140" s="4"/>
      <c r="AF140" s="4">
        <v>1</v>
      </c>
      <c r="AG140" s="4"/>
      <c r="AH140" s="4">
        <f t="shared" si="31"/>
        <v>881</v>
      </c>
      <c r="AI140" s="4">
        <f t="shared" si="23"/>
        <v>881</v>
      </c>
      <c r="AJ140" s="4">
        <f t="shared" si="27"/>
        <v>1762</v>
      </c>
      <c r="AK140" s="15"/>
      <c r="AL140" s="4"/>
      <c r="AM140" s="15"/>
      <c r="AN140" s="4"/>
      <c r="AO140" s="15"/>
      <c r="AP140" s="4"/>
      <c r="AQ140" s="4"/>
      <c r="AR140" s="4">
        <v>134</v>
      </c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</row>
    <row r="141" spans="1:72">
      <c r="A141" s="1">
        <v>46101</v>
      </c>
      <c r="B141" s="16">
        <v>0.60145833333333332</v>
      </c>
      <c r="C141" t="s">
        <v>221</v>
      </c>
      <c r="D141" t="s">
        <v>134</v>
      </c>
      <c r="E141">
        <v>97</v>
      </c>
      <c r="F141" t="s">
        <v>63</v>
      </c>
      <c r="G141">
        <v>1</v>
      </c>
      <c r="H141">
        <v>1</v>
      </c>
      <c r="I141" t="s">
        <v>64</v>
      </c>
      <c r="J141" t="s">
        <v>65</v>
      </c>
      <c r="K141">
        <v>0.109</v>
      </c>
      <c r="L141">
        <v>2.2799999999999998</v>
      </c>
      <c r="M141">
        <v>30.6</v>
      </c>
      <c r="N141" t="s">
        <v>66</v>
      </c>
      <c r="O141" t="s">
        <v>67</v>
      </c>
      <c r="P141">
        <v>0.66900000000000004</v>
      </c>
      <c r="Q141">
        <v>8.81</v>
      </c>
      <c r="R141">
        <v>440</v>
      </c>
      <c r="S141" s="4"/>
      <c r="T141" s="4">
        <v>2</v>
      </c>
      <c r="U141" s="4">
        <v>1</v>
      </c>
      <c r="V141" s="4"/>
      <c r="W141" s="13">
        <f t="shared" si="28"/>
        <v>30.6</v>
      </c>
      <c r="X141" s="15">
        <f t="shared" si="29"/>
        <v>30.6</v>
      </c>
      <c r="Y141" s="15">
        <f t="shared" si="30"/>
        <v>61.2</v>
      </c>
      <c r="Z141" s="4"/>
      <c r="AA141" s="4"/>
      <c r="AB141" s="15"/>
      <c r="AC141" s="4"/>
      <c r="AD141" s="4"/>
      <c r="AE141" s="4"/>
      <c r="AF141" s="4">
        <v>1</v>
      </c>
      <c r="AG141" s="4"/>
      <c r="AH141" s="4">
        <f t="shared" si="31"/>
        <v>440</v>
      </c>
      <c r="AI141" s="4">
        <f t="shared" ref="AI141:AI204" si="34">IF(T141=1,AH141,(AH141-0))</f>
        <v>440</v>
      </c>
      <c r="AJ141" s="4">
        <f t="shared" si="27"/>
        <v>880</v>
      </c>
      <c r="AK141" s="15"/>
      <c r="AL141" s="4"/>
      <c r="AM141" s="15"/>
      <c r="AN141" s="4"/>
      <c r="AO141" s="15"/>
      <c r="AP141" s="4"/>
      <c r="AQ141" s="4"/>
      <c r="AR141" s="4">
        <v>135</v>
      </c>
      <c r="AS141" s="4"/>
    </row>
    <row r="142" spans="1:72">
      <c r="A142" s="1">
        <v>46101</v>
      </c>
      <c r="B142" s="16">
        <v>0.60233796296296294</v>
      </c>
      <c r="C142" t="s">
        <v>221</v>
      </c>
      <c r="D142" t="s">
        <v>135</v>
      </c>
      <c r="E142">
        <v>98</v>
      </c>
      <c r="F142" t="s">
        <v>85</v>
      </c>
      <c r="G142">
        <v>1</v>
      </c>
      <c r="H142">
        <v>1</v>
      </c>
      <c r="I142" t="s">
        <v>64</v>
      </c>
      <c r="J142" t="s">
        <v>65</v>
      </c>
      <c r="K142">
        <v>0.191</v>
      </c>
      <c r="L142">
        <v>3.74</v>
      </c>
      <c r="M142">
        <v>73.8</v>
      </c>
      <c r="N142" t="s">
        <v>66</v>
      </c>
      <c r="O142" t="s">
        <v>67</v>
      </c>
      <c r="P142">
        <v>0.94</v>
      </c>
      <c r="Q142">
        <v>12.3</v>
      </c>
      <c r="R142">
        <v>664</v>
      </c>
      <c r="S142" s="4"/>
      <c r="T142" s="4">
        <v>2</v>
      </c>
      <c r="U142" s="4">
        <v>1</v>
      </c>
      <c r="V142" s="4"/>
      <c r="W142" s="13">
        <f t="shared" si="28"/>
        <v>73.8</v>
      </c>
      <c r="X142" s="15">
        <f t="shared" si="29"/>
        <v>73.8</v>
      </c>
      <c r="Y142" s="15">
        <f t="shared" si="30"/>
        <v>147.6</v>
      </c>
      <c r="Z142" s="4"/>
      <c r="AA142" s="4"/>
      <c r="AB142" s="15"/>
      <c r="AC142" s="4"/>
      <c r="AD142" s="4"/>
      <c r="AE142" s="4"/>
      <c r="AF142" s="4">
        <v>1</v>
      </c>
      <c r="AG142" s="4"/>
      <c r="AH142" s="4">
        <f t="shared" si="31"/>
        <v>664</v>
      </c>
      <c r="AI142" s="4">
        <f t="shared" si="34"/>
        <v>664</v>
      </c>
      <c r="AJ142" s="4">
        <f t="shared" si="27"/>
        <v>1328</v>
      </c>
      <c r="AK142" s="15"/>
      <c r="AL142" s="4"/>
      <c r="AM142" s="15"/>
      <c r="AN142" s="4"/>
      <c r="AO142" s="15"/>
      <c r="AP142" s="4"/>
      <c r="AQ142" s="4"/>
      <c r="AR142" s="4">
        <v>136</v>
      </c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</row>
    <row r="143" spans="1:72">
      <c r="A143" s="1">
        <v>46101</v>
      </c>
      <c r="B143" s="16">
        <v>0.60322916666666671</v>
      </c>
      <c r="C143" t="s">
        <v>221</v>
      </c>
      <c r="D143" t="s">
        <v>206</v>
      </c>
      <c r="E143">
        <v>104</v>
      </c>
      <c r="F143" t="s">
        <v>85</v>
      </c>
      <c r="G143">
        <v>1</v>
      </c>
      <c r="H143">
        <v>1</v>
      </c>
      <c r="I143" t="s">
        <v>64</v>
      </c>
      <c r="J143" t="s">
        <v>65</v>
      </c>
      <c r="K143">
        <v>0.19</v>
      </c>
      <c r="L143">
        <v>3.72</v>
      </c>
      <c r="M143">
        <v>73.099999999999994</v>
      </c>
      <c r="N143" t="s">
        <v>66</v>
      </c>
      <c r="O143" t="s">
        <v>67</v>
      </c>
      <c r="P143">
        <v>0.95899999999999996</v>
      </c>
      <c r="Q143">
        <v>12.5</v>
      </c>
      <c r="R143">
        <v>679</v>
      </c>
      <c r="S143" s="4"/>
      <c r="T143" s="4">
        <v>2</v>
      </c>
      <c r="U143" s="4">
        <v>1</v>
      </c>
      <c r="V143" s="4"/>
      <c r="W143" s="13">
        <f t="shared" si="28"/>
        <v>73.099999999999994</v>
      </c>
      <c r="X143" s="15">
        <f t="shared" si="29"/>
        <v>73.099999999999994</v>
      </c>
      <c r="Y143" s="15">
        <f t="shared" si="30"/>
        <v>146.19999999999999</v>
      </c>
      <c r="Z143" s="4"/>
      <c r="AA143" s="4"/>
      <c r="AB143" s="13">
        <f>ABS(100*ABS(Y143-Y142)/AVERAGE(Y143,Y142))</f>
        <v>0.95302927161334638</v>
      </c>
      <c r="AC143" t="str">
        <f>IF(Y143&gt;10, (IF((AND(AB143&gt;=0,AB143&lt;=20)=TRUE),"PASS","FAIL")),(IF((AND(AB143&gt;=0,AB143&lt;=50)=TRUE),"PASS","FAIL")))</f>
        <v>PASS</v>
      </c>
      <c r="AD143" s="4"/>
      <c r="AE143" s="4"/>
      <c r="AF143" s="4">
        <v>1</v>
      </c>
      <c r="AG143" s="4"/>
      <c r="AH143" s="4">
        <f t="shared" si="31"/>
        <v>679</v>
      </c>
      <c r="AI143" s="4">
        <f t="shared" si="34"/>
        <v>679</v>
      </c>
      <c r="AJ143" s="4">
        <f t="shared" si="27"/>
        <v>1358</v>
      </c>
      <c r="AK143" s="15"/>
      <c r="AL143" s="4"/>
      <c r="AM143" s="13">
        <f>ABS(100*ABS(AJ143-AJ142)/AVERAGE(AJ143,AJ142))</f>
        <v>2.2338049143708116</v>
      </c>
      <c r="AN143" t="str">
        <f>IF(AJ143&gt;10, (IF((AND(AM143&gt;=0,AM143&lt;=20)=TRUE),"PASS","FAIL")),(IF((AND(AM143&gt;=0,AM143&lt;=50)=TRUE),"PASS","FAIL")))</f>
        <v>PASS</v>
      </c>
      <c r="AO143" s="15"/>
      <c r="AP143" s="4"/>
      <c r="AQ143" s="4"/>
      <c r="AR143" s="4">
        <v>137</v>
      </c>
      <c r="AS143" s="4"/>
    </row>
    <row r="144" spans="1:72">
      <c r="A144" s="1">
        <v>46101</v>
      </c>
      <c r="B144" s="16">
        <v>0.60410879629629632</v>
      </c>
      <c r="C144" t="s">
        <v>221</v>
      </c>
      <c r="D144" t="s">
        <v>136</v>
      </c>
      <c r="E144">
        <v>99</v>
      </c>
      <c r="F144" t="s">
        <v>63</v>
      </c>
      <c r="G144">
        <v>1</v>
      </c>
      <c r="H144">
        <v>1</v>
      </c>
      <c r="I144" t="s">
        <v>64</v>
      </c>
      <c r="J144" t="s">
        <v>65</v>
      </c>
      <c r="K144">
        <v>0.13700000000000001</v>
      </c>
      <c r="L144">
        <v>2.68</v>
      </c>
      <c r="M144">
        <v>42.6</v>
      </c>
      <c r="N144" t="s">
        <v>66</v>
      </c>
      <c r="O144" t="s">
        <v>67</v>
      </c>
      <c r="P144">
        <v>0.82899999999999996</v>
      </c>
      <c r="Q144">
        <v>10.9</v>
      </c>
      <c r="R144">
        <v>576</v>
      </c>
      <c r="S144" s="4"/>
      <c r="T144" s="4">
        <v>2</v>
      </c>
      <c r="U144" s="4">
        <v>1</v>
      </c>
      <c r="V144" s="4"/>
      <c r="W144" s="13">
        <f t="shared" si="28"/>
        <v>42.6</v>
      </c>
      <c r="X144" s="15">
        <f t="shared" si="29"/>
        <v>42.6</v>
      </c>
      <c r="Y144" s="15">
        <f t="shared" si="30"/>
        <v>85.2</v>
      </c>
      <c r="Z144" s="4"/>
      <c r="AA144" s="4"/>
      <c r="AB144" s="13"/>
      <c r="AF144" s="4">
        <v>1</v>
      </c>
      <c r="AG144" s="4"/>
      <c r="AH144" s="4">
        <f t="shared" si="31"/>
        <v>576</v>
      </c>
      <c r="AI144" s="4">
        <f t="shared" si="34"/>
        <v>576</v>
      </c>
      <c r="AJ144" s="4">
        <f t="shared" si="27"/>
        <v>1152</v>
      </c>
      <c r="AK144" s="15"/>
      <c r="AL144" s="4"/>
      <c r="AM144" s="13"/>
      <c r="AO144" s="13"/>
      <c r="AQ144" s="4"/>
      <c r="AR144" s="4">
        <v>138</v>
      </c>
      <c r="AS144" s="4"/>
    </row>
    <row r="145" spans="1:72">
      <c r="A145" s="1">
        <v>46101</v>
      </c>
      <c r="B145" s="16">
        <v>0.60499999999999998</v>
      </c>
      <c r="C145" t="s">
        <v>221</v>
      </c>
      <c r="D145" t="s">
        <v>137</v>
      </c>
      <c r="E145">
        <v>100</v>
      </c>
      <c r="F145" t="s">
        <v>63</v>
      </c>
      <c r="G145">
        <v>1</v>
      </c>
      <c r="H145">
        <v>1</v>
      </c>
      <c r="I145" t="s">
        <v>64</v>
      </c>
      <c r="J145" t="s">
        <v>65</v>
      </c>
      <c r="K145">
        <v>0.17799999999999999</v>
      </c>
      <c r="L145">
        <v>3.46</v>
      </c>
      <c r="M145">
        <v>65.7</v>
      </c>
      <c r="N145" t="s">
        <v>66</v>
      </c>
      <c r="O145" t="s">
        <v>67</v>
      </c>
      <c r="P145">
        <v>0.78300000000000003</v>
      </c>
      <c r="Q145">
        <v>10.3</v>
      </c>
      <c r="R145">
        <v>535</v>
      </c>
      <c r="T145" s="4">
        <v>2</v>
      </c>
      <c r="U145" s="4">
        <v>1</v>
      </c>
      <c r="V145" s="4"/>
      <c r="W145" s="13">
        <f t="shared" si="28"/>
        <v>65.7</v>
      </c>
      <c r="X145" s="15">
        <f t="shared" si="29"/>
        <v>65.7</v>
      </c>
      <c r="Y145" s="15">
        <f t="shared" si="30"/>
        <v>131.4</v>
      </c>
      <c r="AB145" s="13"/>
      <c r="AF145" s="4">
        <v>1</v>
      </c>
      <c r="AG145" s="4"/>
      <c r="AH145" s="4">
        <f t="shared" si="31"/>
        <v>535</v>
      </c>
      <c r="AI145" s="4">
        <f t="shared" si="34"/>
        <v>535</v>
      </c>
      <c r="AJ145" s="4">
        <f t="shared" si="27"/>
        <v>1070</v>
      </c>
      <c r="AK145" s="15"/>
      <c r="AL145" s="4"/>
      <c r="AM145" s="13"/>
      <c r="AO145" s="13"/>
      <c r="AQ145" s="4"/>
      <c r="AR145" s="4">
        <v>139</v>
      </c>
      <c r="AS145" s="4"/>
    </row>
    <row r="146" spans="1:72">
      <c r="A146" s="1">
        <v>46101</v>
      </c>
      <c r="B146" s="16">
        <v>0.6058796296296296</v>
      </c>
      <c r="C146" t="s">
        <v>221</v>
      </c>
      <c r="D146" t="s">
        <v>138</v>
      </c>
      <c r="E146">
        <v>101</v>
      </c>
      <c r="F146" t="s">
        <v>63</v>
      </c>
      <c r="G146">
        <v>1</v>
      </c>
      <c r="H146">
        <v>1</v>
      </c>
      <c r="I146" t="s">
        <v>64</v>
      </c>
      <c r="J146" t="s">
        <v>65</v>
      </c>
      <c r="K146">
        <v>0.13100000000000001</v>
      </c>
      <c r="L146">
        <v>2.62</v>
      </c>
      <c r="M146">
        <v>40.799999999999997</v>
      </c>
      <c r="N146" t="s">
        <v>66</v>
      </c>
      <c r="O146" t="s">
        <v>67</v>
      </c>
      <c r="P146">
        <v>0.46600000000000003</v>
      </c>
      <c r="Q146">
        <v>6.18</v>
      </c>
      <c r="R146">
        <v>268</v>
      </c>
      <c r="T146" s="4">
        <v>2</v>
      </c>
      <c r="U146" s="4">
        <v>1</v>
      </c>
      <c r="V146" s="4"/>
      <c r="W146" s="13">
        <f t="shared" si="28"/>
        <v>40.799999999999997</v>
      </c>
      <c r="X146" s="15">
        <f t="shared" si="29"/>
        <v>40.799999999999997</v>
      </c>
      <c r="Y146" s="15">
        <f t="shared" si="30"/>
        <v>81.599999999999994</v>
      </c>
      <c r="Z146" s="4"/>
      <c r="AA146" s="4"/>
      <c r="AB146" s="13"/>
      <c r="AF146" s="4">
        <v>1</v>
      </c>
      <c r="AG146" s="4"/>
      <c r="AH146" s="4">
        <f t="shared" si="31"/>
        <v>268</v>
      </c>
      <c r="AI146" s="4">
        <f t="shared" si="34"/>
        <v>268</v>
      </c>
      <c r="AJ146" s="4">
        <f t="shared" si="27"/>
        <v>536</v>
      </c>
      <c r="AK146" s="15"/>
      <c r="AL146" s="4"/>
      <c r="AM146" s="13"/>
      <c r="AO146" s="13"/>
      <c r="AQ146" s="4"/>
      <c r="AR146" s="4">
        <v>140</v>
      </c>
      <c r="AS146" s="4"/>
    </row>
    <row r="147" spans="1:72">
      <c r="A147" s="1">
        <v>46101</v>
      </c>
      <c r="B147" s="16">
        <v>0.60675925925925922</v>
      </c>
      <c r="C147" t="s">
        <v>221</v>
      </c>
      <c r="D147" t="s">
        <v>139</v>
      </c>
      <c r="E147">
        <v>102</v>
      </c>
      <c r="F147" t="s">
        <v>63</v>
      </c>
      <c r="G147">
        <v>1</v>
      </c>
      <c r="H147">
        <v>1</v>
      </c>
      <c r="I147" t="s">
        <v>64</v>
      </c>
      <c r="J147" t="s">
        <v>65</v>
      </c>
      <c r="K147">
        <v>0.17</v>
      </c>
      <c r="L147">
        <v>3.38</v>
      </c>
      <c r="M147">
        <v>63.2</v>
      </c>
      <c r="N147" t="s">
        <v>66</v>
      </c>
      <c r="O147" t="s">
        <v>67</v>
      </c>
      <c r="P147">
        <v>0.83299999999999996</v>
      </c>
      <c r="Q147">
        <v>10.7</v>
      </c>
      <c r="R147">
        <v>564</v>
      </c>
      <c r="S147" s="4"/>
      <c r="T147" s="4">
        <v>2</v>
      </c>
      <c r="U147" s="4">
        <v>1</v>
      </c>
      <c r="V147" s="4"/>
      <c r="W147" s="13">
        <f t="shared" si="28"/>
        <v>63.2</v>
      </c>
      <c r="X147" s="15">
        <f t="shared" si="29"/>
        <v>63.2</v>
      </c>
      <c r="Y147" s="15">
        <f t="shared" si="30"/>
        <v>126.4</v>
      </c>
      <c r="Z147" s="4"/>
      <c r="AA147" s="4"/>
      <c r="AB147" s="13"/>
      <c r="AD147" s="4"/>
      <c r="AE147" s="4"/>
      <c r="AF147" s="4">
        <v>1</v>
      </c>
      <c r="AG147" s="4"/>
      <c r="AH147" s="4">
        <f t="shared" si="31"/>
        <v>564</v>
      </c>
      <c r="AI147" s="4">
        <f t="shared" si="34"/>
        <v>564</v>
      </c>
      <c r="AJ147" s="4">
        <f t="shared" si="27"/>
        <v>1128</v>
      </c>
      <c r="AK147" s="15"/>
      <c r="AL147" s="4"/>
      <c r="AM147" s="15"/>
      <c r="AN147" s="4"/>
      <c r="AO147" s="15"/>
      <c r="AP147" s="4"/>
      <c r="AQ147" s="4"/>
      <c r="AR147" s="4">
        <v>141</v>
      </c>
      <c r="AS147" s="4"/>
    </row>
    <row r="148" spans="1:72">
      <c r="A148" s="1">
        <v>46101</v>
      </c>
      <c r="B148" s="16">
        <v>0.60765046296296299</v>
      </c>
      <c r="C148" t="s">
        <v>221</v>
      </c>
      <c r="D148" t="s">
        <v>140</v>
      </c>
      <c r="E148">
        <v>103</v>
      </c>
      <c r="F148" t="s">
        <v>63</v>
      </c>
      <c r="G148">
        <v>1</v>
      </c>
      <c r="H148">
        <v>1</v>
      </c>
      <c r="I148" t="s">
        <v>64</v>
      </c>
      <c r="J148" t="s">
        <v>65</v>
      </c>
      <c r="K148">
        <v>0.53600000000000003</v>
      </c>
      <c r="L148">
        <v>9.89</v>
      </c>
      <c r="M148">
        <v>248</v>
      </c>
      <c r="N148" t="s">
        <v>66</v>
      </c>
      <c r="O148" t="s">
        <v>67</v>
      </c>
      <c r="P148">
        <v>1.69</v>
      </c>
      <c r="Q148">
        <v>22.1</v>
      </c>
      <c r="R148">
        <v>1260</v>
      </c>
      <c r="S148" s="4"/>
      <c r="T148" s="4">
        <v>2</v>
      </c>
      <c r="U148" s="4">
        <v>3</v>
      </c>
      <c r="V148" s="4" t="s">
        <v>193</v>
      </c>
      <c r="W148" s="13">
        <f t="shared" si="28"/>
        <v>248</v>
      </c>
      <c r="X148" s="15">
        <f t="shared" si="29"/>
        <v>248</v>
      </c>
      <c r="Y148" s="15">
        <f t="shared" si="30"/>
        <v>496</v>
      </c>
      <c r="Z148" s="4"/>
      <c r="AA148" s="4"/>
      <c r="AB148" s="15"/>
      <c r="AC148" s="4"/>
      <c r="AF148" s="4">
        <v>1</v>
      </c>
      <c r="AG148" s="4"/>
      <c r="AH148" s="4">
        <f t="shared" si="31"/>
        <v>1260</v>
      </c>
      <c r="AI148" s="4">
        <f t="shared" si="34"/>
        <v>1260</v>
      </c>
      <c r="AJ148" s="4">
        <f t="shared" si="27"/>
        <v>2520</v>
      </c>
      <c r="AK148" s="15"/>
      <c r="AL148" s="4"/>
      <c r="AM148" s="13"/>
      <c r="AO148" s="13"/>
      <c r="AQ148" s="4"/>
      <c r="AR148" s="4">
        <v>142</v>
      </c>
      <c r="AS148" s="4"/>
    </row>
    <row r="149" spans="1:72">
      <c r="A149" s="1">
        <v>46101</v>
      </c>
      <c r="B149" s="16">
        <v>0.60855324074074069</v>
      </c>
      <c r="C149" t="s">
        <v>221</v>
      </c>
      <c r="D149" t="s">
        <v>101</v>
      </c>
      <c r="E149">
        <v>16</v>
      </c>
      <c r="F149" t="s">
        <v>92</v>
      </c>
      <c r="G149">
        <v>1</v>
      </c>
      <c r="H149">
        <v>1</v>
      </c>
      <c r="I149" t="s">
        <v>64</v>
      </c>
      <c r="J149" t="s">
        <v>65</v>
      </c>
      <c r="K149">
        <v>0.10299999999999999</v>
      </c>
      <c r="L149">
        <v>2.08</v>
      </c>
      <c r="M149">
        <v>24.7</v>
      </c>
      <c r="N149" t="s">
        <v>66</v>
      </c>
      <c r="O149" t="s">
        <v>67</v>
      </c>
      <c r="P149">
        <v>0.46600000000000003</v>
      </c>
      <c r="Q149">
        <v>6.22</v>
      </c>
      <c r="R149">
        <v>270</v>
      </c>
      <c r="T149" s="4">
        <v>1</v>
      </c>
      <c r="U149" s="4">
        <v>1</v>
      </c>
      <c r="V149" s="4"/>
      <c r="W149" s="13">
        <f t="shared" si="28"/>
        <v>24.7</v>
      </c>
      <c r="X149" s="15">
        <f t="shared" si="29"/>
        <v>24.7</v>
      </c>
      <c r="Y149" s="15">
        <f t="shared" si="30"/>
        <v>24.7</v>
      </c>
      <c r="Z149" s="4">
        <f>100*(Y149-25)/25</f>
        <v>-1.2000000000000028</v>
      </c>
      <c r="AA149" s="4" t="str">
        <f>IF((ABS(Z149))&lt;=20,"PASS","FAIL")</f>
        <v>PASS</v>
      </c>
      <c r="AB149" s="13"/>
      <c r="AD149" s="4"/>
      <c r="AE149" s="4"/>
      <c r="AF149" s="4">
        <v>1</v>
      </c>
      <c r="AG149" s="4"/>
      <c r="AH149" s="4">
        <f t="shared" si="31"/>
        <v>270</v>
      </c>
      <c r="AI149" s="4">
        <f t="shared" si="34"/>
        <v>270</v>
      </c>
      <c r="AJ149" s="4">
        <f t="shared" si="27"/>
        <v>270</v>
      </c>
      <c r="AK149" s="15">
        <f>100*(AJ149-250)/250</f>
        <v>8</v>
      </c>
      <c r="AL149" s="4" t="str">
        <f>IF((ABS(AK149))&lt;=20,"PASS","FAIL")</f>
        <v>PASS</v>
      </c>
      <c r="AM149" s="15"/>
      <c r="AN149" s="4"/>
      <c r="AO149" s="15"/>
      <c r="AP149" s="4"/>
      <c r="AQ149" s="4"/>
      <c r="AR149" s="4">
        <v>143</v>
      </c>
      <c r="AS149" s="4"/>
    </row>
    <row r="150" spans="1:72">
      <c r="A150" s="1">
        <v>46101</v>
      </c>
      <c r="B150" s="16">
        <v>0.60943287037037042</v>
      </c>
      <c r="C150" t="s">
        <v>221</v>
      </c>
      <c r="D150" t="s">
        <v>194</v>
      </c>
      <c r="E150" t="s">
        <v>68</v>
      </c>
      <c r="F150" t="s">
        <v>63</v>
      </c>
      <c r="G150">
        <v>1</v>
      </c>
      <c r="H150">
        <v>1</v>
      </c>
      <c r="I150" t="s">
        <v>64</v>
      </c>
      <c r="J150" t="s">
        <v>65</v>
      </c>
      <c r="K150">
        <v>0.14599999999999999</v>
      </c>
      <c r="L150">
        <v>1.79</v>
      </c>
      <c r="M150">
        <v>15.9</v>
      </c>
      <c r="N150" t="s">
        <v>66</v>
      </c>
      <c r="O150" t="s">
        <v>67</v>
      </c>
      <c r="P150">
        <v>7.94</v>
      </c>
      <c r="Q150">
        <v>149</v>
      </c>
      <c r="R150">
        <v>5300</v>
      </c>
      <c r="S150" s="4">
        <f>100*(Q151/Q150)</f>
        <v>97.986577181208062</v>
      </c>
      <c r="T150" s="4">
        <v>1</v>
      </c>
      <c r="U150" s="4">
        <v>1</v>
      </c>
      <c r="V150" s="4"/>
      <c r="W150" s="13">
        <f t="shared" si="28"/>
        <v>15.9</v>
      </c>
      <c r="X150" s="15">
        <f t="shared" si="29"/>
        <v>15.9</v>
      </c>
      <c r="Y150" s="15">
        <f t="shared" si="30"/>
        <v>15.9</v>
      </c>
      <c r="Z150" s="4"/>
      <c r="AA150" s="4"/>
      <c r="AB150" s="15"/>
      <c r="AC150" s="4"/>
      <c r="AF150" s="4">
        <v>1</v>
      </c>
      <c r="AG150" s="4"/>
      <c r="AH150" s="4">
        <f t="shared" si="31"/>
        <v>5300</v>
      </c>
      <c r="AI150" s="4">
        <f t="shared" si="34"/>
        <v>5300</v>
      </c>
      <c r="AJ150" s="4">
        <f t="shared" si="27"/>
        <v>5300</v>
      </c>
      <c r="AK150" s="15"/>
      <c r="AL150" s="4"/>
      <c r="AM150" s="13"/>
      <c r="AO150" s="13"/>
      <c r="AQ150" s="4"/>
      <c r="AR150" s="4">
        <v>144</v>
      </c>
      <c r="AS150" s="4"/>
    </row>
    <row r="151" spans="1:72">
      <c r="A151" s="1">
        <v>46101</v>
      </c>
      <c r="B151" s="16">
        <v>0.61031250000000004</v>
      </c>
      <c r="C151" t="s">
        <v>221</v>
      </c>
      <c r="D151" t="s">
        <v>195</v>
      </c>
      <c r="E151" t="s">
        <v>69</v>
      </c>
      <c r="F151" t="s">
        <v>63</v>
      </c>
      <c r="G151">
        <v>1</v>
      </c>
      <c r="H151">
        <v>1</v>
      </c>
      <c r="I151" t="s">
        <v>64</v>
      </c>
      <c r="J151" t="s">
        <v>65</v>
      </c>
      <c r="K151">
        <v>0.14599999999999999</v>
      </c>
      <c r="L151">
        <v>1.85</v>
      </c>
      <c r="M151">
        <v>18</v>
      </c>
      <c r="N151" t="s">
        <v>66</v>
      </c>
      <c r="O151" t="s">
        <v>67</v>
      </c>
      <c r="P151">
        <v>7.94</v>
      </c>
      <c r="Q151">
        <v>146</v>
      </c>
      <c r="R151">
        <v>5290</v>
      </c>
      <c r="T151" s="4">
        <v>1</v>
      </c>
      <c r="U151" s="4">
        <v>1</v>
      </c>
      <c r="V151" s="4"/>
      <c r="W151" s="13">
        <f t="shared" si="28"/>
        <v>18</v>
      </c>
      <c r="X151" s="15">
        <f t="shared" si="29"/>
        <v>18</v>
      </c>
      <c r="Y151" s="15">
        <f t="shared" si="30"/>
        <v>18</v>
      </c>
      <c r="Z151" s="4"/>
      <c r="AA151" s="4"/>
      <c r="AB151" s="13"/>
      <c r="AF151" s="4">
        <v>1</v>
      </c>
      <c r="AG151" s="4"/>
      <c r="AH151" s="4">
        <f t="shared" si="31"/>
        <v>5290</v>
      </c>
      <c r="AI151" s="4">
        <f t="shared" si="34"/>
        <v>5290</v>
      </c>
      <c r="AJ151" s="4">
        <f t="shared" si="27"/>
        <v>5290</v>
      </c>
      <c r="AK151" s="15"/>
      <c r="AL151" s="4"/>
      <c r="AM151" s="15"/>
      <c r="AN151" s="4"/>
      <c r="AO151" s="13"/>
      <c r="AQ151" s="4"/>
      <c r="AR151" s="4">
        <v>145</v>
      </c>
      <c r="AS151" s="4"/>
    </row>
    <row r="152" spans="1:72">
      <c r="A152" s="1">
        <v>46101</v>
      </c>
      <c r="B152" s="16">
        <v>0.61120370370370369</v>
      </c>
      <c r="C152" t="s">
        <v>221</v>
      </c>
      <c r="D152" t="s">
        <v>186</v>
      </c>
      <c r="E152" t="s">
        <v>72</v>
      </c>
      <c r="F152" t="s">
        <v>63</v>
      </c>
      <c r="G152">
        <v>1</v>
      </c>
      <c r="H152">
        <v>1</v>
      </c>
      <c r="I152" t="s">
        <v>64</v>
      </c>
      <c r="J152" t="s">
        <v>65</v>
      </c>
      <c r="K152">
        <v>1.44E-2</v>
      </c>
      <c r="L152">
        <v>0.16700000000000001</v>
      </c>
      <c r="M152">
        <v>-32.799999999999997</v>
      </c>
      <c r="N152" t="s">
        <v>66</v>
      </c>
      <c r="O152" t="s">
        <v>67</v>
      </c>
      <c r="P152">
        <v>3.9100000000000003E-2</v>
      </c>
      <c r="Q152">
        <v>0.66</v>
      </c>
      <c r="R152">
        <v>-102</v>
      </c>
      <c r="T152" s="4">
        <v>1</v>
      </c>
      <c r="U152" s="4">
        <v>1</v>
      </c>
      <c r="V152" s="4"/>
      <c r="W152" s="13">
        <f t="shared" si="28"/>
        <v>-32.799999999999997</v>
      </c>
      <c r="X152" s="15">
        <f t="shared" si="29"/>
        <v>-32.799999999999997</v>
      </c>
      <c r="Y152" s="15">
        <f t="shared" si="30"/>
        <v>-32.799999999999997</v>
      </c>
      <c r="Z152" s="4"/>
      <c r="AA152" s="4"/>
      <c r="AB152" s="13"/>
      <c r="AD152" s="4"/>
      <c r="AE152" s="4"/>
      <c r="AF152" s="4">
        <v>1</v>
      </c>
      <c r="AG152" s="4"/>
      <c r="AH152" s="4">
        <f t="shared" si="31"/>
        <v>-102</v>
      </c>
      <c r="AI152" s="4">
        <f t="shared" si="34"/>
        <v>-102</v>
      </c>
      <c r="AJ152" s="4">
        <f t="shared" si="27"/>
        <v>-102</v>
      </c>
      <c r="AK152" s="15"/>
      <c r="AL152" s="4"/>
      <c r="AM152" s="13"/>
      <c r="AO152" s="13"/>
      <c r="AQ152" s="4"/>
      <c r="AR152" s="4">
        <v>146</v>
      </c>
      <c r="AS152" s="4"/>
    </row>
    <row r="153" spans="1:72">
      <c r="A153" s="1">
        <v>46101</v>
      </c>
      <c r="B153" s="16">
        <v>0.61209490740740746</v>
      </c>
      <c r="C153" t="s">
        <v>221</v>
      </c>
      <c r="D153" t="s">
        <v>141</v>
      </c>
      <c r="E153">
        <v>106</v>
      </c>
      <c r="F153" t="s">
        <v>63</v>
      </c>
      <c r="G153">
        <v>1</v>
      </c>
      <c r="H153">
        <v>1</v>
      </c>
      <c r="I153" t="s">
        <v>64</v>
      </c>
      <c r="J153" t="s">
        <v>65</v>
      </c>
      <c r="K153">
        <v>0.11600000000000001</v>
      </c>
      <c r="L153">
        <v>2.33</v>
      </c>
      <c r="M153">
        <v>32.200000000000003</v>
      </c>
      <c r="N153" t="s">
        <v>66</v>
      </c>
      <c r="O153" t="s">
        <v>67</v>
      </c>
      <c r="P153">
        <v>0.66500000000000004</v>
      </c>
      <c r="Q153">
        <v>8.66</v>
      </c>
      <c r="R153">
        <v>431</v>
      </c>
      <c r="S153" s="4"/>
      <c r="T153" s="4">
        <v>2</v>
      </c>
      <c r="U153" s="4">
        <v>1</v>
      </c>
      <c r="V153" s="4"/>
      <c r="W153" s="13">
        <f t="shared" si="28"/>
        <v>32.200000000000003</v>
      </c>
      <c r="X153" s="15">
        <f t="shared" si="29"/>
        <v>32.200000000000003</v>
      </c>
      <c r="Y153" s="15">
        <f t="shared" si="30"/>
        <v>64.400000000000006</v>
      </c>
      <c r="Z153" s="4"/>
      <c r="AA153" s="4"/>
      <c r="AB153" s="15"/>
      <c r="AC153" s="4"/>
      <c r="AF153" s="4">
        <v>1</v>
      </c>
      <c r="AG153" s="4"/>
      <c r="AH153" s="4">
        <f t="shared" si="31"/>
        <v>431</v>
      </c>
      <c r="AI153" s="4">
        <f t="shared" si="34"/>
        <v>431</v>
      </c>
      <c r="AJ153" s="4">
        <f t="shared" si="27"/>
        <v>862</v>
      </c>
      <c r="AK153" s="15"/>
      <c r="AL153" s="4"/>
      <c r="AM153" s="15"/>
      <c r="AN153" s="4"/>
      <c r="AO153" s="15"/>
      <c r="AP153" s="4"/>
      <c r="AQ153" s="4"/>
      <c r="AR153" s="4">
        <v>147</v>
      </c>
      <c r="AS153" s="4"/>
    </row>
    <row r="154" spans="1:72">
      <c r="A154" s="1">
        <v>46101</v>
      </c>
      <c r="B154" s="16">
        <v>0.61299768518518516</v>
      </c>
      <c r="C154" t="s">
        <v>221</v>
      </c>
      <c r="D154" t="s">
        <v>142</v>
      </c>
      <c r="E154">
        <v>107</v>
      </c>
      <c r="F154" t="s">
        <v>63</v>
      </c>
      <c r="G154">
        <v>1</v>
      </c>
      <c r="H154">
        <v>1</v>
      </c>
      <c r="I154" t="s">
        <v>64</v>
      </c>
      <c r="J154" t="s">
        <v>65</v>
      </c>
      <c r="K154">
        <v>0.224</v>
      </c>
      <c r="L154">
        <v>4.34</v>
      </c>
      <c r="M154">
        <v>91.4</v>
      </c>
      <c r="N154" t="s">
        <v>66</v>
      </c>
      <c r="O154" t="s">
        <v>67</v>
      </c>
      <c r="P154">
        <v>1.79</v>
      </c>
      <c r="Q154">
        <v>23.4</v>
      </c>
      <c r="R154">
        <v>1340</v>
      </c>
      <c r="S154" s="4"/>
      <c r="T154" s="4">
        <v>2</v>
      </c>
      <c r="U154" s="4">
        <v>1</v>
      </c>
      <c r="V154" s="4"/>
      <c r="W154" s="13">
        <f t="shared" si="28"/>
        <v>91.4</v>
      </c>
      <c r="X154" s="15">
        <f t="shared" si="29"/>
        <v>91.4</v>
      </c>
      <c r="Y154" s="15">
        <f t="shared" si="30"/>
        <v>182.8</v>
      </c>
      <c r="Z154" s="4"/>
      <c r="AA154" s="4"/>
      <c r="AB154" s="13"/>
      <c r="AF154" s="4">
        <v>1</v>
      </c>
      <c r="AG154" s="4"/>
      <c r="AH154" s="4">
        <f t="shared" si="31"/>
        <v>1340</v>
      </c>
      <c r="AI154" s="4">
        <f t="shared" si="34"/>
        <v>1340</v>
      </c>
      <c r="AJ154" s="4">
        <f t="shared" si="27"/>
        <v>2680</v>
      </c>
      <c r="AK154" s="15"/>
      <c r="AL154" s="4"/>
      <c r="AM154" s="13"/>
      <c r="AO154" s="13"/>
      <c r="AQ154" s="4"/>
      <c r="AR154" s="4">
        <v>148</v>
      </c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</row>
    <row r="155" spans="1:72">
      <c r="A155" s="1">
        <v>46101</v>
      </c>
      <c r="B155" s="16">
        <v>0.61388888888888893</v>
      </c>
      <c r="C155" t="s">
        <v>221</v>
      </c>
      <c r="D155" t="s">
        <v>143</v>
      </c>
      <c r="E155">
        <v>108</v>
      </c>
      <c r="F155" t="s">
        <v>63</v>
      </c>
      <c r="G155">
        <v>1</v>
      </c>
      <c r="H155">
        <v>1</v>
      </c>
      <c r="I155" t="s">
        <v>64</v>
      </c>
      <c r="J155" t="s">
        <v>65</v>
      </c>
      <c r="K155">
        <v>0.40799999999999997</v>
      </c>
      <c r="L155">
        <v>7.62</v>
      </c>
      <c r="M155">
        <v>185</v>
      </c>
      <c r="N155" t="s">
        <v>66</v>
      </c>
      <c r="O155" t="s">
        <v>67</v>
      </c>
      <c r="P155">
        <v>1.97</v>
      </c>
      <c r="Q155">
        <v>25.8</v>
      </c>
      <c r="R155">
        <v>1480</v>
      </c>
      <c r="S155" s="4"/>
      <c r="T155" s="4">
        <v>2</v>
      </c>
      <c r="U155" s="4">
        <v>3</v>
      </c>
      <c r="V155" s="4" t="s">
        <v>193</v>
      </c>
      <c r="W155" s="13">
        <f t="shared" si="28"/>
        <v>185</v>
      </c>
      <c r="X155" s="15">
        <f t="shared" si="29"/>
        <v>185</v>
      </c>
      <c r="Y155" s="15">
        <f t="shared" si="30"/>
        <v>370</v>
      </c>
      <c r="Z155" s="4"/>
      <c r="AA155" s="4"/>
      <c r="AB155" s="13"/>
      <c r="AF155" s="4">
        <v>1</v>
      </c>
      <c r="AG155" s="4"/>
      <c r="AH155" s="4">
        <f t="shared" si="31"/>
        <v>1480</v>
      </c>
      <c r="AI155" s="4">
        <f t="shared" si="34"/>
        <v>1480</v>
      </c>
      <c r="AJ155" s="4">
        <f t="shared" si="27"/>
        <v>2960</v>
      </c>
      <c r="AK155" s="15"/>
      <c r="AL155" s="4"/>
      <c r="AM155" s="13"/>
      <c r="AO155" s="13"/>
      <c r="AQ155" s="4"/>
      <c r="AR155" s="4">
        <v>149</v>
      </c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</row>
    <row r="156" spans="1:72">
      <c r="A156" s="1">
        <v>46101</v>
      </c>
      <c r="B156" s="16">
        <v>0.61478009259259259</v>
      </c>
      <c r="C156" t="s">
        <v>221</v>
      </c>
      <c r="D156" t="s">
        <v>144</v>
      </c>
      <c r="E156">
        <v>109</v>
      </c>
      <c r="F156" t="s">
        <v>63</v>
      </c>
      <c r="G156">
        <v>1</v>
      </c>
      <c r="H156">
        <v>1</v>
      </c>
      <c r="I156" t="s">
        <v>64</v>
      </c>
      <c r="J156" t="s">
        <v>65</v>
      </c>
      <c r="K156">
        <v>0.17399999999999999</v>
      </c>
      <c r="L156">
        <v>3.39</v>
      </c>
      <c r="M156">
        <v>63.4</v>
      </c>
      <c r="N156" t="s">
        <v>66</v>
      </c>
      <c r="O156" t="s">
        <v>67</v>
      </c>
      <c r="P156">
        <v>1.82</v>
      </c>
      <c r="Q156">
        <v>23.7</v>
      </c>
      <c r="R156">
        <v>1360</v>
      </c>
      <c r="S156" s="4"/>
      <c r="T156" s="4">
        <v>2</v>
      </c>
      <c r="U156" s="4">
        <v>1</v>
      </c>
      <c r="V156" s="4"/>
      <c r="W156" s="13">
        <f t="shared" ref="W156:W187" si="35">M156*H156</f>
        <v>63.4</v>
      </c>
      <c r="X156" s="15">
        <f t="shared" ref="X156:X187" si="36">IF(T156=1,W156,(W156-0))</f>
        <v>63.4</v>
      </c>
      <c r="Y156" s="15">
        <f t="shared" ref="Y156:Y187" si="37">IF(T156=1,W156,(X156*T156))</f>
        <v>126.8</v>
      </c>
      <c r="AB156" s="13"/>
      <c r="AF156" s="4">
        <v>1</v>
      </c>
      <c r="AG156" s="4"/>
      <c r="AH156" s="4">
        <f t="shared" si="31"/>
        <v>1360</v>
      </c>
      <c r="AI156" s="4">
        <f t="shared" si="34"/>
        <v>1360</v>
      </c>
      <c r="AJ156" s="4">
        <f t="shared" si="27"/>
        <v>2720</v>
      </c>
      <c r="AM156" s="13"/>
      <c r="AO156" s="13"/>
      <c r="AQ156" s="4"/>
      <c r="AR156" s="4">
        <v>150</v>
      </c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</row>
    <row r="157" spans="1:72">
      <c r="A157" s="1">
        <v>46101</v>
      </c>
      <c r="B157" s="16">
        <v>0.61567129629629624</v>
      </c>
      <c r="C157" t="s">
        <v>221</v>
      </c>
      <c r="D157" t="s">
        <v>145</v>
      </c>
      <c r="E157">
        <v>110</v>
      </c>
      <c r="F157" t="s">
        <v>63</v>
      </c>
      <c r="G157">
        <v>1</v>
      </c>
      <c r="H157">
        <v>1</v>
      </c>
      <c r="I157" t="s">
        <v>64</v>
      </c>
      <c r="J157" t="s">
        <v>65</v>
      </c>
      <c r="K157">
        <v>8.1199999999999994E-2</v>
      </c>
      <c r="L157">
        <v>1.74</v>
      </c>
      <c r="M157">
        <v>14.5</v>
      </c>
      <c r="N157" t="s">
        <v>66</v>
      </c>
      <c r="O157" t="s">
        <v>67</v>
      </c>
      <c r="P157">
        <v>0.46600000000000003</v>
      </c>
      <c r="Q157">
        <v>6.29</v>
      </c>
      <c r="R157">
        <v>275</v>
      </c>
      <c r="S157" s="4"/>
      <c r="T157" s="4">
        <v>2</v>
      </c>
      <c r="U157" s="4">
        <v>1</v>
      </c>
      <c r="V157" s="4"/>
      <c r="W157" s="13">
        <f t="shared" si="35"/>
        <v>14.5</v>
      </c>
      <c r="X157" s="15">
        <f t="shared" si="36"/>
        <v>14.5</v>
      </c>
      <c r="Y157" s="15">
        <f t="shared" si="37"/>
        <v>29</v>
      </c>
      <c r="Z157" s="4"/>
      <c r="AA157" s="4"/>
      <c r="AB157" s="13"/>
      <c r="AF157" s="4">
        <v>1</v>
      </c>
      <c r="AG157" s="4"/>
      <c r="AH157" s="4">
        <f t="shared" si="31"/>
        <v>275</v>
      </c>
      <c r="AI157" s="4">
        <f t="shared" si="34"/>
        <v>275</v>
      </c>
      <c r="AJ157" s="4">
        <f t="shared" si="27"/>
        <v>550</v>
      </c>
      <c r="AK157" s="15"/>
      <c r="AL157" s="4"/>
      <c r="AM157" s="13"/>
      <c r="AO157" s="13"/>
      <c r="AQ157" s="4"/>
      <c r="AR157" s="4">
        <v>151</v>
      </c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</row>
    <row r="158" spans="1:72">
      <c r="A158" s="1">
        <v>46101</v>
      </c>
      <c r="B158" s="16">
        <v>0.61656250000000001</v>
      </c>
      <c r="C158" t="s">
        <v>221</v>
      </c>
      <c r="D158" t="s">
        <v>146</v>
      </c>
      <c r="E158">
        <v>111</v>
      </c>
      <c r="F158" t="s">
        <v>63</v>
      </c>
      <c r="G158">
        <v>1</v>
      </c>
      <c r="H158">
        <v>1</v>
      </c>
      <c r="I158" t="s">
        <v>64</v>
      </c>
      <c r="J158" t="s">
        <v>65</v>
      </c>
      <c r="K158">
        <v>0.46100000000000002</v>
      </c>
      <c r="L158">
        <v>8.58</v>
      </c>
      <c r="M158">
        <v>212</v>
      </c>
      <c r="N158" t="s">
        <v>66</v>
      </c>
      <c r="O158" t="s">
        <v>67</v>
      </c>
      <c r="P158">
        <v>1.67</v>
      </c>
      <c r="Q158">
        <v>21.9</v>
      </c>
      <c r="R158">
        <v>1250</v>
      </c>
      <c r="S158" s="4"/>
      <c r="T158" s="4">
        <v>2</v>
      </c>
      <c r="U158" s="4">
        <v>3</v>
      </c>
      <c r="V158" s="4" t="s">
        <v>193</v>
      </c>
      <c r="W158" s="13">
        <f t="shared" si="35"/>
        <v>212</v>
      </c>
      <c r="X158" s="15">
        <f t="shared" si="36"/>
        <v>212</v>
      </c>
      <c r="Y158" s="15">
        <f t="shared" si="37"/>
        <v>424</v>
      </c>
      <c r="AB158" s="13"/>
      <c r="AF158" s="4">
        <v>1</v>
      </c>
      <c r="AG158" s="4"/>
      <c r="AH158" s="4">
        <f t="shared" si="31"/>
        <v>1250</v>
      </c>
      <c r="AI158" s="4">
        <f t="shared" si="34"/>
        <v>1250</v>
      </c>
      <c r="AJ158" s="4">
        <f t="shared" si="27"/>
        <v>2500</v>
      </c>
      <c r="AM158" s="13"/>
      <c r="AO158" s="13"/>
      <c r="AQ158" s="4"/>
      <c r="AR158" s="4">
        <v>152</v>
      </c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</row>
    <row r="159" spans="1:72">
      <c r="A159" s="1">
        <v>46101</v>
      </c>
      <c r="B159" s="16">
        <v>0.61745370370370367</v>
      </c>
      <c r="C159" t="s">
        <v>221</v>
      </c>
      <c r="D159" t="s">
        <v>147</v>
      </c>
      <c r="E159">
        <v>112</v>
      </c>
      <c r="F159" t="s">
        <v>63</v>
      </c>
      <c r="G159">
        <v>1</v>
      </c>
      <c r="H159">
        <v>1</v>
      </c>
      <c r="I159" t="s">
        <v>64</v>
      </c>
      <c r="J159" t="s">
        <v>65</v>
      </c>
      <c r="K159">
        <v>0.159</v>
      </c>
      <c r="L159">
        <v>3.11</v>
      </c>
      <c r="M159">
        <v>55.4</v>
      </c>
      <c r="N159" t="s">
        <v>66</v>
      </c>
      <c r="O159" t="s">
        <v>67</v>
      </c>
      <c r="P159">
        <v>0.60599999999999998</v>
      </c>
      <c r="Q159">
        <v>8.01</v>
      </c>
      <c r="R159">
        <v>388</v>
      </c>
      <c r="S159" s="4"/>
      <c r="T159" s="4">
        <v>2</v>
      </c>
      <c r="U159" s="4">
        <v>1</v>
      </c>
      <c r="V159" s="4"/>
      <c r="W159" s="13">
        <f t="shared" si="35"/>
        <v>55.4</v>
      </c>
      <c r="X159" s="15">
        <f t="shared" si="36"/>
        <v>55.4</v>
      </c>
      <c r="Y159" s="15">
        <f t="shared" si="37"/>
        <v>110.8</v>
      </c>
      <c r="Z159" s="4"/>
      <c r="AA159" s="4"/>
      <c r="AB159" s="13"/>
      <c r="AF159" s="4">
        <v>1</v>
      </c>
      <c r="AG159" s="4"/>
      <c r="AH159" s="4">
        <f t="shared" si="31"/>
        <v>388</v>
      </c>
      <c r="AI159" s="4">
        <f t="shared" si="34"/>
        <v>388</v>
      </c>
      <c r="AJ159" s="4">
        <f t="shared" si="27"/>
        <v>776</v>
      </c>
      <c r="AK159" s="15"/>
      <c r="AL159" s="4"/>
      <c r="AM159" s="13"/>
      <c r="AO159" s="13"/>
      <c r="AQ159" s="4"/>
      <c r="AR159" s="4">
        <v>153</v>
      </c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</row>
    <row r="160" spans="1:72">
      <c r="A160" s="1">
        <v>46101</v>
      </c>
      <c r="B160" s="16">
        <v>0.61832175925925925</v>
      </c>
      <c r="C160" t="s">
        <v>221</v>
      </c>
      <c r="D160" t="s">
        <v>148</v>
      </c>
      <c r="E160">
        <v>113</v>
      </c>
      <c r="F160" t="s">
        <v>63</v>
      </c>
      <c r="G160">
        <v>1</v>
      </c>
      <c r="H160">
        <v>1</v>
      </c>
      <c r="I160" t="s">
        <v>64</v>
      </c>
      <c r="J160" t="s">
        <v>65</v>
      </c>
      <c r="K160">
        <v>0.121</v>
      </c>
      <c r="L160">
        <v>2.4</v>
      </c>
      <c r="M160">
        <v>34.299999999999997</v>
      </c>
      <c r="N160" t="s">
        <v>66</v>
      </c>
      <c r="O160" t="s">
        <v>67</v>
      </c>
      <c r="P160">
        <v>0.39400000000000002</v>
      </c>
      <c r="Q160">
        <v>5.28</v>
      </c>
      <c r="R160">
        <v>209</v>
      </c>
      <c r="S160" s="4"/>
      <c r="T160" s="4">
        <v>2</v>
      </c>
      <c r="U160" s="4">
        <v>1</v>
      </c>
      <c r="V160" s="4"/>
      <c r="W160" s="13">
        <f t="shared" si="35"/>
        <v>34.299999999999997</v>
      </c>
      <c r="X160" s="15">
        <f t="shared" si="36"/>
        <v>34.299999999999997</v>
      </c>
      <c r="Y160" s="15">
        <f t="shared" si="37"/>
        <v>68.599999999999994</v>
      </c>
      <c r="Z160" s="4"/>
      <c r="AA160" s="4"/>
      <c r="AB160" s="13"/>
      <c r="AF160" s="4">
        <v>1</v>
      </c>
      <c r="AG160" s="4"/>
      <c r="AH160" s="4">
        <f t="shared" si="31"/>
        <v>209</v>
      </c>
      <c r="AI160" s="4">
        <f t="shared" si="34"/>
        <v>209</v>
      </c>
      <c r="AJ160" s="4">
        <f t="shared" si="27"/>
        <v>418</v>
      </c>
      <c r="AK160" s="15"/>
      <c r="AL160" s="4"/>
      <c r="AM160" s="13"/>
      <c r="AO160" s="13"/>
      <c r="AQ160" s="4"/>
      <c r="AR160" s="4">
        <v>154</v>
      </c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</row>
    <row r="161" spans="1:72">
      <c r="A161" s="1">
        <v>46101</v>
      </c>
      <c r="B161" s="16">
        <v>0.6192361111111111</v>
      </c>
      <c r="C161" t="s">
        <v>221</v>
      </c>
      <c r="D161" t="s">
        <v>149</v>
      </c>
      <c r="E161">
        <v>114</v>
      </c>
      <c r="F161" t="s">
        <v>63</v>
      </c>
      <c r="G161">
        <v>1</v>
      </c>
      <c r="H161">
        <v>1</v>
      </c>
      <c r="I161" t="s">
        <v>64</v>
      </c>
      <c r="J161" t="s">
        <v>65</v>
      </c>
      <c r="K161">
        <v>0.111</v>
      </c>
      <c r="L161">
        <v>2.21</v>
      </c>
      <c r="M161">
        <v>28.5</v>
      </c>
      <c r="N161" t="s">
        <v>66</v>
      </c>
      <c r="O161" t="s">
        <v>67</v>
      </c>
      <c r="P161">
        <v>0.51400000000000001</v>
      </c>
      <c r="Q161">
        <v>6.87</v>
      </c>
      <c r="R161">
        <v>313</v>
      </c>
      <c r="S161" s="4"/>
      <c r="T161" s="4">
        <v>2</v>
      </c>
      <c r="U161" s="4">
        <v>1</v>
      </c>
      <c r="V161" s="4"/>
      <c r="W161" s="13">
        <f t="shared" si="35"/>
        <v>28.5</v>
      </c>
      <c r="X161" s="15">
        <f t="shared" si="36"/>
        <v>28.5</v>
      </c>
      <c r="Y161" s="15">
        <f t="shared" si="37"/>
        <v>57</v>
      </c>
      <c r="AB161" s="13"/>
      <c r="AF161" s="4">
        <v>1</v>
      </c>
      <c r="AG161" s="4"/>
      <c r="AH161" s="4">
        <f t="shared" si="31"/>
        <v>313</v>
      </c>
      <c r="AI161" s="4">
        <f t="shared" si="34"/>
        <v>313</v>
      </c>
      <c r="AJ161" s="4">
        <f t="shared" si="27"/>
        <v>626</v>
      </c>
      <c r="AK161" s="15"/>
      <c r="AL161" s="4"/>
      <c r="AM161" s="13"/>
      <c r="AO161" s="13"/>
      <c r="AQ161" s="4"/>
      <c r="AR161" s="4">
        <v>155</v>
      </c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</row>
    <row r="162" spans="1:72">
      <c r="A162" s="1">
        <v>46101</v>
      </c>
      <c r="B162" s="16">
        <v>0.62012731481481487</v>
      </c>
      <c r="C162" t="s">
        <v>221</v>
      </c>
      <c r="D162" t="s">
        <v>150</v>
      </c>
      <c r="E162">
        <v>115</v>
      </c>
      <c r="F162" t="s">
        <v>91</v>
      </c>
      <c r="G162">
        <v>1</v>
      </c>
      <c r="H162">
        <v>1</v>
      </c>
      <c r="I162" t="s">
        <v>64</v>
      </c>
      <c r="J162" t="s">
        <v>65</v>
      </c>
      <c r="K162">
        <v>9.1899999999999996E-2</v>
      </c>
      <c r="L162">
        <v>1.9</v>
      </c>
      <c r="M162">
        <v>19.399999999999999</v>
      </c>
      <c r="N162" t="s">
        <v>66</v>
      </c>
      <c r="O162" t="s">
        <v>67</v>
      </c>
      <c r="P162">
        <v>0.63800000000000001</v>
      </c>
      <c r="Q162">
        <v>8.42</v>
      </c>
      <c r="R162">
        <v>415</v>
      </c>
      <c r="S162" s="4"/>
      <c r="T162" s="4">
        <v>2</v>
      </c>
      <c r="U162" s="4">
        <v>1</v>
      </c>
      <c r="V162" s="4"/>
      <c r="W162" s="13">
        <f t="shared" si="35"/>
        <v>19.399999999999999</v>
      </c>
      <c r="X162" s="15">
        <f t="shared" si="36"/>
        <v>19.399999999999999</v>
      </c>
      <c r="Y162" s="15">
        <f t="shared" si="37"/>
        <v>38.799999999999997</v>
      </c>
      <c r="Z162" s="4"/>
      <c r="AA162" s="4"/>
      <c r="AB162" s="13"/>
      <c r="AF162" s="4">
        <v>1</v>
      </c>
      <c r="AG162" s="4"/>
      <c r="AH162" s="4">
        <f t="shared" si="31"/>
        <v>415</v>
      </c>
      <c r="AI162" s="4">
        <f t="shared" si="34"/>
        <v>415</v>
      </c>
      <c r="AJ162" s="4">
        <f t="shared" si="27"/>
        <v>830</v>
      </c>
      <c r="AK162" s="15"/>
      <c r="AL162" s="4"/>
      <c r="AM162" s="13"/>
      <c r="AO162" s="13"/>
      <c r="AQ162" s="4"/>
      <c r="AR162" s="4">
        <v>156</v>
      </c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</row>
    <row r="163" spans="1:72">
      <c r="A163" s="1">
        <v>46101</v>
      </c>
      <c r="B163" s="16">
        <v>0.62101851851851853</v>
      </c>
      <c r="C163" t="s">
        <v>221</v>
      </c>
      <c r="D163" t="s">
        <v>207</v>
      </c>
      <c r="E163">
        <v>117</v>
      </c>
      <c r="F163" t="s">
        <v>91</v>
      </c>
      <c r="G163">
        <v>1</v>
      </c>
      <c r="H163">
        <v>1</v>
      </c>
      <c r="I163" t="s">
        <v>64</v>
      </c>
      <c r="J163" t="s">
        <v>65</v>
      </c>
      <c r="K163">
        <v>0.157</v>
      </c>
      <c r="L163">
        <v>3.01</v>
      </c>
      <c r="M163">
        <v>52.3</v>
      </c>
      <c r="N163" t="s">
        <v>66</v>
      </c>
      <c r="O163" t="s">
        <v>67</v>
      </c>
      <c r="P163">
        <v>0.94099999999999995</v>
      </c>
      <c r="Q163">
        <v>12.3</v>
      </c>
      <c r="R163">
        <v>663</v>
      </c>
      <c r="S163" s="4"/>
      <c r="T163" s="4">
        <v>2</v>
      </c>
      <c r="U163" s="4">
        <v>1</v>
      </c>
      <c r="V163" s="4"/>
      <c r="W163" s="13">
        <f t="shared" si="35"/>
        <v>52.3</v>
      </c>
      <c r="X163" s="15">
        <f t="shared" si="36"/>
        <v>52.3</v>
      </c>
      <c r="Y163" s="15">
        <f t="shared" si="37"/>
        <v>104.6</v>
      </c>
      <c r="Z163" s="4"/>
      <c r="AA163" s="4"/>
      <c r="AB163" s="13"/>
      <c r="AD163">
        <f>100*((Y163*10250)-(Y162*10000))/(1000*250)</f>
        <v>273.66000000000003</v>
      </c>
      <c r="AE163" t="str">
        <f>IF(Y163&gt;30, (IF((AND(AD163&gt;=80,AD163&lt;=120)=TRUE),"PASS","FAIL")),(IF((AND(AD163&gt;=50,AD163&lt;=150)=TRUE),"PASS","FAIL")))</f>
        <v>FAIL</v>
      </c>
      <c r="AF163" s="4">
        <v>1</v>
      </c>
      <c r="AG163" s="4"/>
      <c r="AH163" s="4">
        <f t="shared" si="31"/>
        <v>663</v>
      </c>
      <c r="AI163" s="4">
        <f t="shared" si="34"/>
        <v>663</v>
      </c>
      <c r="AJ163" s="4">
        <f t="shared" si="27"/>
        <v>1326</v>
      </c>
      <c r="AK163" s="15"/>
      <c r="AL163" s="4"/>
      <c r="AM163" s="15"/>
      <c r="AN163" s="4"/>
      <c r="AO163" s="13">
        <f>100*((AJ163*10250)-(AJ162*10000))/(1000*2500)</f>
        <v>211.66</v>
      </c>
      <c r="AP163" t="str">
        <f>IF(AJ163&gt;30, (IF((AND(AO163&gt;=80,AO163&lt;=120)=TRUE),"PASS","FAIL")),(IF((AND(AO163&gt;=50,AO163&lt;=150)=TRUE),"PASS","FAIL")))</f>
        <v>FAIL</v>
      </c>
      <c r="AQ163" s="4"/>
      <c r="AR163" s="4">
        <v>157</v>
      </c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</row>
    <row r="164" spans="1:72">
      <c r="A164" s="1">
        <v>46101</v>
      </c>
      <c r="B164" s="16">
        <v>0.62190972222222218</v>
      </c>
      <c r="C164" t="s">
        <v>221</v>
      </c>
      <c r="D164" t="s">
        <v>205</v>
      </c>
      <c r="E164" t="s">
        <v>70</v>
      </c>
      <c r="F164" t="s">
        <v>63</v>
      </c>
      <c r="G164">
        <v>1</v>
      </c>
      <c r="H164">
        <v>1</v>
      </c>
      <c r="I164" t="s">
        <v>64</v>
      </c>
      <c r="J164" t="s">
        <v>65</v>
      </c>
      <c r="K164">
        <v>0.14299999999999999</v>
      </c>
      <c r="L164">
        <v>1.73</v>
      </c>
      <c r="M164">
        <v>14.4</v>
      </c>
      <c r="N164" t="s">
        <v>66</v>
      </c>
      <c r="O164" t="s">
        <v>67</v>
      </c>
      <c r="P164">
        <v>1.0699999999999999E-2</v>
      </c>
      <c r="Q164">
        <v>0.22800000000000001</v>
      </c>
      <c r="R164">
        <v>-132</v>
      </c>
      <c r="S164" s="4"/>
      <c r="T164" s="4">
        <v>1</v>
      </c>
      <c r="U164" s="4">
        <v>1</v>
      </c>
      <c r="V164" s="4"/>
      <c r="W164" s="13">
        <f t="shared" si="35"/>
        <v>14.4</v>
      </c>
      <c r="X164" s="15">
        <f t="shared" si="36"/>
        <v>14.4</v>
      </c>
      <c r="Y164" s="15">
        <f t="shared" si="37"/>
        <v>14.4</v>
      </c>
      <c r="Z164" s="4"/>
      <c r="AA164" s="4"/>
      <c r="AB164" s="15"/>
      <c r="AC164" s="4"/>
      <c r="AF164" s="4">
        <v>1</v>
      </c>
      <c r="AG164" s="4"/>
      <c r="AH164" s="4">
        <f t="shared" si="31"/>
        <v>-132</v>
      </c>
      <c r="AI164" s="4">
        <f t="shared" si="34"/>
        <v>-132</v>
      </c>
      <c r="AJ164" s="4">
        <f t="shared" si="27"/>
        <v>-132</v>
      </c>
      <c r="AK164" s="15"/>
      <c r="AL164" s="4"/>
      <c r="AM164" s="13"/>
      <c r="AO164" s="13"/>
      <c r="AQ164" s="4"/>
      <c r="AR164" s="4">
        <v>158</v>
      </c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</row>
    <row r="165" spans="1:72">
      <c r="A165" s="1">
        <v>46101</v>
      </c>
      <c r="B165" s="16">
        <v>0.62280092592592595</v>
      </c>
      <c r="C165" t="s">
        <v>221</v>
      </c>
      <c r="D165" t="s">
        <v>101</v>
      </c>
      <c r="E165">
        <v>17</v>
      </c>
      <c r="F165" t="s">
        <v>92</v>
      </c>
      <c r="G165">
        <v>1</v>
      </c>
      <c r="H165">
        <v>1</v>
      </c>
      <c r="I165" t="s">
        <v>64</v>
      </c>
      <c r="J165" t="s">
        <v>65</v>
      </c>
      <c r="K165">
        <v>0.10100000000000001</v>
      </c>
      <c r="L165">
        <v>2.0499999999999998</v>
      </c>
      <c r="M165">
        <v>23.9</v>
      </c>
      <c r="N165" t="s">
        <v>66</v>
      </c>
      <c r="O165" t="s">
        <v>67</v>
      </c>
      <c r="P165">
        <v>0.47899999999999998</v>
      </c>
      <c r="Q165">
        <v>6.35</v>
      </c>
      <c r="R165">
        <v>279</v>
      </c>
      <c r="S165" s="4"/>
      <c r="T165" s="4">
        <v>1</v>
      </c>
      <c r="U165" s="4">
        <v>1</v>
      </c>
      <c r="V165" s="4"/>
      <c r="W165" s="13">
        <f t="shared" si="35"/>
        <v>23.9</v>
      </c>
      <c r="X165" s="15">
        <f t="shared" si="36"/>
        <v>23.9</v>
      </c>
      <c r="Y165" s="15">
        <f t="shared" si="37"/>
        <v>23.9</v>
      </c>
      <c r="Z165" s="4">
        <f>100*(Y165-25)/25</f>
        <v>-4.4000000000000057</v>
      </c>
      <c r="AA165" s="4" t="str">
        <f>IF((ABS(Z165))&lt;=20,"PASS","FAIL")</f>
        <v>PASS</v>
      </c>
      <c r="AB165" s="13"/>
      <c r="AD165" s="4"/>
      <c r="AE165" s="4"/>
      <c r="AF165" s="4">
        <v>1</v>
      </c>
      <c r="AG165" s="4"/>
      <c r="AH165" s="4">
        <f t="shared" si="31"/>
        <v>279</v>
      </c>
      <c r="AI165" s="4">
        <f t="shared" si="34"/>
        <v>279</v>
      </c>
      <c r="AJ165" s="4">
        <f t="shared" si="27"/>
        <v>279</v>
      </c>
      <c r="AK165" s="15">
        <f>100*(AJ165-250)/250</f>
        <v>11.6</v>
      </c>
      <c r="AL165" s="4" t="str">
        <f>IF((ABS(AK165))&lt;=20,"PASS","FAIL")</f>
        <v>PASS</v>
      </c>
      <c r="AM165" s="15"/>
      <c r="AN165" s="4"/>
      <c r="AO165" s="15"/>
      <c r="AP165" s="4"/>
      <c r="AQ165" s="4"/>
      <c r="AR165" s="4">
        <v>159</v>
      </c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</row>
    <row r="166" spans="1:72">
      <c r="A166" s="1">
        <v>46101</v>
      </c>
      <c r="B166" s="16">
        <v>0.62369212962962961</v>
      </c>
      <c r="C166" t="s">
        <v>221</v>
      </c>
      <c r="D166" t="s">
        <v>151</v>
      </c>
      <c r="E166">
        <v>118</v>
      </c>
      <c r="F166" t="s">
        <v>63</v>
      </c>
      <c r="G166">
        <v>1</v>
      </c>
      <c r="H166">
        <v>1</v>
      </c>
      <c r="I166" t="s">
        <v>64</v>
      </c>
      <c r="J166" t="s">
        <v>65</v>
      </c>
      <c r="K166">
        <v>0.10299999999999999</v>
      </c>
      <c r="L166">
        <v>2.09</v>
      </c>
      <c r="M166">
        <v>24.9</v>
      </c>
      <c r="N166" t="s">
        <v>66</v>
      </c>
      <c r="O166" t="s">
        <v>67</v>
      </c>
      <c r="P166">
        <v>0.66900000000000004</v>
      </c>
      <c r="Q166">
        <v>8.8800000000000008</v>
      </c>
      <c r="R166">
        <v>444</v>
      </c>
      <c r="T166" s="4">
        <v>2</v>
      </c>
      <c r="U166" s="4">
        <v>1</v>
      </c>
      <c r="V166" s="4"/>
      <c r="W166" s="13">
        <f t="shared" si="35"/>
        <v>24.9</v>
      </c>
      <c r="X166" s="15">
        <f t="shared" si="36"/>
        <v>24.9</v>
      </c>
      <c r="Y166" s="15">
        <f t="shared" si="37"/>
        <v>49.8</v>
      </c>
      <c r="Z166" s="4"/>
      <c r="AA166" s="4"/>
      <c r="AB166" s="15"/>
      <c r="AC166" s="4"/>
      <c r="AF166" s="4">
        <v>1</v>
      </c>
      <c r="AG166" s="4"/>
      <c r="AH166" s="4">
        <f t="shared" si="31"/>
        <v>444</v>
      </c>
      <c r="AI166" s="4">
        <f t="shared" si="34"/>
        <v>444</v>
      </c>
      <c r="AJ166" s="4">
        <f t="shared" si="27"/>
        <v>888</v>
      </c>
      <c r="AK166" s="15"/>
      <c r="AL166" s="4"/>
      <c r="AM166" s="13"/>
      <c r="AO166" s="13"/>
      <c r="AQ166" s="4"/>
      <c r="AR166" s="4">
        <v>160</v>
      </c>
      <c r="AS166" s="4"/>
    </row>
    <row r="167" spans="1:72">
      <c r="A167" s="1">
        <v>46101</v>
      </c>
      <c r="B167" s="16">
        <v>0.62458333333333338</v>
      </c>
      <c r="C167" t="s">
        <v>221</v>
      </c>
      <c r="D167" t="s">
        <v>152</v>
      </c>
      <c r="E167">
        <v>119</v>
      </c>
      <c r="F167" t="s">
        <v>63</v>
      </c>
      <c r="G167">
        <v>1</v>
      </c>
      <c r="H167">
        <v>1</v>
      </c>
      <c r="I167" t="s">
        <v>64</v>
      </c>
      <c r="J167" t="s">
        <v>65</v>
      </c>
      <c r="K167">
        <v>0.18</v>
      </c>
      <c r="L167">
        <v>3.44</v>
      </c>
      <c r="M167">
        <v>64.900000000000006</v>
      </c>
      <c r="N167" t="s">
        <v>66</v>
      </c>
      <c r="O167" t="s">
        <v>67</v>
      </c>
      <c r="P167">
        <v>0.77300000000000002</v>
      </c>
      <c r="Q167">
        <v>10.199999999999999</v>
      </c>
      <c r="R167">
        <v>529</v>
      </c>
      <c r="T167" s="4">
        <v>2</v>
      </c>
      <c r="U167" s="4">
        <v>1</v>
      </c>
      <c r="V167" s="4"/>
      <c r="W167" s="13">
        <f t="shared" si="35"/>
        <v>64.900000000000006</v>
      </c>
      <c r="X167" s="15">
        <f t="shared" si="36"/>
        <v>64.900000000000006</v>
      </c>
      <c r="Y167" s="15">
        <f t="shared" si="37"/>
        <v>129.80000000000001</v>
      </c>
      <c r="Z167" s="4"/>
      <c r="AA167" s="4"/>
      <c r="AB167" s="13"/>
      <c r="AF167" s="4">
        <v>1</v>
      </c>
      <c r="AG167" s="4"/>
      <c r="AH167" s="4">
        <f t="shared" si="31"/>
        <v>529</v>
      </c>
      <c r="AI167" s="4">
        <f t="shared" si="34"/>
        <v>529</v>
      </c>
      <c r="AJ167" s="4">
        <f t="shared" si="27"/>
        <v>1058</v>
      </c>
      <c r="AK167" s="15"/>
      <c r="AL167" s="4"/>
      <c r="AM167" s="15"/>
      <c r="AN167" s="4"/>
      <c r="AO167" s="13"/>
      <c r="AQ167" s="4"/>
      <c r="AR167" s="4">
        <v>161</v>
      </c>
      <c r="AS167" s="4"/>
    </row>
    <row r="168" spans="1:72">
      <c r="A168" s="1">
        <v>46101</v>
      </c>
      <c r="B168" s="16">
        <v>0.62547453703703704</v>
      </c>
      <c r="C168" t="s">
        <v>221</v>
      </c>
      <c r="D168" t="s">
        <v>153</v>
      </c>
      <c r="E168">
        <v>120</v>
      </c>
      <c r="F168" t="s">
        <v>63</v>
      </c>
      <c r="G168">
        <v>1</v>
      </c>
      <c r="H168">
        <v>1</v>
      </c>
      <c r="I168" t="s">
        <v>64</v>
      </c>
      <c r="J168" t="s">
        <v>65</v>
      </c>
      <c r="K168">
        <v>0.122</v>
      </c>
      <c r="L168">
        <v>2.41</v>
      </c>
      <c r="M168">
        <v>34.4</v>
      </c>
      <c r="N168" t="s">
        <v>66</v>
      </c>
      <c r="O168" t="s">
        <v>67</v>
      </c>
      <c r="P168">
        <v>0.57199999999999995</v>
      </c>
      <c r="Q168">
        <v>7.61</v>
      </c>
      <c r="R168">
        <v>362</v>
      </c>
      <c r="T168" s="4">
        <v>2</v>
      </c>
      <c r="U168" s="4">
        <v>1</v>
      </c>
      <c r="V168" s="4"/>
      <c r="W168" s="13">
        <f t="shared" si="35"/>
        <v>34.4</v>
      </c>
      <c r="X168" s="15">
        <f t="shared" si="36"/>
        <v>34.4</v>
      </c>
      <c r="Y168" s="15">
        <f t="shared" si="37"/>
        <v>68.8</v>
      </c>
      <c r="Z168" s="4"/>
      <c r="AA168" s="4"/>
      <c r="AB168" s="13"/>
      <c r="AF168" s="4">
        <v>1</v>
      </c>
      <c r="AG168" s="4"/>
      <c r="AH168" s="4">
        <f t="shared" si="31"/>
        <v>362</v>
      </c>
      <c r="AI168" s="4">
        <f t="shared" si="34"/>
        <v>362</v>
      </c>
      <c r="AJ168" s="4">
        <f t="shared" si="27"/>
        <v>724</v>
      </c>
      <c r="AK168" s="15"/>
      <c r="AL168" s="4"/>
      <c r="AM168" s="13"/>
      <c r="AO168" s="13"/>
      <c r="AQ168" s="4"/>
      <c r="AR168" s="4">
        <v>162</v>
      </c>
      <c r="AS168" s="4"/>
    </row>
    <row r="169" spans="1:72">
      <c r="A169" s="1">
        <v>46101</v>
      </c>
      <c r="B169" s="16">
        <v>0.6263657407407407</v>
      </c>
      <c r="C169" t="s">
        <v>221</v>
      </c>
      <c r="D169" t="s">
        <v>154</v>
      </c>
      <c r="E169">
        <v>121</v>
      </c>
      <c r="F169" t="s">
        <v>63</v>
      </c>
      <c r="G169">
        <v>1</v>
      </c>
      <c r="H169">
        <v>1</v>
      </c>
      <c r="I169" t="s">
        <v>64</v>
      </c>
      <c r="J169" t="s">
        <v>65</v>
      </c>
      <c r="K169">
        <v>8.48E-2</v>
      </c>
      <c r="L169">
        <v>1.71</v>
      </c>
      <c r="M169">
        <v>13.7</v>
      </c>
      <c r="N169" t="s">
        <v>66</v>
      </c>
      <c r="O169" t="s">
        <v>67</v>
      </c>
      <c r="P169">
        <v>0.55200000000000005</v>
      </c>
      <c r="Q169">
        <v>7.22</v>
      </c>
      <c r="R169">
        <v>336</v>
      </c>
      <c r="T169" s="4">
        <v>2</v>
      </c>
      <c r="U169" s="4">
        <v>1</v>
      </c>
      <c r="V169" s="4"/>
      <c r="W169" s="13">
        <f t="shared" si="35"/>
        <v>13.7</v>
      </c>
      <c r="X169" s="15">
        <f t="shared" si="36"/>
        <v>13.7</v>
      </c>
      <c r="Y169" s="15">
        <f t="shared" si="37"/>
        <v>27.4</v>
      </c>
      <c r="Z169" s="4"/>
      <c r="AA169" s="4"/>
      <c r="AB169" s="15"/>
      <c r="AC169" s="4"/>
      <c r="AD169" s="4"/>
      <c r="AE169" s="4"/>
      <c r="AF169" s="4">
        <v>1</v>
      </c>
      <c r="AG169" s="4"/>
      <c r="AH169" s="4">
        <f t="shared" si="31"/>
        <v>336</v>
      </c>
      <c r="AI169" s="4">
        <f t="shared" si="34"/>
        <v>336</v>
      </c>
      <c r="AJ169" s="4">
        <f t="shared" si="27"/>
        <v>672</v>
      </c>
      <c r="AK169" s="15"/>
      <c r="AL169" s="4"/>
      <c r="AM169" s="15"/>
      <c r="AN169" s="4"/>
      <c r="AO169" s="13"/>
      <c r="AQ169" s="4"/>
      <c r="AR169" s="4">
        <v>163</v>
      </c>
      <c r="AS169" s="4"/>
    </row>
    <row r="170" spans="1:72">
      <c r="A170" s="1">
        <v>46101</v>
      </c>
      <c r="B170" s="16">
        <v>0.6272685185185185</v>
      </c>
      <c r="C170" t="s">
        <v>221</v>
      </c>
      <c r="D170" t="s">
        <v>155</v>
      </c>
      <c r="E170">
        <v>122</v>
      </c>
      <c r="F170" t="s">
        <v>85</v>
      </c>
      <c r="G170">
        <v>1</v>
      </c>
      <c r="H170">
        <v>1</v>
      </c>
      <c r="I170" t="s">
        <v>64</v>
      </c>
      <c r="J170" t="s">
        <v>65</v>
      </c>
      <c r="K170">
        <v>0.252</v>
      </c>
      <c r="L170">
        <v>4.8099999999999996</v>
      </c>
      <c r="M170">
        <v>105</v>
      </c>
      <c r="N170" t="s">
        <v>66</v>
      </c>
      <c r="O170" t="s">
        <v>67</v>
      </c>
      <c r="P170">
        <v>1.46</v>
      </c>
      <c r="Q170">
        <v>19.2</v>
      </c>
      <c r="R170">
        <v>1090</v>
      </c>
      <c r="S170" s="4"/>
      <c r="T170" s="4">
        <v>2</v>
      </c>
      <c r="U170" s="4">
        <v>1</v>
      </c>
      <c r="V170" s="4"/>
      <c r="W170" s="13">
        <f t="shared" si="35"/>
        <v>105</v>
      </c>
      <c r="X170" s="15">
        <f t="shared" si="36"/>
        <v>105</v>
      </c>
      <c r="Y170" s="15">
        <f t="shared" si="37"/>
        <v>210</v>
      </c>
      <c r="Z170" s="4"/>
      <c r="AA170" s="4"/>
      <c r="AB170" s="13"/>
      <c r="AF170" s="4">
        <v>1</v>
      </c>
      <c r="AG170" s="4"/>
      <c r="AH170" s="4">
        <f t="shared" si="31"/>
        <v>1090</v>
      </c>
      <c r="AI170" s="4">
        <f t="shared" si="34"/>
        <v>1090</v>
      </c>
      <c r="AJ170" s="4">
        <f t="shared" si="27"/>
        <v>2180</v>
      </c>
      <c r="AK170" s="15"/>
      <c r="AL170" s="4"/>
      <c r="AM170" s="13"/>
      <c r="AO170" s="13"/>
      <c r="AQ170" s="4"/>
      <c r="AR170" s="4">
        <v>164</v>
      </c>
      <c r="AS170" s="4"/>
    </row>
    <row r="171" spans="1:72">
      <c r="A171" s="1">
        <v>46101</v>
      </c>
      <c r="B171" s="16">
        <v>0.62815972222222227</v>
      </c>
      <c r="C171" t="s">
        <v>221</v>
      </c>
      <c r="D171" t="s">
        <v>214</v>
      </c>
      <c r="E171">
        <v>128</v>
      </c>
      <c r="F171" t="s">
        <v>85</v>
      </c>
      <c r="G171">
        <v>1</v>
      </c>
      <c r="H171">
        <v>1</v>
      </c>
      <c r="I171" t="s">
        <v>64</v>
      </c>
      <c r="J171" t="s">
        <v>65</v>
      </c>
      <c r="K171">
        <v>0.247</v>
      </c>
      <c r="L171">
        <v>4.7</v>
      </c>
      <c r="M171">
        <v>102</v>
      </c>
      <c r="N171" t="s">
        <v>66</v>
      </c>
      <c r="O171" t="s">
        <v>67</v>
      </c>
      <c r="P171">
        <v>1.44</v>
      </c>
      <c r="Q171">
        <v>18.7</v>
      </c>
      <c r="R171">
        <v>1060</v>
      </c>
      <c r="S171" s="4"/>
      <c r="T171" s="4">
        <v>2</v>
      </c>
      <c r="U171" s="4">
        <v>1</v>
      </c>
      <c r="V171" s="4"/>
      <c r="W171" s="13">
        <f t="shared" si="35"/>
        <v>102</v>
      </c>
      <c r="X171" s="15">
        <f t="shared" si="36"/>
        <v>102</v>
      </c>
      <c r="Y171" s="15">
        <f t="shared" si="37"/>
        <v>204</v>
      </c>
      <c r="Z171" s="4"/>
      <c r="AA171" s="4"/>
      <c r="AB171" s="13">
        <f>ABS(100*ABS(Y171-Y170)/AVERAGE(Y171,Y170))</f>
        <v>2.8985507246376812</v>
      </c>
      <c r="AC171" t="str">
        <f>IF(Y171&gt;10, (IF((AND(AB171&gt;=0,AB171&lt;=20)=TRUE),"PASS","FAIL")),(IF((AND(AB171&gt;=0,AB171&lt;=50)=TRUE),"PASS","FAIL")))</f>
        <v>PASS</v>
      </c>
      <c r="AF171" s="4">
        <v>1</v>
      </c>
      <c r="AG171" s="4"/>
      <c r="AH171" s="4">
        <f t="shared" si="31"/>
        <v>1060</v>
      </c>
      <c r="AI171" s="4">
        <f t="shared" si="34"/>
        <v>1060</v>
      </c>
      <c r="AJ171" s="4">
        <f t="shared" si="27"/>
        <v>2120</v>
      </c>
      <c r="AK171" s="15"/>
      <c r="AL171" s="4"/>
      <c r="AM171" s="13">
        <f>ABS(100*ABS(AJ171-AJ170)/AVERAGE(AJ171,AJ170))</f>
        <v>2.7906976744186047</v>
      </c>
      <c r="AN171" t="str">
        <f>IF(AJ171&gt;10, (IF((AND(AM171&gt;=0,AM171&lt;=20)=TRUE),"PASS","FAIL")),(IF((AND(AM171&gt;=0,AM171&lt;=50)=TRUE),"PASS","FAIL")))</f>
        <v>PASS</v>
      </c>
      <c r="AO171" s="13"/>
      <c r="AQ171" s="4"/>
      <c r="AR171" s="4">
        <v>165</v>
      </c>
      <c r="AS171" s="4"/>
    </row>
    <row r="172" spans="1:72">
      <c r="A172" s="1">
        <v>46101</v>
      </c>
      <c r="B172" s="16">
        <v>0.62905092592592593</v>
      </c>
      <c r="C172" t="s">
        <v>221</v>
      </c>
      <c r="D172" t="s">
        <v>156</v>
      </c>
      <c r="E172">
        <v>123</v>
      </c>
      <c r="F172" t="s">
        <v>63</v>
      </c>
      <c r="G172">
        <v>1</v>
      </c>
      <c r="H172">
        <v>1</v>
      </c>
      <c r="I172" t="s">
        <v>64</v>
      </c>
      <c r="J172" t="s">
        <v>65</v>
      </c>
      <c r="K172">
        <v>0.115</v>
      </c>
      <c r="L172">
        <v>2.3199999999999998</v>
      </c>
      <c r="M172">
        <v>31.9</v>
      </c>
      <c r="N172" t="s">
        <v>66</v>
      </c>
      <c r="O172" t="s">
        <v>67</v>
      </c>
      <c r="P172">
        <v>0.65200000000000002</v>
      </c>
      <c r="Q172">
        <v>8.5500000000000007</v>
      </c>
      <c r="R172">
        <v>423</v>
      </c>
      <c r="T172" s="4">
        <v>2</v>
      </c>
      <c r="U172" s="4">
        <v>1</v>
      </c>
      <c r="V172" s="4"/>
      <c r="W172" s="13">
        <f t="shared" si="35"/>
        <v>31.9</v>
      </c>
      <c r="X172" s="15">
        <f t="shared" si="36"/>
        <v>31.9</v>
      </c>
      <c r="Y172" s="15">
        <f t="shared" si="37"/>
        <v>63.8</v>
      </c>
      <c r="AB172" s="15"/>
      <c r="AC172" s="4"/>
      <c r="AF172" s="4">
        <v>1</v>
      </c>
      <c r="AG172" s="4"/>
      <c r="AH172" s="4">
        <f t="shared" si="31"/>
        <v>423</v>
      </c>
      <c r="AI172" s="4">
        <f t="shared" si="34"/>
        <v>423</v>
      </c>
      <c r="AJ172" s="4">
        <f t="shared" si="27"/>
        <v>846</v>
      </c>
      <c r="AM172" s="15"/>
      <c r="AN172" s="4"/>
      <c r="AO172" s="15"/>
      <c r="AP172" s="4"/>
      <c r="AQ172" s="4"/>
      <c r="AR172" s="4">
        <v>166</v>
      </c>
      <c r="AS172" s="4"/>
    </row>
    <row r="173" spans="1:72">
      <c r="A173" s="1">
        <v>46101</v>
      </c>
      <c r="B173" s="16">
        <v>0.62994212962962959</v>
      </c>
      <c r="C173" t="s">
        <v>221</v>
      </c>
      <c r="D173" t="s">
        <v>157</v>
      </c>
      <c r="E173">
        <v>124</v>
      </c>
      <c r="F173" t="s">
        <v>63</v>
      </c>
      <c r="G173">
        <v>1</v>
      </c>
      <c r="H173">
        <v>1</v>
      </c>
      <c r="I173" t="s">
        <v>64</v>
      </c>
      <c r="J173" t="s">
        <v>65</v>
      </c>
      <c r="K173">
        <v>0.126</v>
      </c>
      <c r="L173">
        <v>2.3199999999999998</v>
      </c>
      <c r="M173">
        <v>32</v>
      </c>
      <c r="N173" t="s">
        <v>66</v>
      </c>
      <c r="O173" t="s">
        <v>67</v>
      </c>
      <c r="P173">
        <v>0.35599999999999998</v>
      </c>
      <c r="Q173">
        <v>4.82</v>
      </c>
      <c r="R173">
        <v>178</v>
      </c>
      <c r="T173" s="4">
        <v>2</v>
      </c>
      <c r="U173" s="4">
        <v>2</v>
      </c>
      <c r="V173" s="4" t="s">
        <v>256</v>
      </c>
      <c r="W173" s="13">
        <f t="shared" si="35"/>
        <v>32</v>
      </c>
      <c r="X173" s="15">
        <f t="shared" si="36"/>
        <v>32</v>
      </c>
      <c r="Y173" s="15">
        <f t="shared" si="37"/>
        <v>64</v>
      </c>
      <c r="Z173" s="4"/>
      <c r="AA173" s="4"/>
      <c r="AB173" s="13"/>
      <c r="AD173" s="4"/>
      <c r="AE173" s="4"/>
      <c r="AF173" s="4">
        <v>1</v>
      </c>
      <c r="AG173" s="4"/>
      <c r="AH173" s="4">
        <f t="shared" si="31"/>
        <v>178</v>
      </c>
      <c r="AI173" s="4">
        <f t="shared" si="34"/>
        <v>178</v>
      </c>
      <c r="AJ173" s="4">
        <f t="shared" si="27"/>
        <v>356</v>
      </c>
      <c r="AK173" s="15"/>
      <c r="AL173" s="4"/>
      <c r="AM173" s="13"/>
      <c r="AO173" s="13"/>
      <c r="AQ173" s="4"/>
      <c r="AR173" s="4">
        <v>167</v>
      </c>
      <c r="AS173" s="4"/>
    </row>
    <row r="174" spans="1:72">
      <c r="A174" s="1">
        <v>46101</v>
      </c>
      <c r="B174" s="16">
        <v>0.63083333333333336</v>
      </c>
      <c r="C174" t="s">
        <v>221</v>
      </c>
      <c r="D174" t="s">
        <v>158</v>
      </c>
      <c r="E174">
        <v>125</v>
      </c>
      <c r="F174" t="s">
        <v>63</v>
      </c>
      <c r="G174">
        <v>1</v>
      </c>
      <c r="H174">
        <v>1</v>
      </c>
      <c r="I174" t="s">
        <v>64</v>
      </c>
      <c r="J174" t="s">
        <v>65</v>
      </c>
      <c r="K174">
        <v>0.189</v>
      </c>
      <c r="L174">
        <v>3.56</v>
      </c>
      <c r="M174">
        <v>68.599999999999994</v>
      </c>
      <c r="N174" t="s">
        <v>66</v>
      </c>
      <c r="O174" t="s">
        <v>67</v>
      </c>
      <c r="P174">
        <v>0.745</v>
      </c>
      <c r="Q174">
        <v>9.84</v>
      </c>
      <c r="R174">
        <v>506</v>
      </c>
      <c r="T174" s="4">
        <v>2</v>
      </c>
      <c r="U174" s="4">
        <v>1</v>
      </c>
      <c r="V174" s="4"/>
      <c r="W174" s="13">
        <f t="shared" si="35"/>
        <v>68.599999999999994</v>
      </c>
      <c r="X174" s="15">
        <f t="shared" si="36"/>
        <v>68.599999999999994</v>
      </c>
      <c r="Y174" s="15">
        <f t="shared" si="37"/>
        <v>137.19999999999999</v>
      </c>
      <c r="Z174" s="4"/>
      <c r="AA174" s="4"/>
      <c r="AB174" s="13"/>
      <c r="AF174" s="4">
        <v>1</v>
      </c>
      <c r="AG174" s="4"/>
      <c r="AH174" s="4">
        <f t="shared" si="31"/>
        <v>506</v>
      </c>
      <c r="AI174" s="4">
        <f t="shared" si="34"/>
        <v>506</v>
      </c>
      <c r="AJ174" s="4">
        <f t="shared" ref="AJ174:AJ221" si="38">IF(T174=1,AH174,(AI174*T174))</f>
        <v>1012</v>
      </c>
      <c r="AK174" s="15"/>
      <c r="AL174" s="4"/>
      <c r="AM174" s="13"/>
      <c r="AO174" s="13"/>
      <c r="AQ174" s="4"/>
      <c r="AR174" s="4">
        <v>168</v>
      </c>
      <c r="AS174" s="4"/>
    </row>
    <row r="175" spans="1:72">
      <c r="A175" s="1">
        <v>46101</v>
      </c>
      <c r="B175" s="16">
        <v>0.63172453703703701</v>
      </c>
      <c r="C175" t="s">
        <v>221</v>
      </c>
      <c r="D175" t="s">
        <v>159</v>
      </c>
      <c r="E175">
        <v>126</v>
      </c>
      <c r="F175" t="s">
        <v>63</v>
      </c>
      <c r="G175">
        <v>1</v>
      </c>
      <c r="H175">
        <v>1</v>
      </c>
      <c r="I175" t="s">
        <v>64</v>
      </c>
      <c r="J175" t="s">
        <v>65</v>
      </c>
      <c r="K175">
        <v>0.127</v>
      </c>
      <c r="L175">
        <v>2.4700000000000002</v>
      </c>
      <c r="M175">
        <v>36.299999999999997</v>
      </c>
      <c r="N175" t="s">
        <v>66</v>
      </c>
      <c r="O175" t="s">
        <v>67</v>
      </c>
      <c r="P175">
        <v>0.59599999999999997</v>
      </c>
      <c r="Q175">
        <v>7.97</v>
      </c>
      <c r="R175">
        <v>386</v>
      </c>
      <c r="T175" s="4">
        <v>2</v>
      </c>
      <c r="U175" s="4">
        <v>1</v>
      </c>
      <c r="V175" s="4"/>
      <c r="W175" s="13">
        <f t="shared" si="35"/>
        <v>36.299999999999997</v>
      </c>
      <c r="X175" s="15">
        <f t="shared" si="36"/>
        <v>36.299999999999997</v>
      </c>
      <c r="Y175" s="15">
        <f t="shared" si="37"/>
        <v>72.599999999999994</v>
      </c>
      <c r="AB175" s="13"/>
      <c r="AF175" s="4">
        <v>1</v>
      </c>
      <c r="AG175" s="4"/>
      <c r="AH175" s="4">
        <f t="shared" si="31"/>
        <v>386</v>
      </c>
      <c r="AI175" s="4">
        <f t="shared" si="34"/>
        <v>386</v>
      </c>
      <c r="AJ175" s="4">
        <f t="shared" si="38"/>
        <v>772</v>
      </c>
      <c r="AK175" s="15"/>
      <c r="AL175" s="4"/>
      <c r="AM175" s="13"/>
      <c r="AO175" s="13"/>
      <c r="AQ175" s="4"/>
      <c r="AR175" s="4">
        <v>169</v>
      </c>
      <c r="AS175" s="4"/>
    </row>
    <row r="176" spans="1:72">
      <c r="A176" s="1">
        <v>46101</v>
      </c>
      <c r="B176" s="16">
        <v>0.63261574074074078</v>
      </c>
      <c r="C176" t="s">
        <v>221</v>
      </c>
      <c r="D176" t="s">
        <v>160</v>
      </c>
      <c r="E176">
        <v>127</v>
      </c>
      <c r="F176" t="s">
        <v>63</v>
      </c>
      <c r="G176">
        <v>1</v>
      </c>
      <c r="H176">
        <v>1</v>
      </c>
      <c r="I176" t="s">
        <v>64</v>
      </c>
      <c r="J176" t="s">
        <v>65</v>
      </c>
      <c r="K176">
        <v>0.107</v>
      </c>
      <c r="L176">
        <v>2.17</v>
      </c>
      <c r="M176">
        <v>27.4</v>
      </c>
      <c r="N176" t="s">
        <v>66</v>
      </c>
      <c r="O176" t="s">
        <v>67</v>
      </c>
      <c r="P176">
        <v>0.52700000000000002</v>
      </c>
      <c r="Q176">
        <v>7.01</v>
      </c>
      <c r="R176">
        <v>322</v>
      </c>
      <c r="T176" s="4">
        <v>2</v>
      </c>
      <c r="U176" s="4">
        <v>1</v>
      </c>
      <c r="V176" s="4"/>
      <c r="W176" s="13">
        <f t="shared" si="35"/>
        <v>27.4</v>
      </c>
      <c r="X176" s="15">
        <f t="shared" si="36"/>
        <v>27.4</v>
      </c>
      <c r="Y176" s="15">
        <f t="shared" si="37"/>
        <v>54.8</v>
      </c>
      <c r="Z176" s="4"/>
      <c r="AA176" s="4"/>
      <c r="AB176" s="13"/>
      <c r="AF176" s="4">
        <v>1</v>
      </c>
      <c r="AG176" s="4"/>
      <c r="AH176" s="4">
        <f t="shared" si="31"/>
        <v>322</v>
      </c>
      <c r="AI176" s="4">
        <f t="shared" si="34"/>
        <v>322</v>
      </c>
      <c r="AJ176" s="4">
        <f t="shared" si="38"/>
        <v>644</v>
      </c>
      <c r="AK176" s="15"/>
      <c r="AL176" s="4"/>
      <c r="AM176" s="13"/>
      <c r="AO176" s="13"/>
      <c r="AQ176" s="4"/>
      <c r="AR176" s="4">
        <v>170</v>
      </c>
      <c r="AS176" s="4"/>
    </row>
    <row r="177" spans="1:72">
      <c r="A177" s="1">
        <v>46101</v>
      </c>
      <c r="B177" s="16">
        <v>0.63350694444444444</v>
      </c>
      <c r="C177" t="s">
        <v>221</v>
      </c>
      <c r="D177" t="s">
        <v>101</v>
      </c>
      <c r="E177">
        <v>17</v>
      </c>
      <c r="F177" t="s">
        <v>92</v>
      </c>
      <c r="G177">
        <v>1</v>
      </c>
      <c r="H177">
        <v>1</v>
      </c>
      <c r="I177" t="s">
        <v>64</v>
      </c>
      <c r="J177" t="s">
        <v>65</v>
      </c>
      <c r="K177">
        <v>0.10199999999999999</v>
      </c>
      <c r="L177">
        <v>2</v>
      </c>
      <c r="M177">
        <v>22.3</v>
      </c>
      <c r="N177" t="s">
        <v>66</v>
      </c>
      <c r="O177" t="s">
        <v>67</v>
      </c>
      <c r="P177">
        <v>0.46899999999999997</v>
      </c>
      <c r="Q177">
        <v>6.26</v>
      </c>
      <c r="R177">
        <v>273</v>
      </c>
      <c r="T177" s="4">
        <v>1</v>
      </c>
      <c r="U177" s="4">
        <v>1</v>
      </c>
      <c r="V177" s="4"/>
      <c r="W177" s="13">
        <f t="shared" si="35"/>
        <v>22.3</v>
      </c>
      <c r="X177" s="15">
        <f t="shared" si="36"/>
        <v>22.3</v>
      </c>
      <c r="Y177" s="15">
        <f t="shared" si="37"/>
        <v>22.3</v>
      </c>
      <c r="Z177" s="4">
        <f>100*(Y177-25)/25</f>
        <v>-10.799999999999997</v>
      </c>
      <c r="AA177" s="4" t="str">
        <f>IF((ABS(Z177))&lt;=20,"PASS","FAIL")</f>
        <v>PASS</v>
      </c>
      <c r="AB177" s="13"/>
      <c r="AD177" s="4"/>
      <c r="AE177" s="4"/>
      <c r="AF177" s="4">
        <v>1</v>
      </c>
      <c r="AG177" s="4"/>
      <c r="AH177" s="4">
        <f t="shared" si="31"/>
        <v>273</v>
      </c>
      <c r="AI177" s="4">
        <f t="shared" si="34"/>
        <v>273</v>
      </c>
      <c r="AJ177" s="4">
        <f t="shared" si="38"/>
        <v>273</v>
      </c>
      <c r="AK177" s="15">
        <f>100*(AJ177-250)/250</f>
        <v>9.1999999999999993</v>
      </c>
      <c r="AL177" s="4" t="str">
        <f>IF((ABS(AK177))&lt;=20,"PASS","FAIL")</f>
        <v>PASS</v>
      </c>
      <c r="AM177" s="15"/>
      <c r="AN177" s="4"/>
      <c r="AO177" s="15"/>
      <c r="AP177" s="4"/>
      <c r="AQ177" s="4"/>
      <c r="AR177" s="4">
        <v>171</v>
      </c>
      <c r="AS177" s="4"/>
    </row>
    <row r="178" spans="1:72">
      <c r="A178" s="1">
        <v>46101</v>
      </c>
      <c r="B178" s="16">
        <v>0.63438657407407406</v>
      </c>
      <c r="C178" t="s">
        <v>221</v>
      </c>
      <c r="D178" t="s">
        <v>194</v>
      </c>
      <c r="E178" t="s">
        <v>68</v>
      </c>
      <c r="F178" t="s">
        <v>63</v>
      </c>
      <c r="G178">
        <v>1</v>
      </c>
      <c r="H178">
        <v>1</v>
      </c>
      <c r="I178" t="s">
        <v>64</v>
      </c>
      <c r="J178" t="s">
        <v>65</v>
      </c>
      <c r="K178">
        <v>0.14699999999999999</v>
      </c>
      <c r="L178">
        <v>1.86</v>
      </c>
      <c r="M178">
        <v>18.100000000000001</v>
      </c>
      <c r="N178" t="s">
        <v>66</v>
      </c>
      <c r="O178" t="s">
        <v>67</v>
      </c>
      <c r="P178">
        <v>7.95</v>
      </c>
      <c r="Q178">
        <v>149</v>
      </c>
      <c r="R178">
        <v>5300</v>
      </c>
      <c r="S178" s="4">
        <f>100*(Q179/Q178)</f>
        <v>97.31543624161074</v>
      </c>
      <c r="T178" s="4">
        <v>1</v>
      </c>
      <c r="U178" s="4">
        <v>1</v>
      </c>
      <c r="V178" s="4"/>
      <c r="W178" s="13">
        <f t="shared" si="35"/>
        <v>18.100000000000001</v>
      </c>
      <c r="X178" s="15">
        <f t="shared" si="36"/>
        <v>18.100000000000001</v>
      </c>
      <c r="Y178" s="15">
        <f t="shared" si="37"/>
        <v>18.100000000000001</v>
      </c>
      <c r="Z178" s="4"/>
      <c r="AA178" s="4"/>
      <c r="AB178" s="15"/>
      <c r="AC178" s="4"/>
      <c r="AF178" s="4">
        <v>1</v>
      </c>
      <c r="AG178" s="4"/>
      <c r="AH178" s="4">
        <f t="shared" si="31"/>
        <v>5300</v>
      </c>
      <c r="AI178" s="4">
        <f t="shared" si="34"/>
        <v>5300</v>
      </c>
      <c r="AJ178" s="4">
        <f t="shared" si="38"/>
        <v>5300</v>
      </c>
      <c r="AK178" s="15"/>
      <c r="AL178" s="4"/>
      <c r="AM178" s="13"/>
      <c r="AO178" s="13"/>
      <c r="AQ178" s="4"/>
      <c r="AR178" s="4">
        <v>172</v>
      </c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</row>
    <row r="179" spans="1:72">
      <c r="A179" s="1">
        <v>46101</v>
      </c>
      <c r="B179" s="16">
        <v>0.63526620370370368</v>
      </c>
      <c r="C179" t="s">
        <v>221</v>
      </c>
      <c r="D179" t="s">
        <v>195</v>
      </c>
      <c r="E179" t="s">
        <v>69</v>
      </c>
      <c r="F179" t="s">
        <v>63</v>
      </c>
      <c r="G179">
        <v>1</v>
      </c>
      <c r="H179">
        <v>1</v>
      </c>
      <c r="I179" t="s">
        <v>64</v>
      </c>
      <c r="J179" t="s">
        <v>65</v>
      </c>
      <c r="K179">
        <v>0.14699999999999999</v>
      </c>
      <c r="L179">
        <v>1.83</v>
      </c>
      <c r="M179">
        <v>17.3</v>
      </c>
      <c r="N179" t="s">
        <v>66</v>
      </c>
      <c r="O179" t="s">
        <v>67</v>
      </c>
      <c r="P179">
        <v>7.94</v>
      </c>
      <c r="Q179">
        <v>145</v>
      </c>
      <c r="R179">
        <v>5280</v>
      </c>
      <c r="S179" s="4"/>
      <c r="T179" s="4">
        <v>1</v>
      </c>
      <c r="U179" s="4">
        <v>1</v>
      </c>
      <c r="V179" s="4"/>
      <c r="W179" s="13">
        <f t="shared" si="35"/>
        <v>17.3</v>
      </c>
      <c r="X179" s="15">
        <f t="shared" si="36"/>
        <v>17.3</v>
      </c>
      <c r="Y179" s="15">
        <f t="shared" si="37"/>
        <v>17.3</v>
      </c>
      <c r="Z179" s="4"/>
      <c r="AA179" s="4"/>
      <c r="AB179" s="13"/>
      <c r="AD179" s="4"/>
      <c r="AE179" s="4"/>
      <c r="AF179" s="4">
        <v>1</v>
      </c>
      <c r="AG179" s="4"/>
      <c r="AH179" s="4">
        <f t="shared" si="31"/>
        <v>5280</v>
      </c>
      <c r="AI179" s="4">
        <f t="shared" si="34"/>
        <v>5280</v>
      </c>
      <c r="AJ179" s="4">
        <f t="shared" si="38"/>
        <v>5280</v>
      </c>
      <c r="AK179" s="15"/>
      <c r="AL179" s="4"/>
      <c r="AM179" s="15"/>
      <c r="AN179" s="4"/>
      <c r="AO179" s="15"/>
      <c r="AP179" s="4"/>
      <c r="AQ179" s="4"/>
      <c r="AR179" s="4">
        <v>173</v>
      </c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</row>
    <row r="180" spans="1:72">
      <c r="A180" s="1">
        <v>46101</v>
      </c>
      <c r="B180" s="16">
        <v>0.63615740740740745</v>
      </c>
      <c r="C180" t="s">
        <v>221</v>
      </c>
      <c r="D180" t="s">
        <v>186</v>
      </c>
      <c r="E180" t="s">
        <v>72</v>
      </c>
      <c r="F180" t="s">
        <v>63</v>
      </c>
      <c r="G180">
        <v>1</v>
      </c>
      <c r="H180">
        <v>1</v>
      </c>
      <c r="I180" t="s">
        <v>64</v>
      </c>
      <c r="J180" t="s">
        <v>65</v>
      </c>
      <c r="K180">
        <v>1.29E-2</v>
      </c>
      <c r="L180">
        <v>0.14899999999999999</v>
      </c>
      <c r="M180">
        <v>-33.4</v>
      </c>
      <c r="N180" t="s">
        <v>66</v>
      </c>
      <c r="O180" t="s">
        <v>67</v>
      </c>
      <c r="P180">
        <v>5.5100000000000003E-2</v>
      </c>
      <c r="Q180">
        <v>0.879</v>
      </c>
      <c r="R180">
        <v>-87.5</v>
      </c>
      <c r="T180" s="4">
        <v>1</v>
      </c>
      <c r="U180" s="4">
        <v>1</v>
      </c>
      <c r="V180" s="4"/>
      <c r="W180" s="13">
        <f t="shared" si="35"/>
        <v>-33.4</v>
      </c>
      <c r="X180" s="15">
        <f t="shared" si="36"/>
        <v>-33.4</v>
      </c>
      <c r="Y180" s="15">
        <f t="shared" si="37"/>
        <v>-33.4</v>
      </c>
      <c r="Z180" s="4"/>
      <c r="AA180" s="4"/>
      <c r="AB180" s="15"/>
      <c r="AC180" s="4"/>
      <c r="AF180" s="4">
        <v>1</v>
      </c>
      <c r="AG180" s="4"/>
      <c r="AH180" s="4">
        <f t="shared" si="31"/>
        <v>-87.5</v>
      </c>
      <c r="AI180" s="4">
        <f t="shared" si="34"/>
        <v>-87.5</v>
      </c>
      <c r="AJ180" s="4">
        <f t="shared" si="38"/>
        <v>-87.5</v>
      </c>
      <c r="AK180" s="15"/>
      <c r="AL180" s="4"/>
      <c r="AM180" s="13"/>
      <c r="AO180" s="13"/>
      <c r="AQ180" s="4"/>
      <c r="AR180" s="4">
        <v>174</v>
      </c>
      <c r="AS180" s="4"/>
    </row>
    <row r="181" spans="1:72">
      <c r="A181" s="1">
        <v>46101</v>
      </c>
      <c r="B181" s="16">
        <v>0.63706018518518515</v>
      </c>
      <c r="C181" t="s">
        <v>221</v>
      </c>
      <c r="D181" t="s">
        <v>161</v>
      </c>
      <c r="E181">
        <v>130</v>
      </c>
      <c r="F181" t="s">
        <v>63</v>
      </c>
      <c r="G181">
        <v>1</v>
      </c>
      <c r="H181">
        <v>1</v>
      </c>
      <c r="I181" t="s">
        <v>64</v>
      </c>
      <c r="J181" t="s">
        <v>65</v>
      </c>
      <c r="K181">
        <v>0.111</v>
      </c>
      <c r="L181">
        <v>2.2000000000000002</v>
      </c>
      <c r="M181">
        <v>28.4</v>
      </c>
      <c r="N181" t="s">
        <v>66</v>
      </c>
      <c r="O181" t="s">
        <v>67</v>
      </c>
      <c r="P181">
        <v>0.7</v>
      </c>
      <c r="Q181">
        <v>9.26</v>
      </c>
      <c r="R181">
        <v>469</v>
      </c>
      <c r="T181" s="4">
        <v>2</v>
      </c>
      <c r="U181" s="4">
        <v>1</v>
      </c>
      <c r="V181" s="4"/>
      <c r="W181" s="13">
        <f t="shared" si="35"/>
        <v>28.4</v>
      </c>
      <c r="X181" s="15">
        <f t="shared" si="36"/>
        <v>28.4</v>
      </c>
      <c r="Y181" s="15">
        <f t="shared" si="37"/>
        <v>56.8</v>
      </c>
      <c r="Z181" s="4"/>
      <c r="AA181" s="4"/>
      <c r="AB181" s="13"/>
      <c r="AF181" s="4">
        <v>1</v>
      </c>
      <c r="AG181" s="4"/>
      <c r="AH181" s="4">
        <f t="shared" si="31"/>
        <v>469</v>
      </c>
      <c r="AI181" s="4">
        <f t="shared" si="34"/>
        <v>469</v>
      </c>
      <c r="AJ181" s="4">
        <f t="shared" si="38"/>
        <v>938</v>
      </c>
      <c r="AK181" s="15"/>
      <c r="AL181" s="4"/>
      <c r="AM181" s="15"/>
      <c r="AN181" s="4"/>
      <c r="AO181" s="13"/>
      <c r="AQ181" s="4"/>
      <c r="AR181" s="4">
        <v>175</v>
      </c>
      <c r="AS181" s="4"/>
    </row>
    <row r="182" spans="1:72">
      <c r="A182" s="1">
        <v>46101</v>
      </c>
      <c r="B182" s="16">
        <v>0.63795138888888892</v>
      </c>
      <c r="C182" t="s">
        <v>221</v>
      </c>
      <c r="D182" t="s">
        <v>162</v>
      </c>
      <c r="E182">
        <v>131</v>
      </c>
      <c r="F182" t="s">
        <v>63</v>
      </c>
      <c r="G182">
        <v>1</v>
      </c>
      <c r="H182">
        <v>1</v>
      </c>
      <c r="I182" t="s">
        <v>64</v>
      </c>
      <c r="J182" t="s">
        <v>65</v>
      </c>
      <c r="K182">
        <v>0.107</v>
      </c>
      <c r="L182">
        <v>2.12</v>
      </c>
      <c r="M182">
        <v>26</v>
      </c>
      <c r="N182" t="s">
        <v>66</v>
      </c>
      <c r="O182" t="s">
        <v>67</v>
      </c>
      <c r="P182">
        <v>0.73799999999999999</v>
      </c>
      <c r="Q182">
        <v>9.76</v>
      </c>
      <c r="R182">
        <v>502</v>
      </c>
      <c r="T182" s="4">
        <v>2</v>
      </c>
      <c r="U182" s="4">
        <v>1</v>
      </c>
      <c r="V182" s="4"/>
      <c r="W182" s="13">
        <f t="shared" si="35"/>
        <v>26</v>
      </c>
      <c r="X182" s="15">
        <f t="shared" si="36"/>
        <v>26</v>
      </c>
      <c r="Y182" s="15">
        <f t="shared" si="37"/>
        <v>52</v>
      </c>
      <c r="Z182" s="4"/>
      <c r="AA182" s="4"/>
      <c r="AB182" s="15"/>
      <c r="AC182" s="4"/>
      <c r="AD182" s="4"/>
      <c r="AE182" s="4"/>
      <c r="AF182" s="4">
        <v>1</v>
      </c>
      <c r="AG182" s="4"/>
      <c r="AH182" s="4">
        <f t="shared" si="31"/>
        <v>502</v>
      </c>
      <c r="AI182" s="4">
        <f t="shared" si="34"/>
        <v>502</v>
      </c>
      <c r="AJ182" s="4">
        <f t="shared" si="38"/>
        <v>1004</v>
      </c>
      <c r="AK182" s="15"/>
      <c r="AL182" s="4"/>
      <c r="AM182" s="15"/>
      <c r="AN182" s="4"/>
      <c r="AO182" s="13"/>
      <c r="AQ182" s="4"/>
      <c r="AR182" s="4">
        <v>176</v>
      </c>
      <c r="AS182" s="4"/>
    </row>
    <row r="183" spans="1:72">
      <c r="A183" s="1">
        <v>46101</v>
      </c>
      <c r="B183" s="16">
        <v>0.63883101851851853</v>
      </c>
      <c r="C183" t="s">
        <v>221</v>
      </c>
      <c r="D183" t="s">
        <v>163</v>
      </c>
      <c r="E183">
        <v>132</v>
      </c>
      <c r="F183" t="s">
        <v>63</v>
      </c>
      <c r="G183">
        <v>1</v>
      </c>
      <c r="H183">
        <v>1</v>
      </c>
      <c r="I183" t="s">
        <v>64</v>
      </c>
      <c r="J183" t="s">
        <v>65</v>
      </c>
      <c r="K183">
        <v>8.5000000000000006E-2</v>
      </c>
      <c r="L183">
        <v>1.71</v>
      </c>
      <c r="M183">
        <v>13.7</v>
      </c>
      <c r="N183" t="s">
        <v>66</v>
      </c>
      <c r="O183" t="s">
        <v>67</v>
      </c>
      <c r="P183">
        <v>0.438</v>
      </c>
      <c r="Q183">
        <v>5.84</v>
      </c>
      <c r="R183">
        <v>246</v>
      </c>
      <c r="S183" s="4"/>
      <c r="T183" s="4">
        <v>2</v>
      </c>
      <c r="U183" s="4">
        <v>1</v>
      </c>
      <c r="V183" s="4"/>
      <c r="W183" s="13">
        <f t="shared" si="35"/>
        <v>13.7</v>
      </c>
      <c r="X183" s="15">
        <f t="shared" si="36"/>
        <v>13.7</v>
      </c>
      <c r="Y183" s="15">
        <f t="shared" si="37"/>
        <v>27.4</v>
      </c>
      <c r="Z183" s="4"/>
      <c r="AA183" s="4"/>
      <c r="AB183" s="13"/>
      <c r="AF183" s="4">
        <v>1</v>
      </c>
      <c r="AG183" s="4"/>
      <c r="AH183" s="4">
        <f t="shared" si="31"/>
        <v>246</v>
      </c>
      <c r="AI183" s="4">
        <f t="shared" si="34"/>
        <v>246</v>
      </c>
      <c r="AJ183" s="4">
        <f t="shared" si="38"/>
        <v>492</v>
      </c>
      <c r="AK183" s="15"/>
      <c r="AL183" s="4"/>
      <c r="AM183" s="13"/>
      <c r="AO183" s="15"/>
      <c r="AP183" s="4"/>
      <c r="AQ183" s="4"/>
      <c r="AR183" s="4">
        <v>177</v>
      </c>
      <c r="AS183" s="4"/>
    </row>
    <row r="184" spans="1:72">
      <c r="A184" s="1">
        <v>46101</v>
      </c>
      <c r="B184" s="16">
        <v>0.63972222222222219</v>
      </c>
      <c r="C184" t="s">
        <v>221</v>
      </c>
      <c r="D184" t="s">
        <v>164</v>
      </c>
      <c r="E184">
        <v>133</v>
      </c>
      <c r="F184" t="s">
        <v>63</v>
      </c>
      <c r="G184">
        <v>1</v>
      </c>
      <c r="H184">
        <v>1</v>
      </c>
      <c r="I184" t="s">
        <v>64</v>
      </c>
      <c r="J184" t="s">
        <v>65</v>
      </c>
      <c r="K184">
        <v>9.98E-2</v>
      </c>
      <c r="L184">
        <v>2.0299999999999998</v>
      </c>
      <c r="M184">
        <v>23.1</v>
      </c>
      <c r="N184" t="s">
        <v>66</v>
      </c>
      <c r="O184" t="s">
        <v>67</v>
      </c>
      <c r="P184">
        <v>0.51</v>
      </c>
      <c r="Q184">
        <v>6.9</v>
      </c>
      <c r="R184">
        <v>316</v>
      </c>
      <c r="S184" s="4"/>
      <c r="T184" s="4">
        <v>2</v>
      </c>
      <c r="U184" s="4">
        <v>1</v>
      </c>
      <c r="V184" s="4"/>
      <c r="W184" s="13">
        <f t="shared" si="35"/>
        <v>23.1</v>
      </c>
      <c r="X184" s="15">
        <f t="shared" si="36"/>
        <v>23.1</v>
      </c>
      <c r="Y184" s="15">
        <f t="shared" si="37"/>
        <v>46.2</v>
      </c>
      <c r="Z184" s="4"/>
      <c r="AA184" s="4"/>
      <c r="AB184" s="15"/>
      <c r="AC184" s="4"/>
      <c r="AF184" s="4">
        <v>1</v>
      </c>
      <c r="AG184" s="4"/>
      <c r="AH184" s="4">
        <f t="shared" si="31"/>
        <v>316</v>
      </c>
      <c r="AI184" s="4">
        <f t="shared" si="34"/>
        <v>316</v>
      </c>
      <c r="AJ184" s="4">
        <f t="shared" si="38"/>
        <v>632</v>
      </c>
      <c r="AK184" s="15"/>
      <c r="AL184" s="4"/>
      <c r="AM184" s="15"/>
      <c r="AN184" s="4"/>
      <c r="AO184" s="13"/>
      <c r="AQ184" s="4"/>
      <c r="AR184" s="4">
        <v>178</v>
      </c>
      <c r="AS184" s="4"/>
    </row>
    <row r="185" spans="1:72">
      <c r="A185" s="1">
        <v>46101</v>
      </c>
      <c r="B185" s="16">
        <v>0.64061342592592596</v>
      </c>
      <c r="C185" t="s">
        <v>221</v>
      </c>
      <c r="D185" t="s">
        <v>165</v>
      </c>
      <c r="E185">
        <v>134</v>
      </c>
      <c r="F185" t="s">
        <v>63</v>
      </c>
      <c r="G185">
        <v>1</v>
      </c>
      <c r="H185">
        <v>1</v>
      </c>
      <c r="I185" t="s">
        <v>64</v>
      </c>
      <c r="J185" t="s">
        <v>65</v>
      </c>
      <c r="K185">
        <v>0.13200000000000001</v>
      </c>
      <c r="L185">
        <v>2.61</v>
      </c>
      <c r="M185">
        <v>40.5</v>
      </c>
      <c r="N185" t="s">
        <v>66</v>
      </c>
      <c r="O185" t="s">
        <v>67</v>
      </c>
      <c r="P185">
        <v>0.69499999999999995</v>
      </c>
      <c r="Q185">
        <v>9.15</v>
      </c>
      <c r="R185">
        <v>462</v>
      </c>
      <c r="T185" s="4">
        <v>2</v>
      </c>
      <c r="U185" s="4">
        <v>1</v>
      </c>
      <c r="V185" s="4"/>
      <c r="W185" s="13">
        <f t="shared" si="35"/>
        <v>40.5</v>
      </c>
      <c r="X185" s="15">
        <f t="shared" si="36"/>
        <v>40.5</v>
      </c>
      <c r="Y185" s="15">
        <f t="shared" si="37"/>
        <v>81</v>
      </c>
      <c r="Z185" s="4"/>
      <c r="AA185" s="4"/>
      <c r="AB185" s="13"/>
      <c r="AF185" s="4">
        <v>1</v>
      </c>
      <c r="AG185" s="4"/>
      <c r="AH185" s="4">
        <f t="shared" si="31"/>
        <v>462</v>
      </c>
      <c r="AI185" s="4">
        <f t="shared" si="34"/>
        <v>462</v>
      </c>
      <c r="AJ185" s="4">
        <f t="shared" si="38"/>
        <v>924</v>
      </c>
      <c r="AK185" s="15"/>
      <c r="AL185" s="4"/>
      <c r="AM185" s="13"/>
      <c r="AO185" s="13"/>
      <c r="AQ185" s="4"/>
      <c r="AR185" s="4">
        <v>179</v>
      </c>
      <c r="AS185" s="4"/>
    </row>
    <row r="186" spans="1:72">
      <c r="A186" s="1">
        <v>46101</v>
      </c>
      <c r="B186" s="16">
        <v>0.64151620370370366</v>
      </c>
      <c r="C186" t="s">
        <v>221</v>
      </c>
      <c r="D186" t="s">
        <v>166</v>
      </c>
      <c r="E186">
        <v>135</v>
      </c>
      <c r="F186" t="s">
        <v>63</v>
      </c>
      <c r="G186">
        <v>1</v>
      </c>
      <c r="H186">
        <v>1</v>
      </c>
      <c r="I186" t="s">
        <v>64</v>
      </c>
      <c r="J186" t="s">
        <v>65</v>
      </c>
      <c r="K186">
        <v>0.156</v>
      </c>
      <c r="L186">
        <v>2.95</v>
      </c>
      <c r="M186">
        <v>50.6</v>
      </c>
      <c r="N186" t="s">
        <v>66</v>
      </c>
      <c r="O186" t="s">
        <v>67</v>
      </c>
      <c r="P186">
        <v>1.1299999999999999</v>
      </c>
      <c r="Q186">
        <v>14.8</v>
      </c>
      <c r="R186">
        <v>823</v>
      </c>
      <c r="T186" s="4">
        <v>2</v>
      </c>
      <c r="U186" s="4">
        <v>1</v>
      </c>
      <c r="V186" s="4"/>
      <c r="W186" s="13">
        <f t="shared" si="35"/>
        <v>50.6</v>
      </c>
      <c r="X186" s="15">
        <f t="shared" si="36"/>
        <v>50.6</v>
      </c>
      <c r="Y186" s="15">
        <f t="shared" si="37"/>
        <v>101.2</v>
      </c>
      <c r="Z186" s="4"/>
      <c r="AA186" s="4"/>
      <c r="AB186" s="13"/>
      <c r="AF186" s="4">
        <v>1</v>
      </c>
      <c r="AG186" s="4"/>
      <c r="AH186" s="4">
        <f t="shared" si="31"/>
        <v>823</v>
      </c>
      <c r="AI186" s="4">
        <f t="shared" si="34"/>
        <v>823</v>
      </c>
      <c r="AJ186" s="4">
        <f t="shared" si="38"/>
        <v>1646</v>
      </c>
      <c r="AK186" s="15"/>
      <c r="AL186" s="4"/>
      <c r="AM186" s="13"/>
      <c r="AO186" s="13"/>
      <c r="AQ186" s="4"/>
      <c r="AR186" s="4">
        <v>180</v>
      </c>
      <c r="AS186" s="4"/>
    </row>
    <row r="187" spans="1:72">
      <c r="A187" s="1">
        <v>46101</v>
      </c>
      <c r="B187" s="16">
        <v>0.64240740740740743</v>
      </c>
      <c r="C187" t="s">
        <v>221</v>
      </c>
      <c r="D187" t="s">
        <v>167</v>
      </c>
      <c r="E187">
        <v>136</v>
      </c>
      <c r="F187" t="s">
        <v>63</v>
      </c>
      <c r="G187">
        <v>1</v>
      </c>
      <c r="H187">
        <v>1</v>
      </c>
      <c r="I187" t="s">
        <v>64</v>
      </c>
      <c r="J187" t="s">
        <v>65</v>
      </c>
      <c r="K187">
        <v>8.2299999999999998E-2</v>
      </c>
      <c r="L187">
        <v>1.69</v>
      </c>
      <c r="M187">
        <v>13.2</v>
      </c>
      <c r="N187" t="s">
        <v>66</v>
      </c>
      <c r="O187" t="s">
        <v>67</v>
      </c>
      <c r="P187">
        <v>0.499</v>
      </c>
      <c r="Q187">
        <v>6.6</v>
      </c>
      <c r="R187">
        <v>296</v>
      </c>
      <c r="T187" s="4">
        <v>2</v>
      </c>
      <c r="U187" s="4">
        <v>1</v>
      </c>
      <c r="V187" s="4"/>
      <c r="W187" s="13">
        <f t="shared" si="35"/>
        <v>13.2</v>
      </c>
      <c r="X187" s="15">
        <f t="shared" si="36"/>
        <v>13.2</v>
      </c>
      <c r="Y187" s="15">
        <f t="shared" si="37"/>
        <v>26.4</v>
      </c>
      <c r="AB187" s="13"/>
      <c r="AF187" s="4">
        <v>1</v>
      </c>
      <c r="AG187" s="4"/>
      <c r="AH187" s="4">
        <f t="shared" si="31"/>
        <v>296</v>
      </c>
      <c r="AI187" s="4">
        <f t="shared" si="34"/>
        <v>296</v>
      </c>
      <c r="AJ187" s="4">
        <f t="shared" si="38"/>
        <v>592</v>
      </c>
      <c r="AM187" s="13"/>
      <c r="AO187" s="13"/>
      <c r="AQ187" s="4"/>
      <c r="AR187" s="4">
        <v>181</v>
      </c>
      <c r="AS187" s="4"/>
    </row>
    <row r="188" spans="1:72">
      <c r="A188" s="1">
        <v>46101</v>
      </c>
      <c r="B188" s="16">
        <v>0.64329861111111108</v>
      </c>
      <c r="C188" t="s">
        <v>221</v>
      </c>
      <c r="D188" t="s">
        <v>168</v>
      </c>
      <c r="E188">
        <v>137</v>
      </c>
      <c r="F188" t="s">
        <v>63</v>
      </c>
      <c r="G188">
        <v>1</v>
      </c>
      <c r="H188">
        <v>1</v>
      </c>
      <c r="I188" t="s">
        <v>64</v>
      </c>
      <c r="J188" t="s">
        <v>65</v>
      </c>
      <c r="K188">
        <v>9.2299999999999993E-2</v>
      </c>
      <c r="L188">
        <v>1.85</v>
      </c>
      <c r="M188">
        <v>17.899999999999999</v>
      </c>
      <c r="N188" t="s">
        <v>66</v>
      </c>
      <c r="O188" t="s">
        <v>67</v>
      </c>
      <c r="P188">
        <v>0.45200000000000001</v>
      </c>
      <c r="Q188">
        <v>6.02</v>
      </c>
      <c r="R188">
        <v>258</v>
      </c>
      <c r="T188" s="4">
        <v>2</v>
      </c>
      <c r="U188" s="4">
        <v>1</v>
      </c>
      <c r="V188" s="4"/>
      <c r="W188" s="13">
        <f t="shared" ref="W188:W219" si="39">M188*H188</f>
        <v>17.899999999999999</v>
      </c>
      <c r="X188" s="15">
        <f t="shared" ref="X188:X219" si="40">IF(T188=1,W188,(W188-0))</f>
        <v>17.899999999999999</v>
      </c>
      <c r="Y188" s="15">
        <f t="shared" ref="Y188:Y219" si="41">IF(T188=1,W188,(X188*T188))</f>
        <v>35.799999999999997</v>
      </c>
      <c r="Z188" s="4"/>
      <c r="AA188" s="4"/>
      <c r="AB188" s="13"/>
      <c r="AF188" s="4">
        <v>1</v>
      </c>
      <c r="AG188" s="4"/>
      <c r="AH188" s="4">
        <f t="shared" ref="AH188:AH227" si="42">R188*H188</f>
        <v>258</v>
      </c>
      <c r="AI188" s="4">
        <f t="shared" si="34"/>
        <v>258</v>
      </c>
      <c r="AJ188" s="4">
        <f t="shared" si="38"/>
        <v>516</v>
      </c>
      <c r="AK188" s="15"/>
      <c r="AL188" s="4"/>
      <c r="AM188" s="13"/>
      <c r="AO188" s="13"/>
      <c r="AQ188" s="4"/>
      <c r="AR188" s="4">
        <v>182</v>
      </c>
      <c r="AS188" s="4"/>
    </row>
    <row r="189" spans="1:72">
      <c r="A189" s="1">
        <v>46101</v>
      </c>
      <c r="B189" s="16">
        <v>0.64420138888888889</v>
      </c>
      <c r="C189" t="s">
        <v>221</v>
      </c>
      <c r="D189" t="s">
        <v>169</v>
      </c>
      <c r="E189">
        <v>138</v>
      </c>
      <c r="F189" t="s">
        <v>63</v>
      </c>
      <c r="G189">
        <v>1</v>
      </c>
      <c r="H189">
        <v>1</v>
      </c>
      <c r="I189" t="s">
        <v>64</v>
      </c>
      <c r="J189" t="s">
        <v>65</v>
      </c>
      <c r="K189">
        <v>9.8000000000000004E-2</v>
      </c>
      <c r="L189">
        <v>1.99</v>
      </c>
      <c r="M189">
        <v>21.9</v>
      </c>
      <c r="N189" t="s">
        <v>66</v>
      </c>
      <c r="O189" t="s">
        <v>67</v>
      </c>
      <c r="P189">
        <v>0.47</v>
      </c>
      <c r="Q189">
        <v>6.31</v>
      </c>
      <c r="R189">
        <v>277</v>
      </c>
      <c r="T189" s="4">
        <v>2</v>
      </c>
      <c r="U189" s="4">
        <v>1</v>
      </c>
      <c r="V189" s="4"/>
      <c r="W189" s="13">
        <f t="shared" si="39"/>
        <v>21.9</v>
      </c>
      <c r="X189" s="15">
        <f t="shared" si="40"/>
        <v>21.9</v>
      </c>
      <c r="Y189" s="15">
        <f t="shared" si="41"/>
        <v>43.8</v>
      </c>
      <c r="Z189" s="4"/>
      <c r="AA189" s="4"/>
      <c r="AB189" s="13"/>
      <c r="AF189" s="4">
        <v>1</v>
      </c>
      <c r="AG189" s="4"/>
      <c r="AH189" s="4">
        <f t="shared" si="42"/>
        <v>277</v>
      </c>
      <c r="AI189" s="4">
        <f t="shared" si="34"/>
        <v>277</v>
      </c>
      <c r="AJ189" s="4">
        <f t="shared" si="38"/>
        <v>554</v>
      </c>
      <c r="AK189" s="15"/>
      <c r="AL189" s="4"/>
      <c r="AM189" s="13"/>
      <c r="AO189" s="13"/>
      <c r="AQ189" s="4"/>
      <c r="AR189" s="4">
        <v>183</v>
      </c>
      <c r="AS189" s="4"/>
    </row>
    <row r="190" spans="1:72">
      <c r="A190" s="1">
        <v>46101</v>
      </c>
      <c r="B190" s="16">
        <v>0.64508101851851851</v>
      </c>
      <c r="C190" t="s">
        <v>221</v>
      </c>
      <c r="D190" t="s">
        <v>170</v>
      </c>
      <c r="E190">
        <v>139</v>
      </c>
      <c r="F190" t="s">
        <v>91</v>
      </c>
      <c r="G190">
        <v>1</v>
      </c>
      <c r="H190">
        <v>1</v>
      </c>
      <c r="I190" t="s">
        <v>64</v>
      </c>
      <c r="J190" t="s">
        <v>65</v>
      </c>
      <c r="K190">
        <v>0.152</v>
      </c>
      <c r="L190">
        <v>2.96</v>
      </c>
      <c r="M190">
        <v>51</v>
      </c>
      <c r="N190" t="s">
        <v>66</v>
      </c>
      <c r="O190" t="s">
        <v>67</v>
      </c>
      <c r="P190">
        <v>0.75600000000000001</v>
      </c>
      <c r="Q190">
        <v>10.1</v>
      </c>
      <c r="R190">
        <v>521</v>
      </c>
      <c r="T190" s="4">
        <v>2</v>
      </c>
      <c r="U190" s="4">
        <v>1</v>
      </c>
      <c r="V190" s="4"/>
      <c r="W190" s="13">
        <f t="shared" si="39"/>
        <v>51</v>
      </c>
      <c r="X190" s="15">
        <f t="shared" si="40"/>
        <v>51</v>
      </c>
      <c r="Y190" s="15">
        <f t="shared" si="41"/>
        <v>102</v>
      </c>
      <c r="Z190" s="4"/>
      <c r="AA190" s="4"/>
      <c r="AB190" s="13"/>
      <c r="AF190" s="4">
        <v>1</v>
      </c>
      <c r="AG190" s="4"/>
      <c r="AH190" s="4">
        <f t="shared" si="42"/>
        <v>521</v>
      </c>
      <c r="AI190" s="4">
        <f t="shared" si="34"/>
        <v>521</v>
      </c>
      <c r="AJ190" s="4">
        <f t="shared" si="38"/>
        <v>1042</v>
      </c>
      <c r="AK190" s="15"/>
      <c r="AL190" s="4"/>
      <c r="AM190" s="13"/>
      <c r="AO190" s="13"/>
      <c r="AQ190" s="4"/>
      <c r="AR190" s="4">
        <v>184</v>
      </c>
      <c r="AS190" s="4"/>
    </row>
    <row r="191" spans="1:72">
      <c r="A191" s="1">
        <v>46101</v>
      </c>
      <c r="B191" s="16">
        <v>0.64597222222222217</v>
      </c>
      <c r="C191" t="s">
        <v>221</v>
      </c>
      <c r="D191" t="s">
        <v>215</v>
      </c>
      <c r="E191">
        <v>141</v>
      </c>
      <c r="F191" t="s">
        <v>91</v>
      </c>
      <c r="G191">
        <v>1</v>
      </c>
      <c r="H191">
        <v>1</v>
      </c>
      <c r="I191" t="s">
        <v>64</v>
      </c>
      <c r="J191" t="s">
        <v>65</v>
      </c>
      <c r="K191">
        <v>0.23499999999999999</v>
      </c>
      <c r="L191">
        <v>3.96</v>
      </c>
      <c r="M191">
        <v>80.3</v>
      </c>
      <c r="N191" t="s">
        <v>66</v>
      </c>
      <c r="O191" t="s">
        <v>67</v>
      </c>
      <c r="P191">
        <v>1.08</v>
      </c>
      <c r="Q191">
        <v>14.1</v>
      </c>
      <c r="R191">
        <v>780</v>
      </c>
      <c r="S191" s="4"/>
      <c r="T191" s="4">
        <v>2</v>
      </c>
      <c r="U191" s="4">
        <v>1</v>
      </c>
      <c r="V191" s="4"/>
      <c r="W191" s="13">
        <f t="shared" si="39"/>
        <v>80.3</v>
      </c>
      <c r="X191" s="15">
        <f t="shared" si="40"/>
        <v>80.3</v>
      </c>
      <c r="Y191" s="15">
        <f t="shared" si="41"/>
        <v>160.6</v>
      </c>
      <c r="AB191" s="13"/>
      <c r="AD191">
        <f>100*((Y191*10250)-(Y190*10000))/(1000*250)</f>
        <v>250.46</v>
      </c>
      <c r="AE191" t="str">
        <f>IF(Y191&gt;30, (IF((AND(AD191&gt;=80,AD191&lt;=120)=TRUE),"PASS","FAIL")),(IF((AND(AD191&gt;=50,AD191&lt;=150)=TRUE),"PASS","FAIL")))</f>
        <v>FAIL</v>
      </c>
      <c r="AF191" s="4">
        <v>1</v>
      </c>
      <c r="AG191" s="4"/>
      <c r="AH191" s="4">
        <f t="shared" si="42"/>
        <v>780</v>
      </c>
      <c r="AI191" s="4">
        <f t="shared" si="34"/>
        <v>780</v>
      </c>
      <c r="AJ191" s="4">
        <f t="shared" si="38"/>
        <v>1560</v>
      </c>
      <c r="AK191" s="15"/>
      <c r="AL191" s="4"/>
      <c r="AM191" s="13"/>
      <c r="AO191" s="13">
        <f>100*((AJ191*10250)-(AJ190*10000))/(1000*2500)</f>
        <v>222.8</v>
      </c>
      <c r="AP191" t="str">
        <f>IF(AJ191&gt;30, (IF((AND(AO191&gt;=80,AO191&lt;=120)=TRUE),"PASS","FAIL")),(IF((AND(AO191&gt;=50,AO191&lt;=150)=TRUE),"PASS","FAIL")))</f>
        <v>FAIL</v>
      </c>
      <c r="AQ191" s="4"/>
      <c r="AR191" s="4">
        <v>185</v>
      </c>
      <c r="AS191" s="4"/>
    </row>
    <row r="192" spans="1:72">
      <c r="A192" s="1">
        <v>46101</v>
      </c>
      <c r="B192" s="16">
        <v>0.64686342592592594</v>
      </c>
      <c r="C192" t="s">
        <v>221</v>
      </c>
      <c r="D192" t="s">
        <v>205</v>
      </c>
      <c r="E192" t="s">
        <v>70</v>
      </c>
      <c r="F192" t="s">
        <v>63</v>
      </c>
      <c r="G192">
        <v>1</v>
      </c>
      <c r="H192">
        <v>1</v>
      </c>
      <c r="I192" t="s">
        <v>64</v>
      </c>
      <c r="J192" t="s">
        <v>65</v>
      </c>
      <c r="K192">
        <v>0.152</v>
      </c>
      <c r="L192">
        <v>2.06</v>
      </c>
      <c r="M192">
        <v>24.2</v>
      </c>
      <c r="N192" t="s">
        <v>66</v>
      </c>
      <c r="O192" t="s">
        <v>67</v>
      </c>
      <c r="P192">
        <v>6.9300000000000004E-3</v>
      </c>
      <c r="Q192">
        <v>0.153</v>
      </c>
      <c r="R192">
        <v>-137</v>
      </c>
      <c r="S192" s="4"/>
      <c r="T192" s="4">
        <v>1</v>
      </c>
      <c r="U192" s="4">
        <v>1</v>
      </c>
      <c r="V192" s="4"/>
      <c r="W192" s="13">
        <f t="shared" si="39"/>
        <v>24.2</v>
      </c>
      <c r="X192" s="15">
        <f t="shared" si="40"/>
        <v>24.2</v>
      </c>
      <c r="Y192" s="15">
        <f t="shared" si="41"/>
        <v>24.2</v>
      </c>
      <c r="Z192" s="4"/>
      <c r="AA192" s="4"/>
      <c r="AB192" s="13"/>
      <c r="AF192" s="4">
        <v>1</v>
      </c>
      <c r="AG192" s="4"/>
      <c r="AH192" s="4">
        <f t="shared" si="42"/>
        <v>-137</v>
      </c>
      <c r="AI192" s="4">
        <f t="shared" si="34"/>
        <v>-137</v>
      </c>
      <c r="AJ192" s="4">
        <f t="shared" si="38"/>
        <v>-137</v>
      </c>
      <c r="AK192" s="15"/>
      <c r="AL192" s="4"/>
      <c r="AM192" s="13"/>
      <c r="AO192" s="13"/>
      <c r="AQ192" s="4"/>
      <c r="AR192" s="4">
        <v>186</v>
      </c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</row>
    <row r="193" spans="1:72">
      <c r="A193" s="1">
        <v>46101</v>
      </c>
      <c r="B193" s="16">
        <v>0.6477546296296296</v>
      </c>
      <c r="C193" t="s">
        <v>221</v>
      </c>
      <c r="D193" t="s">
        <v>101</v>
      </c>
      <c r="E193">
        <v>18</v>
      </c>
      <c r="F193" t="s">
        <v>92</v>
      </c>
      <c r="G193">
        <v>1</v>
      </c>
      <c r="H193">
        <v>1</v>
      </c>
      <c r="I193" t="s">
        <v>64</v>
      </c>
      <c r="J193" t="s">
        <v>65</v>
      </c>
      <c r="K193">
        <v>0.1</v>
      </c>
      <c r="L193">
        <v>2.0099999999999998</v>
      </c>
      <c r="M193">
        <v>22.5</v>
      </c>
      <c r="N193" t="s">
        <v>66</v>
      </c>
      <c r="O193" t="s">
        <v>67</v>
      </c>
      <c r="P193">
        <v>0.46100000000000002</v>
      </c>
      <c r="Q193">
        <v>6.22</v>
      </c>
      <c r="R193">
        <v>271</v>
      </c>
      <c r="S193" s="4"/>
      <c r="T193" s="4">
        <v>1</v>
      </c>
      <c r="U193" s="4">
        <v>1</v>
      </c>
      <c r="V193" s="4"/>
      <c r="W193" s="13">
        <f t="shared" si="39"/>
        <v>22.5</v>
      </c>
      <c r="X193" s="15">
        <f t="shared" si="40"/>
        <v>22.5</v>
      </c>
      <c r="Y193" s="15">
        <f t="shared" si="41"/>
        <v>22.5</v>
      </c>
      <c r="Z193" s="4">
        <f>100*(Y193-25)/25</f>
        <v>-10</v>
      </c>
      <c r="AA193" s="4" t="str">
        <f>IF((ABS(Z193))&lt;=20,"PASS","FAIL")</f>
        <v>PASS</v>
      </c>
      <c r="AB193" s="13"/>
      <c r="AD193" s="4"/>
      <c r="AE193" s="4"/>
      <c r="AF193" s="4">
        <v>1</v>
      </c>
      <c r="AG193" s="4"/>
      <c r="AH193" s="4">
        <f t="shared" si="42"/>
        <v>271</v>
      </c>
      <c r="AI193" s="4">
        <f t="shared" si="34"/>
        <v>271</v>
      </c>
      <c r="AJ193" s="4">
        <f t="shared" si="38"/>
        <v>271</v>
      </c>
      <c r="AK193" s="15">
        <f>100*(AJ193-250)/250</f>
        <v>8.4</v>
      </c>
      <c r="AL193" s="4" t="str">
        <f>IF((ABS(AK193))&lt;=20,"PASS","FAIL")</f>
        <v>PASS</v>
      </c>
      <c r="AM193" s="15"/>
      <c r="AN193" s="4"/>
      <c r="AO193" s="15"/>
      <c r="AP193" s="4"/>
      <c r="AQ193" s="4"/>
      <c r="AR193" s="4">
        <v>187</v>
      </c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</row>
    <row r="194" spans="1:72">
      <c r="A194" s="1">
        <v>46101</v>
      </c>
      <c r="B194" s="16">
        <v>0.64864583333333337</v>
      </c>
      <c r="C194" t="s">
        <v>221</v>
      </c>
      <c r="D194" t="s">
        <v>171</v>
      </c>
      <c r="E194">
        <v>142</v>
      </c>
      <c r="F194" t="s">
        <v>63</v>
      </c>
      <c r="G194">
        <v>1</v>
      </c>
      <c r="H194">
        <v>1</v>
      </c>
      <c r="I194" t="s">
        <v>64</v>
      </c>
      <c r="J194" t="s">
        <v>65</v>
      </c>
      <c r="K194">
        <v>0.106</v>
      </c>
      <c r="L194">
        <v>2.17</v>
      </c>
      <c r="M194">
        <v>27.3</v>
      </c>
      <c r="N194" t="s">
        <v>66</v>
      </c>
      <c r="O194" t="s">
        <v>67</v>
      </c>
      <c r="P194">
        <v>0.42799999999999999</v>
      </c>
      <c r="Q194">
        <v>5.72</v>
      </c>
      <c r="R194">
        <v>238</v>
      </c>
      <c r="S194" s="4"/>
      <c r="T194" s="4">
        <v>2</v>
      </c>
      <c r="U194" s="4">
        <v>1</v>
      </c>
      <c r="V194" s="4"/>
      <c r="W194" s="13">
        <f t="shared" si="39"/>
        <v>27.3</v>
      </c>
      <c r="X194" s="15">
        <f t="shared" si="40"/>
        <v>27.3</v>
      </c>
      <c r="Y194" s="15">
        <f t="shared" si="41"/>
        <v>54.6</v>
      </c>
      <c r="Z194" s="4"/>
      <c r="AA194" s="4"/>
      <c r="AB194" s="15"/>
      <c r="AC194" s="4"/>
      <c r="AF194" s="4">
        <v>1</v>
      </c>
      <c r="AG194" s="4"/>
      <c r="AH194" s="4">
        <f t="shared" si="42"/>
        <v>238</v>
      </c>
      <c r="AI194" s="4">
        <f t="shared" si="34"/>
        <v>238</v>
      </c>
      <c r="AJ194" s="4">
        <f t="shared" si="38"/>
        <v>476</v>
      </c>
      <c r="AK194" s="15"/>
      <c r="AL194" s="4"/>
      <c r="AM194" s="13"/>
      <c r="AO194" s="13"/>
      <c r="AQ194" s="4"/>
      <c r="AR194" s="4">
        <v>188</v>
      </c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</row>
    <row r="195" spans="1:72">
      <c r="A195" s="1">
        <v>46101</v>
      </c>
      <c r="B195" s="16">
        <v>0.64953703703703702</v>
      </c>
      <c r="C195" t="s">
        <v>221</v>
      </c>
      <c r="D195" t="s">
        <v>172</v>
      </c>
      <c r="E195">
        <v>143</v>
      </c>
      <c r="F195" t="s">
        <v>63</v>
      </c>
      <c r="G195">
        <v>1</v>
      </c>
      <c r="H195">
        <v>1</v>
      </c>
      <c r="I195" t="s">
        <v>64</v>
      </c>
      <c r="J195" t="s">
        <v>65</v>
      </c>
      <c r="K195">
        <v>0.128</v>
      </c>
      <c r="L195">
        <v>2.56</v>
      </c>
      <c r="M195">
        <v>38.9</v>
      </c>
      <c r="N195" t="s">
        <v>66</v>
      </c>
      <c r="O195" t="s">
        <v>67</v>
      </c>
      <c r="P195">
        <v>0.58699999999999997</v>
      </c>
      <c r="Q195">
        <v>7.81</v>
      </c>
      <c r="R195">
        <v>375</v>
      </c>
      <c r="S195" s="4"/>
      <c r="T195" s="4">
        <v>2</v>
      </c>
      <c r="U195" s="4">
        <v>1</v>
      </c>
      <c r="V195" s="4"/>
      <c r="W195" s="13">
        <f t="shared" si="39"/>
        <v>38.9</v>
      </c>
      <c r="X195" s="15">
        <f t="shared" si="40"/>
        <v>38.9</v>
      </c>
      <c r="Y195" s="15">
        <f t="shared" si="41"/>
        <v>77.8</v>
      </c>
      <c r="Z195" s="4"/>
      <c r="AA195" s="4"/>
      <c r="AB195" s="13"/>
      <c r="AD195" s="4"/>
      <c r="AE195" s="4"/>
      <c r="AF195" s="4">
        <v>1</v>
      </c>
      <c r="AG195" s="4"/>
      <c r="AH195" s="4">
        <f t="shared" si="42"/>
        <v>375</v>
      </c>
      <c r="AI195" s="4">
        <f t="shared" si="34"/>
        <v>375</v>
      </c>
      <c r="AJ195" s="4">
        <f t="shared" si="38"/>
        <v>750</v>
      </c>
      <c r="AK195" s="15"/>
      <c r="AL195" s="4"/>
      <c r="AM195" s="15"/>
      <c r="AN195" s="4"/>
      <c r="AO195" s="15"/>
      <c r="AP195" s="4"/>
      <c r="AQ195" s="4"/>
      <c r="AR195" s="4">
        <v>189</v>
      </c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</row>
    <row r="196" spans="1:72">
      <c r="A196" s="1">
        <v>46101</v>
      </c>
      <c r="B196" s="16">
        <v>0.65042824074074079</v>
      </c>
      <c r="C196" t="s">
        <v>221</v>
      </c>
      <c r="D196" t="s">
        <v>173</v>
      </c>
      <c r="E196">
        <v>144</v>
      </c>
      <c r="F196" t="s">
        <v>63</v>
      </c>
      <c r="G196">
        <v>1</v>
      </c>
      <c r="H196">
        <v>1</v>
      </c>
      <c r="I196" t="s">
        <v>64</v>
      </c>
      <c r="J196" t="s">
        <v>65</v>
      </c>
      <c r="K196">
        <v>0.10100000000000001</v>
      </c>
      <c r="L196">
        <v>2.02</v>
      </c>
      <c r="M196">
        <v>22.9</v>
      </c>
      <c r="N196" t="s">
        <v>66</v>
      </c>
      <c r="O196" t="s">
        <v>67</v>
      </c>
      <c r="P196">
        <v>0.56699999999999995</v>
      </c>
      <c r="Q196">
        <v>7.51</v>
      </c>
      <c r="R196">
        <v>356</v>
      </c>
      <c r="T196" s="4">
        <v>2</v>
      </c>
      <c r="U196" s="4">
        <v>1</v>
      </c>
      <c r="V196" s="4"/>
      <c r="W196" s="13">
        <f t="shared" si="39"/>
        <v>22.9</v>
      </c>
      <c r="X196" s="15">
        <f t="shared" si="40"/>
        <v>22.9</v>
      </c>
      <c r="Y196" s="15">
        <f t="shared" si="41"/>
        <v>45.8</v>
      </c>
      <c r="Z196" s="4"/>
      <c r="AA196" s="4"/>
      <c r="AB196" s="15"/>
      <c r="AC196" s="4"/>
      <c r="AF196" s="4">
        <v>1</v>
      </c>
      <c r="AG196" s="4"/>
      <c r="AH196" s="4">
        <f t="shared" si="42"/>
        <v>356</v>
      </c>
      <c r="AI196" s="4">
        <f t="shared" si="34"/>
        <v>356</v>
      </c>
      <c r="AJ196" s="4">
        <f t="shared" si="38"/>
        <v>712</v>
      </c>
      <c r="AK196" s="15"/>
      <c r="AL196" s="4"/>
      <c r="AM196" s="13"/>
      <c r="AO196" s="13"/>
      <c r="AQ196" s="4"/>
      <c r="AR196" s="4">
        <v>190</v>
      </c>
      <c r="AS196" s="4"/>
    </row>
    <row r="197" spans="1:72">
      <c r="A197" s="1">
        <v>46101</v>
      </c>
      <c r="B197" s="16">
        <v>0.65133101851851849</v>
      </c>
      <c r="C197" t="s">
        <v>221</v>
      </c>
      <c r="D197" t="s">
        <v>174</v>
      </c>
      <c r="E197">
        <v>145</v>
      </c>
      <c r="F197" t="s">
        <v>63</v>
      </c>
      <c r="G197">
        <v>1</v>
      </c>
      <c r="H197">
        <v>1</v>
      </c>
      <c r="I197" t="s">
        <v>64</v>
      </c>
      <c r="J197" t="s">
        <v>65</v>
      </c>
      <c r="K197">
        <v>0.21099999999999999</v>
      </c>
      <c r="L197">
        <v>3.84</v>
      </c>
      <c r="M197">
        <v>76.8</v>
      </c>
      <c r="N197" t="s">
        <v>66</v>
      </c>
      <c r="O197" t="s">
        <v>67</v>
      </c>
      <c r="P197">
        <v>0.92900000000000005</v>
      </c>
      <c r="Q197">
        <v>12.2</v>
      </c>
      <c r="R197">
        <v>657</v>
      </c>
      <c r="T197" s="4">
        <v>2</v>
      </c>
      <c r="U197" s="4">
        <v>1</v>
      </c>
      <c r="V197" s="4"/>
      <c r="W197" s="13">
        <f t="shared" si="39"/>
        <v>76.8</v>
      </c>
      <c r="X197" s="15">
        <f t="shared" si="40"/>
        <v>76.8</v>
      </c>
      <c r="Y197" s="15">
        <f t="shared" si="41"/>
        <v>153.6</v>
      </c>
      <c r="Z197" s="4"/>
      <c r="AA197" s="4"/>
      <c r="AB197" s="13"/>
      <c r="AF197" s="4">
        <v>1</v>
      </c>
      <c r="AG197" s="4"/>
      <c r="AH197" s="4">
        <f t="shared" si="42"/>
        <v>657</v>
      </c>
      <c r="AI197" s="4">
        <f t="shared" si="34"/>
        <v>657</v>
      </c>
      <c r="AJ197" s="4">
        <f t="shared" si="38"/>
        <v>1314</v>
      </c>
      <c r="AK197" s="15"/>
      <c r="AL197" s="4"/>
      <c r="AM197" s="15"/>
      <c r="AN197" s="4"/>
      <c r="AO197" s="13"/>
      <c r="AQ197" s="4"/>
      <c r="AR197" s="4">
        <v>191</v>
      </c>
      <c r="AS197" s="4"/>
    </row>
    <row r="198" spans="1:72">
      <c r="A198" s="1">
        <v>46101</v>
      </c>
      <c r="B198" s="16">
        <v>0.65222222222222226</v>
      </c>
      <c r="C198" t="s">
        <v>221</v>
      </c>
      <c r="D198" t="s">
        <v>175</v>
      </c>
      <c r="E198">
        <v>146</v>
      </c>
      <c r="F198" t="s">
        <v>85</v>
      </c>
      <c r="G198">
        <v>1</v>
      </c>
      <c r="H198">
        <v>1</v>
      </c>
      <c r="I198" t="s">
        <v>64</v>
      </c>
      <c r="J198" t="s">
        <v>65</v>
      </c>
      <c r="K198">
        <v>0.121</v>
      </c>
      <c r="L198">
        <v>2.42</v>
      </c>
      <c r="M198">
        <v>34.700000000000003</v>
      </c>
      <c r="N198" t="s">
        <v>66</v>
      </c>
      <c r="O198" t="s">
        <v>67</v>
      </c>
      <c r="P198">
        <v>0.65</v>
      </c>
      <c r="Q198">
        <v>8.69</v>
      </c>
      <c r="R198">
        <v>432</v>
      </c>
      <c r="T198" s="4">
        <v>2</v>
      </c>
      <c r="U198" s="4">
        <v>1</v>
      </c>
      <c r="V198" s="4"/>
      <c r="W198" s="13">
        <f t="shared" si="39"/>
        <v>34.700000000000003</v>
      </c>
      <c r="X198" s="15">
        <f t="shared" si="40"/>
        <v>34.700000000000003</v>
      </c>
      <c r="Y198" s="15">
        <f t="shared" si="41"/>
        <v>69.400000000000006</v>
      </c>
      <c r="Z198" s="4"/>
      <c r="AA198" s="4"/>
      <c r="AB198" s="13"/>
      <c r="AF198" s="4">
        <v>1</v>
      </c>
      <c r="AG198" s="4"/>
      <c r="AH198" s="4">
        <f t="shared" si="42"/>
        <v>432</v>
      </c>
      <c r="AI198" s="4">
        <f t="shared" si="34"/>
        <v>432</v>
      </c>
      <c r="AJ198" s="4">
        <f t="shared" si="38"/>
        <v>864</v>
      </c>
      <c r="AK198" s="15"/>
      <c r="AL198" s="4"/>
      <c r="AM198" s="13"/>
      <c r="AO198" s="13"/>
      <c r="AQ198" s="4"/>
      <c r="AR198" s="4">
        <v>192</v>
      </c>
      <c r="AS198" s="4"/>
    </row>
    <row r="199" spans="1:72">
      <c r="A199" s="1">
        <v>46101</v>
      </c>
      <c r="B199" s="16">
        <v>0.65310185185185188</v>
      </c>
      <c r="C199" t="s">
        <v>221</v>
      </c>
      <c r="D199" t="s">
        <v>216</v>
      </c>
      <c r="E199">
        <v>152</v>
      </c>
      <c r="F199" t="s">
        <v>85</v>
      </c>
      <c r="G199">
        <v>1</v>
      </c>
      <c r="H199">
        <v>1</v>
      </c>
      <c r="I199" t="s">
        <v>64</v>
      </c>
      <c r="J199" t="s">
        <v>65</v>
      </c>
      <c r="K199">
        <v>0.11600000000000001</v>
      </c>
      <c r="L199">
        <v>2.31</v>
      </c>
      <c r="M199">
        <v>31.6</v>
      </c>
      <c r="N199" t="s">
        <v>66</v>
      </c>
      <c r="O199" t="s">
        <v>67</v>
      </c>
      <c r="P199">
        <v>0.64400000000000002</v>
      </c>
      <c r="Q199">
        <v>8.5299999999999994</v>
      </c>
      <c r="R199">
        <v>422</v>
      </c>
      <c r="T199" s="4">
        <v>2</v>
      </c>
      <c r="U199" s="4">
        <v>1</v>
      </c>
      <c r="V199" s="4"/>
      <c r="W199" s="13">
        <f t="shared" si="39"/>
        <v>31.6</v>
      </c>
      <c r="X199" s="15">
        <f t="shared" si="40"/>
        <v>31.6</v>
      </c>
      <c r="Y199" s="15">
        <f t="shared" si="41"/>
        <v>63.2</v>
      </c>
      <c r="Z199" s="4"/>
      <c r="AA199" s="4"/>
      <c r="AB199" s="13">
        <f>ABS(100*ABS(Y199-Y198)/AVERAGE(Y199,Y198))</f>
        <v>9.3514328808446479</v>
      </c>
      <c r="AC199" t="str">
        <f>IF(Y199&gt;10, (IF((AND(AB199&gt;=0,AB199&lt;=20)=TRUE),"PASS","FAIL")),(IF((AND(AB199&gt;=0,AB199&lt;=50)=TRUE),"PASS","FAIL")))</f>
        <v>PASS</v>
      </c>
      <c r="AD199" s="4"/>
      <c r="AE199" s="4"/>
      <c r="AF199" s="4">
        <v>1</v>
      </c>
      <c r="AG199" s="4"/>
      <c r="AH199" s="4">
        <f t="shared" si="42"/>
        <v>422</v>
      </c>
      <c r="AI199" s="4">
        <f t="shared" si="34"/>
        <v>422</v>
      </c>
      <c r="AJ199" s="4">
        <f t="shared" si="38"/>
        <v>844</v>
      </c>
      <c r="AK199" s="15"/>
      <c r="AL199" s="4"/>
      <c r="AM199" s="13">
        <f>ABS(100*ABS(AJ199-AJ198)/AVERAGE(AJ199,AJ198))</f>
        <v>2.3419203747072599</v>
      </c>
      <c r="AN199" t="str">
        <f>IF(AJ199&gt;10, (IF((AND(AM199&gt;=0,AM199&lt;=20)=TRUE),"PASS","FAIL")),(IF((AND(AM199&gt;=0,AM199&lt;=50)=TRUE),"PASS","FAIL")))</f>
        <v>PASS</v>
      </c>
      <c r="AO199" s="13"/>
      <c r="AQ199" s="4"/>
      <c r="AR199" s="4">
        <v>193</v>
      </c>
      <c r="AS199" s="4"/>
    </row>
    <row r="200" spans="1:72">
      <c r="A200" s="1">
        <v>46101</v>
      </c>
      <c r="B200" s="16">
        <v>0.65400462962962957</v>
      </c>
      <c r="C200" t="s">
        <v>221</v>
      </c>
      <c r="D200" t="s">
        <v>176</v>
      </c>
      <c r="E200">
        <v>147</v>
      </c>
      <c r="F200" t="s">
        <v>63</v>
      </c>
      <c r="G200">
        <v>1</v>
      </c>
      <c r="H200">
        <v>1</v>
      </c>
      <c r="I200" t="s">
        <v>64</v>
      </c>
      <c r="J200" t="s">
        <v>65</v>
      </c>
      <c r="K200">
        <v>0.16400000000000001</v>
      </c>
      <c r="L200">
        <v>3.14</v>
      </c>
      <c r="M200">
        <v>56.1</v>
      </c>
      <c r="N200" t="s">
        <v>66</v>
      </c>
      <c r="O200" t="s">
        <v>67</v>
      </c>
      <c r="P200">
        <v>0.81100000000000005</v>
      </c>
      <c r="Q200">
        <v>10.5</v>
      </c>
      <c r="R200">
        <v>548</v>
      </c>
      <c r="T200" s="4">
        <v>2</v>
      </c>
      <c r="U200" s="4">
        <v>1</v>
      </c>
      <c r="V200" s="4"/>
      <c r="W200" s="13">
        <f t="shared" si="39"/>
        <v>56.1</v>
      </c>
      <c r="X200" s="15">
        <f t="shared" si="40"/>
        <v>56.1</v>
      </c>
      <c r="Y200" s="15">
        <f t="shared" si="41"/>
        <v>112.2</v>
      </c>
      <c r="Z200" s="4"/>
      <c r="AA200" s="4"/>
      <c r="AB200" s="13"/>
      <c r="AF200" s="4">
        <v>1</v>
      </c>
      <c r="AG200" s="4"/>
      <c r="AH200" s="4">
        <f t="shared" si="42"/>
        <v>548</v>
      </c>
      <c r="AI200" s="4">
        <f t="shared" si="34"/>
        <v>548</v>
      </c>
      <c r="AJ200" s="4">
        <f t="shared" si="38"/>
        <v>1096</v>
      </c>
      <c r="AK200" s="15"/>
      <c r="AL200" s="4"/>
      <c r="AM200" s="13"/>
      <c r="AO200" s="13"/>
      <c r="AQ200" s="4"/>
      <c r="AR200" s="4">
        <v>194</v>
      </c>
      <c r="AS200" s="4"/>
    </row>
    <row r="201" spans="1:72">
      <c r="A201" s="1">
        <v>46101</v>
      </c>
      <c r="B201" s="16">
        <v>0.65489583333333334</v>
      </c>
      <c r="C201" t="s">
        <v>221</v>
      </c>
      <c r="D201" t="s">
        <v>177</v>
      </c>
      <c r="E201">
        <v>148</v>
      </c>
      <c r="F201" t="s">
        <v>63</v>
      </c>
      <c r="G201">
        <v>1</v>
      </c>
      <c r="H201">
        <v>1</v>
      </c>
      <c r="I201" t="s">
        <v>64</v>
      </c>
      <c r="J201" t="s">
        <v>65</v>
      </c>
      <c r="K201">
        <v>0.25800000000000001</v>
      </c>
      <c r="L201">
        <v>4.88</v>
      </c>
      <c r="M201">
        <v>107</v>
      </c>
      <c r="N201" t="s">
        <v>66</v>
      </c>
      <c r="O201" t="s">
        <v>67</v>
      </c>
      <c r="P201">
        <v>0.82799999999999996</v>
      </c>
      <c r="Q201">
        <v>10.9</v>
      </c>
      <c r="R201">
        <v>576</v>
      </c>
      <c r="S201" s="4"/>
      <c r="T201" s="4">
        <v>2</v>
      </c>
      <c r="U201" s="4">
        <v>1</v>
      </c>
      <c r="V201" s="4"/>
      <c r="W201" s="13">
        <f t="shared" si="39"/>
        <v>107</v>
      </c>
      <c r="X201" s="15">
        <f t="shared" si="40"/>
        <v>107</v>
      </c>
      <c r="Y201" s="15">
        <f t="shared" si="41"/>
        <v>214</v>
      </c>
      <c r="Z201" s="4"/>
      <c r="AA201" s="4"/>
      <c r="AB201" s="13"/>
      <c r="AF201" s="4">
        <v>1</v>
      </c>
      <c r="AG201" s="4"/>
      <c r="AH201" s="4">
        <f t="shared" si="42"/>
        <v>576</v>
      </c>
      <c r="AI201" s="4">
        <f t="shared" si="34"/>
        <v>576</v>
      </c>
      <c r="AJ201" s="4">
        <f t="shared" si="38"/>
        <v>1152</v>
      </c>
      <c r="AK201" s="15"/>
      <c r="AL201" s="4"/>
      <c r="AM201" s="13"/>
      <c r="AO201" s="13"/>
      <c r="AQ201" s="4"/>
      <c r="AR201" s="4">
        <v>195</v>
      </c>
      <c r="AS201" s="4"/>
    </row>
    <row r="202" spans="1:72">
      <c r="A202" s="1">
        <v>46101</v>
      </c>
      <c r="B202" s="16">
        <v>0.65577546296296296</v>
      </c>
      <c r="C202" t="s">
        <v>221</v>
      </c>
      <c r="D202" t="s">
        <v>178</v>
      </c>
      <c r="E202">
        <v>149</v>
      </c>
      <c r="F202" t="s">
        <v>63</v>
      </c>
      <c r="G202">
        <v>1</v>
      </c>
      <c r="H202">
        <v>1</v>
      </c>
      <c r="I202" t="s">
        <v>64</v>
      </c>
      <c r="J202" t="s">
        <v>65</v>
      </c>
      <c r="K202">
        <v>0.45900000000000002</v>
      </c>
      <c r="L202">
        <v>8.4600000000000009</v>
      </c>
      <c r="M202">
        <v>208</v>
      </c>
      <c r="N202" t="s">
        <v>66</v>
      </c>
      <c r="O202" t="s">
        <v>67</v>
      </c>
      <c r="P202">
        <v>1.46</v>
      </c>
      <c r="Q202">
        <v>19.2</v>
      </c>
      <c r="R202">
        <v>1090</v>
      </c>
      <c r="T202" s="4">
        <v>2</v>
      </c>
      <c r="U202" s="4">
        <v>3</v>
      </c>
      <c r="V202" s="4" t="s">
        <v>193</v>
      </c>
      <c r="W202" s="13">
        <f t="shared" si="39"/>
        <v>208</v>
      </c>
      <c r="X202" s="15">
        <f t="shared" si="40"/>
        <v>208</v>
      </c>
      <c r="Y202" s="15">
        <f t="shared" si="41"/>
        <v>416</v>
      </c>
      <c r="Z202" s="4"/>
      <c r="AA202" s="4"/>
      <c r="AB202" s="15"/>
      <c r="AC202" s="4"/>
      <c r="AF202" s="4">
        <v>1</v>
      </c>
      <c r="AG202" s="4"/>
      <c r="AH202" s="4">
        <f t="shared" si="42"/>
        <v>1090</v>
      </c>
      <c r="AI202" s="4">
        <f t="shared" si="34"/>
        <v>1090</v>
      </c>
      <c r="AJ202" s="4">
        <f t="shared" si="38"/>
        <v>2180</v>
      </c>
      <c r="AK202" s="15"/>
      <c r="AL202" s="4"/>
      <c r="AM202" s="15"/>
      <c r="AN202" s="4"/>
      <c r="AO202" s="15"/>
      <c r="AP202" s="4"/>
      <c r="AQ202" s="4"/>
      <c r="AR202" s="4">
        <v>196</v>
      </c>
      <c r="AS202" s="4"/>
    </row>
    <row r="203" spans="1:72">
      <c r="A203" s="1">
        <v>46101</v>
      </c>
      <c r="B203" s="16">
        <v>0.65667824074074077</v>
      </c>
      <c r="C203" t="s">
        <v>221</v>
      </c>
      <c r="D203" t="s">
        <v>179</v>
      </c>
      <c r="E203">
        <v>150</v>
      </c>
      <c r="F203" t="s">
        <v>63</v>
      </c>
      <c r="G203">
        <v>1</v>
      </c>
      <c r="H203">
        <v>1</v>
      </c>
      <c r="I203" t="s">
        <v>64</v>
      </c>
      <c r="J203" t="s">
        <v>65</v>
      </c>
      <c r="K203">
        <v>0.13400000000000001</v>
      </c>
      <c r="L203">
        <v>2.61</v>
      </c>
      <c r="M203">
        <v>40.6</v>
      </c>
      <c r="N203" t="s">
        <v>66</v>
      </c>
      <c r="O203" t="s">
        <v>67</v>
      </c>
      <c r="P203">
        <v>0.92</v>
      </c>
      <c r="Q203">
        <v>12.1</v>
      </c>
      <c r="R203">
        <v>649</v>
      </c>
      <c r="T203" s="4">
        <v>2</v>
      </c>
      <c r="U203" s="4">
        <v>1</v>
      </c>
      <c r="V203" s="4"/>
      <c r="W203" s="13">
        <f t="shared" si="39"/>
        <v>40.6</v>
      </c>
      <c r="X203" s="15">
        <f t="shared" si="40"/>
        <v>40.6</v>
      </c>
      <c r="Y203" s="15">
        <f t="shared" si="41"/>
        <v>81.2</v>
      </c>
      <c r="Z203" s="4"/>
      <c r="AA203" s="4"/>
      <c r="AB203" s="13"/>
      <c r="AD203" s="4"/>
      <c r="AE203" s="4"/>
      <c r="AF203" s="4">
        <v>1</v>
      </c>
      <c r="AG203" s="4"/>
      <c r="AH203" s="4">
        <f t="shared" si="42"/>
        <v>649</v>
      </c>
      <c r="AI203" s="4">
        <f t="shared" si="34"/>
        <v>649</v>
      </c>
      <c r="AJ203" s="4">
        <f t="shared" si="38"/>
        <v>1298</v>
      </c>
      <c r="AK203" s="15"/>
      <c r="AL203" s="4"/>
      <c r="AM203" s="13"/>
      <c r="AO203" s="13"/>
      <c r="AQ203" s="4"/>
      <c r="AR203" s="4">
        <v>197</v>
      </c>
      <c r="AS203" s="4"/>
    </row>
    <row r="204" spans="1:72">
      <c r="A204" s="1">
        <v>46101</v>
      </c>
      <c r="B204" s="16">
        <v>0.65755787037037039</v>
      </c>
      <c r="C204" t="s">
        <v>221</v>
      </c>
      <c r="D204" t="s">
        <v>180</v>
      </c>
      <c r="E204">
        <v>151</v>
      </c>
      <c r="F204" t="s">
        <v>63</v>
      </c>
      <c r="G204">
        <v>1</v>
      </c>
      <c r="H204">
        <v>1</v>
      </c>
      <c r="I204" t="s">
        <v>64</v>
      </c>
      <c r="J204" t="s">
        <v>65</v>
      </c>
      <c r="K204">
        <v>9.0800000000000006E-2</v>
      </c>
      <c r="L204">
        <v>1.9</v>
      </c>
      <c r="M204">
        <v>19.3</v>
      </c>
      <c r="N204" t="s">
        <v>66</v>
      </c>
      <c r="O204" t="s">
        <v>67</v>
      </c>
      <c r="P204">
        <v>0.436</v>
      </c>
      <c r="Q204">
        <v>5.82</v>
      </c>
      <c r="R204">
        <v>244</v>
      </c>
      <c r="T204" s="4">
        <v>2</v>
      </c>
      <c r="U204" s="4">
        <v>1</v>
      </c>
      <c r="V204" s="4"/>
      <c r="W204" s="13">
        <f t="shared" si="39"/>
        <v>19.3</v>
      </c>
      <c r="X204" s="15">
        <f t="shared" si="40"/>
        <v>19.3</v>
      </c>
      <c r="Y204" s="15">
        <f t="shared" si="41"/>
        <v>38.6</v>
      </c>
      <c r="Z204" s="4"/>
      <c r="AA204" s="4"/>
      <c r="AB204" s="13"/>
      <c r="AF204" s="4">
        <v>1</v>
      </c>
      <c r="AG204" s="4"/>
      <c r="AH204" s="4">
        <f t="shared" si="42"/>
        <v>244</v>
      </c>
      <c r="AI204" s="4">
        <f t="shared" si="34"/>
        <v>244</v>
      </c>
      <c r="AJ204" s="4">
        <f t="shared" si="38"/>
        <v>488</v>
      </c>
      <c r="AK204" s="15"/>
      <c r="AL204" s="4"/>
      <c r="AM204" s="13"/>
      <c r="AO204" s="13"/>
      <c r="AQ204" s="4"/>
      <c r="AR204" s="4">
        <v>198</v>
      </c>
      <c r="AS204" s="4"/>
    </row>
    <row r="205" spans="1:72">
      <c r="A205" s="1">
        <v>46101</v>
      </c>
      <c r="B205" s="16">
        <v>0.65844907407407405</v>
      </c>
      <c r="C205" t="s">
        <v>221</v>
      </c>
      <c r="D205" t="s">
        <v>194</v>
      </c>
      <c r="E205" t="s">
        <v>68</v>
      </c>
      <c r="F205" t="s">
        <v>63</v>
      </c>
      <c r="G205">
        <v>1</v>
      </c>
      <c r="H205">
        <v>1</v>
      </c>
      <c r="I205" t="s">
        <v>64</v>
      </c>
      <c r="J205" t="s">
        <v>65</v>
      </c>
      <c r="K205">
        <v>0.14599999999999999</v>
      </c>
      <c r="L205">
        <v>1.79</v>
      </c>
      <c r="M205">
        <v>16.100000000000001</v>
      </c>
      <c r="N205" t="s">
        <v>66</v>
      </c>
      <c r="O205" t="s">
        <v>67</v>
      </c>
      <c r="P205">
        <v>7.94</v>
      </c>
      <c r="Q205">
        <v>148</v>
      </c>
      <c r="R205">
        <v>5300</v>
      </c>
      <c r="S205" s="4">
        <f>100*(Q206/Q205)</f>
        <v>98.648648648648646</v>
      </c>
      <c r="T205" s="4">
        <v>1</v>
      </c>
      <c r="U205" s="4">
        <v>1</v>
      </c>
      <c r="V205" s="4"/>
      <c r="W205" s="13">
        <f t="shared" si="39"/>
        <v>16.100000000000001</v>
      </c>
      <c r="X205" s="15">
        <f t="shared" si="40"/>
        <v>16.100000000000001</v>
      </c>
      <c r="Y205" s="15">
        <f t="shared" si="41"/>
        <v>16.100000000000001</v>
      </c>
      <c r="AB205" s="13"/>
      <c r="AF205" s="4">
        <v>1</v>
      </c>
      <c r="AG205" s="4"/>
      <c r="AH205" s="4">
        <f t="shared" si="42"/>
        <v>5300</v>
      </c>
      <c r="AI205" s="4">
        <f t="shared" ref="AI205:AI227" si="43">IF(T205=1,AH205,(AH205-0))</f>
        <v>5300</v>
      </c>
      <c r="AJ205" s="4">
        <f t="shared" si="38"/>
        <v>5300</v>
      </c>
      <c r="AK205" s="15"/>
      <c r="AL205" s="4"/>
      <c r="AM205" s="13"/>
      <c r="AO205" s="13"/>
      <c r="AQ205" s="4"/>
      <c r="AR205" s="4">
        <v>199</v>
      </c>
      <c r="AS205" s="4"/>
    </row>
    <row r="206" spans="1:72">
      <c r="A206" s="1">
        <v>46101</v>
      </c>
      <c r="B206" s="16">
        <v>0.65934027777777782</v>
      </c>
      <c r="C206" t="s">
        <v>221</v>
      </c>
      <c r="D206" t="s">
        <v>195</v>
      </c>
      <c r="E206" t="s">
        <v>69</v>
      </c>
      <c r="F206" t="s">
        <v>63</v>
      </c>
      <c r="G206">
        <v>1</v>
      </c>
      <c r="H206">
        <v>1</v>
      </c>
      <c r="I206" t="s">
        <v>64</v>
      </c>
      <c r="J206" t="s">
        <v>65</v>
      </c>
      <c r="K206">
        <v>0.14499999999999999</v>
      </c>
      <c r="L206">
        <v>1.75</v>
      </c>
      <c r="M206">
        <v>14.8</v>
      </c>
      <c r="N206" t="s">
        <v>66</v>
      </c>
      <c r="O206" t="s">
        <v>67</v>
      </c>
      <c r="P206">
        <v>7.94</v>
      </c>
      <c r="Q206">
        <v>146</v>
      </c>
      <c r="R206">
        <v>5280</v>
      </c>
      <c r="T206" s="4">
        <v>1</v>
      </c>
      <c r="U206" s="4">
        <v>1</v>
      </c>
      <c r="V206" s="4"/>
      <c r="W206" s="13">
        <f t="shared" si="39"/>
        <v>14.8</v>
      </c>
      <c r="X206" s="15">
        <f t="shared" si="40"/>
        <v>14.8</v>
      </c>
      <c r="Y206" s="15">
        <f t="shared" si="41"/>
        <v>14.8</v>
      </c>
      <c r="Z206" s="4"/>
      <c r="AA206" s="4"/>
      <c r="AB206" s="13"/>
      <c r="AF206" s="4">
        <v>1</v>
      </c>
      <c r="AG206" s="4"/>
      <c r="AH206" s="4">
        <f t="shared" si="42"/>
        <v>5280</v>
      </c>
      <c r="AI206" s="4">
        <f t="shared" si="43"/>
        <v>5280</v>
      </c>
      <c r="AJ206" s="4">
        <f t="shared" si="38"/>
        <v>5280</v>
      </c>
      <c r="AK206" s="15"/>
      <c r="AL206" s="4"/>
      <c r="AM206" s="13"/>
      <c r="AO206" s="13"/>
      <c r="AQ206" s="4"/>
      <c r="AR206" s="4">
        <v>200</v>
      </c>
      <c r="AS206" s="4"/>
    </row>
    <row r="207" spans="1:72">
      <c r="A207" s="1">
        <v>46101</v>
      </c>
      <c r="B207" s="16">
        <v>0.66023148148148147</v>
      </c>
      <c r="C207" t="s">
        <v>221</v>
      </c>
      <c r="D207" t="s">
        <v>186</v>
      </c>
      <c r="E207" t="s">
        <v>72</v>
      </c>
      <c r="F207" t="s">
        <v>63</v>
      </c>
      <c r="G207">
        <v>1</v>
      </c>
      <c r="H207">
        <v>1</v>
      </c>
      <c r="I207" t="s">
        <v>64</v>
      </c>
      <c r="J207" t="s">
        <v>65</v>
      </c>
      <c r="K207">
        <v>1.4500000000000001E-2</v>
      </c>
      <c r="L207">
        <v>0.17299999999999999</v>
      </c>
      <c r="M207">
        <v>-32.6</v>
      </c>
      <c r="N207" t="s">
        <v>66</v>
      </c>
      <c r="O207" t="s">
        <v>67</v>
      </c>
      <c r="P207">
        <v>4.4999999999999998E-2</v>
      </c>
      <c r="Q207">
        <v>0.48799999999999999</v>
      </c>
      <c r="R207">
        <v>-114</v>
      </c>
      <c r="S207" s="4"/>
      <c r="T207" s="4">
        <v>1</v>
      </c>
      <c r="U207" s="4">
        <v>1</v>
      </c>
      <c r="V207" s="4"/>
      <c r="W207" s="13">
        <f t="shared" si="39"/>
        <v>-32.6</v>
      </c>
      <c r="X207" s="15">
        <f t="shared" si="40"/>
        <v>-32.6</v>
      </c>
      <c r="Y207" s="15">
        <f t="shared" si="41"/>
        <v>-32.6</v>
      </c>
      <c r="Z207" s="4"/>
      <c r="AA207" s="4"/>
      <c r="AB207" s="13"/>
      <c r="AD207" s="4"/>
      <c r="AE207" s="4"/>
      <c r="AF207" s="4">
        <v>1</v>
      </c>
      <c r="AG207" s="4"/>
      <c r="AH207" s="4">
        <f t="shared" si="42"/>
        <v>-114</v>
      </c>
      <c r="AI207" s="4">
        <f t="shared" si="43"/>
        <v>-114</v>
      </c>
      <c r="AJ207" s="4">
        <f t="shared" si="38"/>
        <v>-114</v>
      </c>
      <c r="AK207" s="15"/>
      <c r="AL207" s="4"/>
      <c r="AM207" s="15"/>
      <c r="AN207" s="4"/>
      <c r="AO207" s="15"/>
      <c r="AP207" s="4"/>
      <c r="AQ207" s="4"/>
      <c r="AR207" s="4">
        <v>201</v>
      </c>
      <c r="AS207" s="4"/>
    </row>
    <row r="208" spans="1:72">
      <c r="A208" s="1">
        <v>46101</v>
      </c>
      <c r="B208" s="16">
        <v>0.66111111111111109</v>
      </c>
      <c r="C208" t="s">
        <v>221</v>
      </c>
      <c r="D208" t="s">
        <v>101</v>
      </c>
      <c r="E208">
        <v>18</v>
      </c>
      <c r="F208" t="s">
        <v>92</v>
      </c>
      <c r="G208">
        <v>1</v>
      </c>
      <c r="H208">
        <v>1</v>
      </c>
      <c r="I208" t="s">
        <v>64</v>
      </c>
      <c r="J208" t="s">
        <v>65</v>
      </c>
      <c r="K208">
        <v>0.10100000000000001</v>
      </c>
      <c r="L208">
        <v>2.04</v>
      </c>
      <c r="M208">
        <v>23.4</v>
      </c>
      <c r="N208" t="s">
        <v>66</v>
      </c>
      <c r="O208" t="s">
        <v>67</v>
      </c>
      <c r="P208">
        <v>0.46400000000000002</v>
      </c>
      <c r="Q208">
        <v>6.2</v>
      </c>
      <c r="R208">
        <v>270</v>
      </c>
      <c r="S208" s="4"/>
      <c r="T208" s="4">
        <v>1</v>
      </c>
      <c r="U208" s="4">
        <v>1</v>
      </c>
      <c r="V208" s="4"/>
      <c r="W208" s="13">
        <f t="shared" si="39"/>
        <v>23.4</v>
      </c>
      <c r="X208" s="15">
        <f t="shared" si="40"/>
        <v>23.4</v>
      </c>
      <c r="Y208" s="15">
        <f t="shared" si="41"/>
        <v>23.4</v>
      </c>
      <c r="Z208" s="4">
        <f>100*(Y208-25)/25</f>
        <v>-6.4000000000000057</v>
      </c>
      <c r="AA208" s="4" t="str">
        <f>IF((ABS(Z208))&lt;=20,"PASS","FAIL")</f>
        <v>PASS</v>
      </c>
      <c r="AB208" s="15"/>
      <c r="AC208" s="4"/>
      <c r="AF208" s="4">
        <v>1</v>
      </c>
      <c r="AG208" s="4"/>
      <c r="AH208" s="4">
        <f t="shared" si="42"/>
        <v>270</v>
      </c>
      <c r="AI208" s="4">
        <f t="shared" si="43"/>
        <v>270</v>
      </c>
      <c r="AJ208" s="4">
        <f t="shared" si="38"/>
        <v>270</v>
      </c>
      <c r="AK208" s="15">
        <f>100*(AJ208-250)/250</f>
        <v>8</v>
      </c>
      <c r="AL208" s="4" t="str">
        <f>IF((ABS(AK208))&lt;=20,"PASS","FAIL")</f>
        <v>PASS</v>
      </c>
      <c r="AM208" s="13"/>
      <c r="AO208" s="13"/>
      <c r="AQ208" s="4"/>
      <c r="AR208" s="4">
        <v>202</v>
      </c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</row>
    <row r="209" spans="1:72">
      <c r="A209" s="1">
        <v>46101</v>
      </c>
      <c r="B209" s="16">
        <v>0.6620138888888889</v>
      </c>
      <c r="C209" t="s">
        <v>221</v>
      </c>
      <c r="D209" t="s">
        <v>187</v>
      </c>
      <c r="E209">
        <v>154</v>
      </c>
      <c r="F209" t="s">
        <v>63</v>
      </c>
      <c r="G209">
        <v>1</v>
      </c>
      <c r="H209">
        <v>1</v>
      </c>
      <c r="I209" t="s">
        <v>64</v>
      </c>
      <c r="J209" t="s">
        <v>65</v>
      </c>
      <c r="K209">
        <v>0.20799999999999999</v>
      </c>
      <c r="L209">
        <v>4</v>
      </c>
      <c r="M209">
        <v>81.400000000000006</v>
      </c>
      <c r="N209" t="s">
        <v>66</v>
      </c>
      <c r="O209" t="s">
        <v>67</v>
      </c>
      <c r="P209">
        <v>1.3</v>
      </c>
      <c r="Q209">
        <v>16.600000000000001</v>
      </c>
      <c r="R209">
        <v>935</v>
      </c>
      <c r="S209" s="4"/>
      <c r="T209" s="4">
        <v>2</v>
      </c>
      <c r="U209" s="4">
        <v>1</v>
      </c>
      <c r="V209" s="4"/>
      <c r="W209" s="13">
        <f t="shared" si="39"/>
        <v>81.400000000000006</v>
      </c>
      <c r="X209" s="15">
        <f t="shared" si="40"/>
        <v>81.400000000000006</v>
      </c>
      <c r="Y209" s="15">
        <f t="shared" si="41"/>
        <v>162.80000000000001</v>
      </c>
      <c r="Z209" s="4"/>
      <c r="AA209" s="4"/>
      <c r="AB209" s="13"/>
      <c r="AD209" s="4"/>
      <c r="AE209" s="4"/>
      <c r="AF209" s="4">
        <v>1</v>
      </c>
      <c r="AG209" s="4"/>
      <c r="AH209" s="4">
        <f t="shared" si="42"/>
        <v>935</v>
      </c>
      <c r="AI209" s="4">
        <f t="shared" si="43"/>
        <v>935</v>
      </c>
      <c r="AJ209" s="4">
        <f t="shared" si="38"/>
        <v>1870</v>
      </c>
      <c r="AK209" s="15"/>
      <c r="AL209" s="4"/>
      <c r="AM209" s="15"/>
      <c r="AN209" s="4"/>
      <c r="AO209" s="15"/>
      <c r="AP209" s="4"/>
      <c r="AQ209" s="4"/>
      <c r="AR209" s="4">
        <v>203</v>
      </c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</row>
    <row r="210" spans="1:72">
      <c r="A210" s="1">
        <v>46101</v>
      </c>
      <c r="B210" s="16">
        <v>0.66290509259259256</v>
      </c>
      <c r="C210" t="s">
        <v>221</v>
      </c>
      <c r="D210" t="s">
        <v>188</v>
      </c>
      <c r="E210">
        <v>155</v>
      </c>
      <c r="F210" t="s">
        <v>63</v>
      </c>
      <c r="G210">
        <v>1</v>
      </c>
      <c r="H210">
        <v>1</v>
      </c>
      <c r="I210" t="s">
        <v>64</v>
      </c>
      <c r="J210" t="s">
        <v>65</v>
      </c>
      <c r="K210">
        <v>0.78200000000000003</v>
      </c>
      <c r="L210">
        <v>14.4</v>
      </c>
      <c r="M210">
        <v>368</v>
      </c>
      <c r="N210" t="s">
        <v>66</v>
      </c>
      <c r="O210" t="s">
        <v>67</v>
      </c>
      <c r="P210">
        <v>2.89</v>
      </c>
      <c r="Q210">
        <v>37.700000000000003</v>
      </c>
      <c r="R210">
        <v>2140</v>
      </c>
      <c r="T210" s="4">
        <v>2</v>
      </c>
      <c r="U210" s="4">
        <v>3</v>
      </c>
      <c r="V210" s="4" t="s">
        <v>193</v>
      </c>
      <c r="W210" s="13">
        <f t="shared" si="39"/>
        <v>368</v>
      </c>
      <c r="X210" s="15">
        <f t="shared" si="40"/>
        <v>368</v>
      </c>
      <c r="Y210" s="15">
        <f t="shared" si="41"/>
        <v>736</v>
      </c>
      <c r="Z210" s="4"/>
      <c r="AA210" s="4"/>
      <c r="AB210" s="15"/>
      <c r="AC210" s="4"/>
      <c r="AF210" s="4">
        <v>3</v>
      </c>
      <c r="AG210" s="4" t="s">
        <v>193</v>
      </c>
      <c r="AH210" s="4">
        <f t="shared" si="42"/>
        <v>2140</v>
      </c>
      <c r="AI210" s="4">
        <f t="shared" si="43"/>
        <v>2140</v>
      </c>
      <c r="AJ210" s="4">
        <f t="shared" si="38"/>
        <v>4280</v>
      </c>
      <c r="AK210" s="15"/>
      <c r="AL210" s="4"/>
      <c r="AM210" s="13"/>
      <c r="AO210" s="13"/>
      <c r="AQ210" s="4"/>
      <c r="AR210" s="4">
        <v>204</v>
      </c>
      <c r="AS210" s="4"/>
    </row>
    <row r="211" spans="1:72">
      <c r="A211" s="1">
        <v>46101</v>
      </c>
      <c r="B211" s="16">
        <v>0.66377314814814814</v>
      </c>
      <c r="C211" t="s">
        <v>221</v>
      </c>
      <c r="D211" t="s">
        <v>189</v>
      </c>
      <c r="E211">
        <v>156</v>
      </c>
      <c r="F211" t="s">
        <v>63</v>
      </c>
      <c r="G211">
        <v>1</v>
      </c>
      <c r="H211">
        <v>1</v>
      </c>
      <c r="I211" t="s">
        <v>64</v>
      </c>
      <c r="J211" t="s">
        <v>65</v>
      </c>
      <c r="K211">
        <v>9.11E-2</v>
      </c>
      <c r="L211">
        <v>1.85</v>
      </c>
      <c r="M211">
        <v>17.8</v>
      </c>
      <c r="N211" t="s">
        <v>66</v>
      </c>
      <c r="O211" t="s">
        <v>67</v>
      </c>
      <c r="P211">
        <v>0.39300000000000002</v>
      </c>
      <c r="Q211">
        <v>5.3</v>
      </c>
      <c r="R211">
        <v>210</v>
      </c>
      <c r="S211" s="4"/>
      <c r="T211" s="4">
        <v>2</v>
      </c>
      <c r="U211" s="4">
        <v>1</v>
      </c>
      <c r="V211" s="4"/>
      <c r="W211" s="13">
        <f t="shared" si="39"/>
        <v>17.8</v>
      </c>
      <c r="X211" s="15">
        <f t="shared" si="40"/>
        <v>17.8</v>
      </c>
      <c r="Y211" s="15">
        <f t="shared" si="41"/>
        <v>35.6</v>
      </c>
      <c r="Z211" s="4"/>
      <c r="AA211" s="4"/>
      <c r="AB211" s="13"/>
      <c r="AF211" s="4">
        <v>1</v>
      </c>
      <c r="AG211" s="4"/>
      <c r="AH211" s="4">
        <f t="shared" si="42"/>
        <v>210</v>
      </c>
      <c r="AI211" s="4">
        <f t="shared" si="43"/>
        <v>210</v>
      </c>
      <c r="AJ211" s="4">
        <f t="shared" si="38"/>
        <v>420</v>
      </c>
      <c r="AK211" s="15"/>
      <c r="AL211" s="4"/>
      <c r="AM211" s="15"/>
      <c r="AN211" s="4"/>
      <c r="AO211" s="13"/>
      <c r="AQ211" s="4"/>
      <c r="AR211" s="4">
        <v>205</v>
      </c>
      <c r="AS211" s="4"/>
    </row>
    <row r="212" spans="1:72">
      <c r="A212" s="1">
        <v>46101</v>
      </c>
      <c r="B212" s="16">
        <v>0.6646643518518518</v>
      </c>
      <c r="C212" t="s">
        <v>221</v>
      </c>
      <c r="D212" t="s">
        <v>190</v>
      </c>
      <c r="E212">
        <v>157</v>
      </c>
      <c r="F212" t="s">
        <v>63</v>
      </c>
      <c r="G212">
        <v>1</v>
      </c>
      <c r="H212">
        <v>1</v>
      </c>
      <c r="I212" t="s">
        <v>64</v>
      </c>
      <c r="J212" t="s">
        <v>65</v>
      </c>
      <c r="K212">
        <v>0.112</v>
      </c>
      <c r="L212">
        <v>2.2400000000000002</v>
      </c>
      <c r="M212">
        <v>29.4</v>
      </c>
      <c r="N212" t="s">
        <v>66</v>
      </c>
      <c r="O212" t="s">
        <v>67</v>
      </c>
      <c r="P212">
        <v>0.59199999999999997</v>
      </c>
      <c r="Q212">
        <v>7.88</v>
      </c>
      <c r="R212">
        <v>380</v>
      </c>
      <c r="T212" s="4">
        <v>2</v>
      </c>
      <c r="U212" s="4">
        <v>1</v>
      </c>
      <c r="V212" s="4"/>
      <c r="W212" s="13">
        <f t="shared" si="39"/>
        <v>29.4</v>
      </c>
      <c r="X212" s="15">
        <f t="shared" si="40"/>
        <v>29.4</v>
      </c>
      <c r="Y212" s="15">
        <f t="shared" si="41"/>
        <v>58.8</v>
      </c>
      <c r="Z212" s="4"/>
      <c r="AA212" s="4"/>
      <c r="AB212" s="15"/>
      <c r="AC212" s="4"/>
      <c r="AD212" s="4"/>
      <c r="AE212" s="4"/>
      <c r="AF212" s="4">
        <v>1</v>
      </c>
      <c r="AG212" s="4"/>
      <c r="AH212" s="4">
        <f t="shared" si="42"/>
        <v>380</v>
      </c>
      <c r="AI212" s="4">
        <f t="shared" si="43"/>
        <v>380</v>
      </c>
      <c r="AJ212" s="4">
        <f t="shared" si="38"/>
        <v>760</v>
      </c>
      <c r="AK212" s="15"/>
      <c r="AL212" s="4"/>
      <c r="AM212" s="15"/>
      <c r="AN212" s="4"/>
      <c r="AO212" s="13"/>
      <c r="AQ212" s="4"/>
      <c r="AR212" s="4">
        <v>206</v>
      </c>
      <c r="AS212" s="4"/>
    </row>
    <row r="213" spans="1:72">
      <c r="A213" s="1">
        <v>46101</v>
      </c>
      <c r="B213" s="16">
        <v>0.66556712962962961</v>
      </c>
      <c r="C213" t="s">
        <v>221</v>
      </c>
      <c r="D213" t="s">
        <v>191</v>
      </c>
      <c r="E213">
        <v>158</v>
      </c>
      <c r="F213" t="s">
        <v>63</v>
      </c>
      <c r="G213">
        <v>1</v>
      </c>
      <c r="H213">
        <v>1</v>
      </c>
      <c r="I213" t="s">
        <v>64</v>
      </c>
      <c r="J213" t="s">
        <v>65</v>
      </c>
      <c r="K213">
        <v>0.13400000000000001</v>
      </c>
      <c r="L213">
        <v>2.65</v>
      </c>
      <c r="M213">
        <v>41.7</v>
      </c>
      <c r="N213" t="s">
        <v>66</v>
      </c>
      <c r="O213" t="s">
        <v>67</v>
      </c>
      <c r="P213">
        <v>0.89400000000000002</v>
      </c>
      <c r="Q213">
        <v>11.8</v>
      </c>
      <c r="R213">
        <v>632</v>
      </c>
      <c r="S213" s="4"/>
      <c r="T213" s="4">
        <v>2</v>
      </c>
      <c r="U213" s="4">
        <v>1</v>
      </c>
      <c r="V213" s="4"/>
      <c r="W213" s="13">
        <f t="shared" si="39"/>
        <v>41.7</v>
      </c>
      <c r="X213" s="15">
        <f t="shared" si="40"/>
        <v>41.7</v>
      </c>
      <c r="Y213" s="15">
        <f t="shared" si="41"/>
        <v>83.4</v>
      </c>
      <c r="Z213" s="4"/>
      <c r="AA213" s="4"/>
      <c r="AB213" s="13"/>
      <c r="AF213" s="4">
        <v>1</v>
      </c>
      <c r="AG213" s="4"/>
      <c r="AH213" s="4">
        <f t="shared" si="42"/>
        <v>632</v>
      </c>
      <c r="AI213" s="4">
        <f t="shared" si="43"/>
        <v>632</v>
      </c>
      <c r="AJ213" s="4">
        <f t="shared" si="38"/>
        <v>1264</v>
      </c>
      <c r="AK213" s="15"/>
      <c r="AL213" s="4"/>
      <c r="AM213" s="13"/>
      <c r="AO213" s="15"/>
      <c r="AP213" s="4"/>
      <c r="AQ213" s="4"/>
      <c r="AR213" s="4">
        <v>207</v>
      </c>
      <c r="AS213" s="4"/>
    </row>
    <row r="214" spans="1:72">
      <c r="A214" s="1">
        <v>46101</v>
      </c>
      <c r="B214" s="16">
        <v>0.66646990740740741</v>
      </c>
      <c r="C214" t="s">
        <v>221</v>
      </c>
      <c r="D214" t="s">
        <v>192</v>
      </c>
      <c r="E214">
        <v>159</v>
      </c>
      <c r="F214" t="s">
        <v>63</v>
      </c>
      <c r="G214">
        <v>1</v>
      </c>
      <c r="H214">
        <v>1</v>
      </c>
      <c r="I214" t="s">
        <v>64</v>
      </c>
      <c r="J214" t="s">
        <v>65</v>
      </c>
      <c r="K214">
        <v>0.54600000000000004</v>
      </c>
      <c r="L214">
        <v>10.1</v>
      </c>
      <c r="M214">
        <v>253</v>
      </c>
      <c r="N214" t="s">
        <v>66</v>
      </c>
      <c r="O214" t="s">
        <v>67</v>
      </c>
      <c r="P214">
        <v>2.62</v>
      </c>
      <c r="Q214">
        <v>34.200000000000003</v>
      </c>
      <c r="R214">
        <v>1940</v>
      </c>
      <c r="S214" s="4"/>
      <c r="T214" s="4">
        <v>2</v>
      </c>
      <c r="U214" s="4">
        <v>3</v>
      </c>
      <c r="V214" s="4" t="s">
        <v>193</v>
      </c>
      <c r="W214" s="13">
        <f t="shared" si="39"/>
        <v>253</v>
      </c>
      <c r="X214" s="15">
        <f t="shared" si="40"/>
        <v>253</v>
      </c>
      <c r="Y214" s="15">
        <f t="shared" si="41"/>
        <v>506</v>
      </c>
      <c r="Z214" s="4"/>
      <c r="AA214" s="4"/>
      <c r="AB214" s="15"/>
      <c r="AC214" s="4"/>
      <c r="AF214" s="4">
        <v>3</v>
      </c>
      <c r="AG214" s="4" t="s">
        <v>193</v>
      </c>
      <c r="AH214" s="4">
        <f t="shared" si="42"/>
        <v>1940</v>
      </c>
      <c r="AI214" s="4">
        <f t="shared" si="43"/>
        <v>1940</v>
      </c>
      <c r="AJ214" s="4">
        <f t="shared" si="38"/>
        <v>3880</v>
      </c>
      <c r="AK214" s="15"/>
      <c r="AL214" s="4"/>
      <c r="AM214" s="15"/>
      <c r="AN214" s="4"/>
      <c r="AO214" s="13"/>
      <c r="AQ214" s="4"/>
      <c r="AR214" s="4">
        <v>208</v>
      </c>
      <c r="AS214" s="4"/>
    </row>
    <row r="215" spans="1:72">
      <c r="A215" s="1">
        <v>46101</v>
      </c>
      <c r="B215" s="16">
        <v>0.66736111111111107</v>
      </c>
      <c r="C215" t="s">
        <v>221</v>
      </c>
      <c r="D215" t="s">
        <v>227</v>
      </c>
      <c r="E215">
        <v>181</v>
      </c>
      <c r="F215" t="s">
        <v>63</v>
      </c>
      <c r="G215">
        <v>1</v>
      </c>
      <c r="H215">
        <v>1</v>
      </c>
      <c r="I215" t="s">
        <v>64</v>
      </c>
      <c r="J215" t="s">
        <v>65</v>
      </c>
      <c r="K215">
        <v>0.253</v>
      </c>
      <c r="L215">
        <v>4.5</v>
      </c>
      <c r="M215">
        <v>96</v>
      </c>
      <c r="N215" t="s">
        <v>66</v>
      </c>
      <c r="O215" t="s">
        <v>67</v>
      </c>
      <c r="P215">
        <v>1.6</v>
      </c>
      <c r="Q215">
        <v>20.9</v>
      </c>
      <c r="R215">
        <v>1190</v>
      </c>
      <c r="T215" s="4">
        <v>5</v>
      </c>
      <c r="U215" s="4">
        <v>3</v>
      </c>
      <c r="V215" s="4" t="s">
        <v>255</v>
      </c>
      <c r="W215" s="13">
        <f t="shared" si="39"/>
        <v>96</v>
      </c>
      <c r="X215" s="15">
        <f t="shared" si="40"/>
        <v>96</v>
      </c>
      <c r="Y215" s="15">
        <f t="shared" si="41"/>
        <v>480</v>
      </c>
      <c r="Z215" s="4"/>
      <c r="AA215" s="4"/>
      <c r="AB215" s="13"/>
      <c r="AF215" s="4">
        <v>3</v>
      </c>
      <c r="AG215" s="4" t="s">
        <v>255</v>
      </c>
      <c r="AH215" s="4">
        <f t="shared" si="42"/>
        <v>1190</v>
      </c>
      <c r="AI215" s="4">
        <f t="shared" si="43"/>
        <v>1190</v>
      </c>
      <c r="AJ215" s="4">
        <f t="shared" si="38"/>
        <v>5950</v>
      </c>
      <c r="AK215" s="15"/>
      <c r="AL215" s="4"/>
      <c r="AM215" s="13"/>
      <c r="AO215" s="13"/>
      <c r="AQ215" s="4"/>
      <c r="AR215" s="4">
        <v>209</v>
      </c>
      <c r="AS215" s="4"/>
    </row>
    <row r="216" spans="1:72">
      <c r="A216" s="1">
        <v>46101</v>
      </c>
      <c r="B216" s="16">
        <v>0.66826388888888888</v>
      </c>
      <c r="C216" t="s">
        <v>221</v>
      </c>
      <c r="D216" t="s">
        <v>228</v>
      </c>
      <c r="E216">
        <v>182</v>
      </c>
      <c r="F216" t="s">
        <v>63</v>
      </c>
      <c r="G216">
        <v>1</v>
      </c>
      <c r="H216">
        <v>1</v>
      </c>
      <c r="I216" t="s">
        <v>64</v>
      </c>
      <c r="J216" t="s">
        <v>65</v>
      </c>
      <c r="K216">
        <v>0.19600000000000001</v>
      </c>
      <c r="L216">
        <v>3.76</v>
      </c>
      <c r="M216">
        <v>74.400000000000006</v>
      </c>
      <c r="N216" t="s">
        <v>66</v>
      </c>
      <c r="O216" t="s">
        <v>67</v>
      </c>
      <c r="P216">
        <v>1.9</v>
      </c>
      <c r="Q216">
        <v>24.8</v>
      </c>
      <c r="R216">
        <v>1420</v>
      </c>
      <c r="T216" s="4">
        <v>5</v>
      </c>
      <c r="U216" s="4">
        <v>2</v>
      </c>
      <c r="V216" s="4" t="s">
        <v>251</v>
      </c>
      <c r="W216" s="13">
        <f t="shared" si="39"/>
        <v>74.400000000000006</v>
      </c>
      <c r="X216" s="15">
        <f t="shared" si="40"/>
        <v>74.400000000000006</v>
      </c>
      <c r="Y216" s="15">
        <f t="shared" si="41"/>
        <v>372</v>
      </c>
      <c r="Z216" s="4"/>
      <c r="AA216" s="4"/>
      <c r="AB216" s="13"/>
      <c r="AF216" s="4">
        <v>2</v>
      </c>
      <c r="AG216" s="4" t="s">
        <v>251</v>
      </c>
      <c r="AH216" s="4">
        <f t="shared" si="42"/>
        <v>1420</v>
      </c>
      <c r="AI216" s="4">
        <f t="shared" si="43"/>
        <v>1420</v>
      </c>
      <c r="AJ216" s="4">
        <f t="shared" si="38"/>
        <v>7100</v>
      </c>
      <c r="AK216" s="15"/>
      <c r="AL216" s="4"/>
      <c r="AM216" s="13"/>
      <c r="AO216" s="13"/>
      <c r="AQ216" s="4"/>
      <c r="AR216" s="4">
        <v>210</v>
      </c>
      <c r="AS216" s="4"/>
    </row>
    <row r="217" spans="1:72">
      <c r="A217" s="1">
        <v>46101</v>
      </c>
      <c r="B217" s="16">
        <v>0.66916666666666669</v>
      </c>
      <c r="C217" t="s">
        <v>221</v>
      </c>
      <c r="D217" t="s">
        <v>229</v>
      </c>
      <c r="E217">
        <v>183</v>
      </c>
      <c r="F217" t="s">
        <v>63</v>
      </c>
      <c r="G217">
        <v>1</v>
      </c>
      <c r="H217">
        <v>1</v>
      </c>
      <c r="I217" t="s">
        <v>64</v>
      </c>
      <c r="J217" t="s">
        <v>65</v>
      </c>
      <c r="K217">
        <v>0.22900000000000001</v>
      </c>
      <c r="L217">
        <v>4.29</v>
      </c>
      <c r="M217">
        <v>89.8</v>
      </c>
      <c r="N217" t="s">
        <v>66</v>
      </c>
      <c r="O217" t="s">
        <v>67</v>
      </c>
      <c r="P217">
        <v>0.96599999999999997</v>
      </c>
      <c r="Q217">
        <v>12.7</v>
      </c>
      <c r="R217">
        <v>691</v>
      </c>
      <c r="T217" s="4">
        <v>2</v>
      </c>
      <c r="U217" s="4">
        <v>2</v>
      </c>
      <c r="V217" s="4" t="s">
        <v>251</v>
      </c>
      <c r="W217" s="13">
        <f t="shared" si="39"/>
        <v>89.8</v>
      </c>
      <c r="X217" s="15">
        <f t="shared" si="40"/>
        <v>89.8</v>
      </c>
      <c r="Y217" s="15">
        <f t="shared" si="41"/>
        <v>179.6</v>
      </c>
      <c r="Z217" s="4"/>
      <c r="AA217" s="4"/>
      <c r="AB217" s="15"/>
      <c r="AC217" s="4"/>
      <c r="AF217" s="4">
        <v>3</v>
      </c>
      <c r="AG217" s="4" t="s">
        <v>263</v>
      </c>
      <c r="AH217" s="4">
        <f t="shared" si="42"/>
        <v>691</v>
      </c>
      <c r="AI217" s="4">
        <f t="shared" si="43"/>
        <v>691</v>
      </c>
      <c r="AJ217" s="4">
        <f t="shared" si="38"/>
        <v>1382</v>
      </c>
      <c r="AK217" s="15"/>
      <c r="AL217" s="4"/>
      <c r="AM217" s="15"/>
      <c r="AN217" s="4"/>
      <c r="AO217" s="15"/>
      <c r="AP217" s="4"/>
      <c r="AQ217" s="4"/>
      <c r="AR217" s="4">
        <v>211</v>
      </c>
      <c r="AS217" s="4"/>
    </row>
    <row r="218" spans="1:72">
      <c r="A218" s="1">
        <v>46101</v>
      </c>
      <c r="B218" s="16">
        <v>0.67005787037037035</v>
      </c>
      <c r="C218" t="s">
        <v>221</v>
      </c>
      <c r="D218" t="s">
        <v>230</v>
      </c>
      <c r="E218">
        <v>184</v>
      </c>
      <c r="F218" t="s">
        <v>63</v>
      </c>
      <c r="G218">
        <v>1</v>
      </c>
      <c r="H218">
        <v>1</v>
      </c>
      <c r="I218" t="s">
        <v>64</v>
      </c>
      <c r="J218" t="s">
        <v>65</v>
      </c>
      <c r="K218">
        <v>0.29599999999999999</v>
      </c>
      <c r="L218">
        <v>5.48</v>
      </c>
      <c r="M218">
        <v>124</v>
      </c>
      <c r="N218" t="s">
        <v>66</v>
      </c>
      <c r="O218" t="s">
        <v>67</v>
      </c>
      <c r="P218">
        <v>1.63</v>
      </c>
      <c r="Q218">
        <v>21.3</v>
      </c>
      <c r="R218">
        <v>1220</v>
      </c>
      <c r="T218" s="4">
        <v>2</v>
      </c>
      <c r="U218" s="4">
        <v>2</v>
      </c>
      <c r="V218" s="4" t="s">
        <v>251</v>
      </c>
      <c r="W218" s="13">
        <f t="shared" si="39"/>
        <v>124</v>
      </c>
      <c r="X218" s="15">
        <f t="shared" si="40"/>
        <v>124</v>
      </c>
      <c r="Y218" s="15">
        <f t="shared" si="41"/>
        <v>248</v>
      </c>
      <c r="Z218" s="4"/>
      <c r="AA218" s="4"/>
      <c r="AB218" s="15"/>
      <c r="AC218" s="4"/>
      <c r="AD218" s="4"/>
      <c r="AE218" s="4"/>
      <c r="AF218" s="4">
        <v>2</v>
      </c>
      <c r="AG218" s="4" t="s">
        <v>251</v>
      </c>
      <c r="AH218" s="4">
        <f t="shared" si="42"/>
        <v>1220</v>
      </c>
      <c r="AI218" s="4">
        <f t="shared" si="43"/>
        <v>1220</v>
      </c>
      <c r="AJ218" s="4">
        <f t="shared" si="38"/>
        <v>2440</v>
      </c>
      <c r="AK218" s="15"/>
      <c r="AL218" s="4"/>
      <c r="AM218" s="15"/>
      <c r="AN218" s="4"/>
      <c r="AO218" s="15"/>
      <c r="AP218" s="4"/>
      <c r="AQ218" s="4"/>
      <c r="AR218" s="4">
        <v>212</v>
      </c>
      <c r="AS218" s="4"/>
    </row>
    <row r="219" spans="1:72">
      <c r="A219" s="1">
        <v>46101</v>
      </c>
      <c r="B219" s="16">
        <v>0.67096064814814815</v>
      </c>
      <c r="C219" t="s">
        <v>221</v>
      </c>
      <c r="D219" t="s">
        <v>231</v>
      </c>
      <c r="E219">
        <v>185</v>
      </c>
      <c r="F219" t="s">
        <v>63</v>
      </c>
      <c r="G219">
        <v>1</v>
      </c>
      <c r="H219">
        <v>1</v>
      </c>
      <c r="I219" t="s">
        <v>64</v>
      </c>
      <c r="J219" t="s">
        <v>65</v>
      </c>
      <c r="K219">
        <v>5.7799999999999997E-2</v>
      </c>
      <c r="L219">
        <v>1.28</v>
      </c>
      <c r="M219">
        <v>0.86399999999999999</v>
      </c>
      <c r="N219" t="s">
        <v>66</v>
      </c>
      <c r="O219" t="s">
        <v>67</v>
      </c>
      <c r="P219">
        <v>1.91</v>
      </c>
      <c r="Q219">
        <v>25</v>
      </c>
      <c r="R219">
        <v>1430</v>
      </c>
      <c r="T219" s="4">
        <v>2</v>
      </c>
      <c r="U219" s="4">
        <v>3</v>
      </c>
      <c r="V219" s="4" t="s">
        <v>250</v>
      </c>
      <c r="W219" s="13">
        <f t="shared" si="39"/>
        <v>0.86399999999999999</v>
      </c>
      <c r="X219" s="15">
        <f t="shared" si="40"/>
        <v>0.86399999999999999</v>
      </c>
      <c r="Y219" s="15">
        <f t="shared" si="41"/>
        <v>1.728</v>
      </c>
      <c r="Z219" s="4"/>
      <c r="AA219" s="4"/>
      <c r="AB219" s="13"/>
      <c r="AD219" s="4"/>
      <c r="AE219" s="4"/>
      <c r="AF219" s="4">
        <v>2</v>
      </c>
      <c r="AG219" s="4" t="s">
        <v>251</v>
      </c>
      <c r="AH219" s="4">
        <f t="shared" si="42"/>
        <v>1430</v>
      </c>
      <c r="AI219" s="4">
        <f t="shared" si="43"/>
        <v>1430</v>
      </c>
      <c r="AJ219" s="4">
        <f t="shared" si="38"/>
        <v>2860</v>
      </c>
      <c r="AK219" s="15"/>
      <c r="AL219" s="4"/>
      <c r="AM219" s="13"/>
      <c r="AO219" s="13"/>
      <c r="AQ219" s="4"/>
      <c r="AR219" s="4">
        <v>213</v>
      </c>
      <c r="AS219" s="4"/>
    </row>
    <row r="220" spans="1:72">
      <c r="A220" s="1">
        <v>46101</v>
      </c>
      <c r="B220" s="16">
        <v>0.67186342592592596</v>
      </c>
      <c r="C220" t="s">
        <v>221</v>
      </c>
      <c r="D220" t="s">
        <v>232</v>
      </c>
      <c r="E220">
        <v>186</v>
      </c>
      <c r="F220" t="s">
        <v>63</v>
      </c>
      <c r="G220">
        <v>1</v>
      </c>
      <c r="H220">
        <v>1</v>
      </c>
      <c r="I220" t="s">
        <v>64</v>
      </c>
      <c r="J220" t="s">
        <v>65</v>
      </c>
      <c r="K220">
        <v>0.27500000000000002</v>
      </c>
      <c r="L220">
        <v>5.18</v>
      </c>
      <c r="M220">
        <v>116</v>
      </c>
      <c r="N220" t="s">
        <v>66</v>
      </c>
      <c r="O220" t="s">
        <v>67</v>
      </c>
      <c r="P220">
        <v>1.22</v>
      </c>
      <c r="Q220">
        <v>16.100000000000001</v>
      </c>
      <c r="R220">
        <v>898</v>
      </c>
      <c r="S220" s="4"/>
      <c r="T220" s="4">
        <v>2</v>
      </c>
      <c r="U220" s="4">
        <v>2</v>
      </c>
      <c r="V220" s="4" t="s">
        <v>251</v>
      </c>
      <c r="W220" s="13">
        <f t="shared" ref="W220:W227" si="44">M220*H220</f>
        <v>116</v>
      </c>
      <c r="X220" s="15">
        <f t="shared" ref="X220:X227" si="45">IF(T220=1,W220,(W220-0))</f>
        <v>116</v>
      </c>
      <c r="Y220" s="15">
        <f t="shared" ref="Y220:Y227" si="46">IF(T220=1,W220,(X220*T220))</f>
        <v>232</v>
      </c>
      <c r="Z220" s="4"/>
      <c r="AA220" s="4"/>
      <c r="AB220" s="13"/>
      <c r="AF220" s="4">
        <v>2</v>
      </c>
      <c r="AG220" s="4" t="s">
        <v>251</v>
      </c>
      <c r="AH220" s="4">
        <f t="shared" si="42"/>
        <v>898</v>
      </c>
      <c r="AI220" s="4">
        <f t="shared" si="43"/>
        <v>898</v>
      </c>
      <c r="AJ220" s="4">
        <f t="shared" si="38"/>
        <v>1796</v>
      </c>
      <c r="AK220" s="15"/>
      <c r="AL220" s="4"/>
      <c r="AM220" s="13"/>
      <c r="AO220" s="13"/>
      <c r="AQ220" s="4"/>
      <c r="AR220" s="4">
        <v>214</v>
      </c>
      <c r="AS220" s="4"/>
    </row>
    <row r="221" spans="1:72">
      <c r="A221" s="1">
        <v>46101</v>
      </c>
      <c r="B221" s="16">
        <v>0.67274305555555558</v>
      </c>
      <c r="C221" t="s">
        <v>221</v>
      </c>
      <c r="D221" t="s">
        <v>101</v>
      </c>
      <c r="E221">
        <v>18</v>
      </c>
      <c r="F221" t="s">
        <v>92</v>
      </c>
      <c r="G221">
        <v>1</v>
      </c>
      <c r="H221">
        <v>1</v>
      </c>
      <c r="I221" t="s">
        <v>64</v>
      </c>
      <c r="J221" t="s">
        <v>65</v>
      </c>
      <c r="K221">
        <v>0.10199999999999999</v>
      </c>
      <c r="L221">
        <v>2.0299999999999998</v>
      </c>
      <c r="M221">
        <v>23.3</v>
      </c>
      <c r="N221" t="s">
        <v>66</v>
      </c>
      <c r="O221" t="s">
        <v>67</v>
      </c>
      <c r="P221">
        <v>0.47</v>
      </c>
      <c r="Q221">
        <v>6.3</v>
      </c>
      <c r="R221">
        <v>276</v>
      </c>
      <c r="S221" s="4"/>
      <c r="T221" s="4">
        <v>1</v>
      </c>
      <c r="U221" s="4">
        <v>1</v>
      </c>
      <c r="V221" s="4"/>
      <c r="W221" s="13">
        <f t="shared" si="44"/>
        <v>23.3</v>
      </c>
      <c r="X221" s="15">
        <f t="shared" si="45"/>
        <v>23.3</v>
      </c>
      <c r="Y221" s="15">
        <f t="shared" si="46"/>
        <v>23.3</v>
      </c>
      <c r="Z221" s="4">
        <f>100*(Y221-25)/25</f>
        <v>-6.799999999999998</v>
      </c>
      <c r="AA221" s="4" t="str">
        <f>IF((ABS(Z221))&lt;=20,"PASS","FAIL")</f>
        <v>PASS</v>
      </c>
      <c r="AF221" s="4">
        <v>1</v>
      </c>
      <c r="AG221" s="4"/>
      <c r="AH221" s="4">
        <f t="shared" si="42"/>
        <v>276</v>
      </c>
      <c r="AI221" s="4">
        <f t="shared" si="43"/>
        <v>276</v>
      </c>
      <c r="AJ221" s="4">
        <f t="shared" si="38"/>
        <v>276</v>
      </c>
      <c r="AK221" s="15">
        <f>100*(AJ221-250)/250</f>
        <v>10.4</v>
      </c>
      <c r="AL221" s="4" t="str">
        <f>IF((ABS(AK221))&lt;=20,"PASS","FAIL")</f>
        <v>PASS</v>
      </c>
      <c r="AM221" s="13"/>
      <c r="AO221" s="13"/>
      <c r="AQ221" s="4"/>
      <c r="AR221" s="4">
        <v>215</v>
      </c>
      <c r="AS221" s="4"/>
    </row>
    <row r="222" spans="1:72">
      <c r="A222" s="1">
        <v>46101</v>
      </c>
      <c r="B222" s="16">
        <v>0.67364583333333339</v>
      </c>
      <c r="C222" t="s">
        <v>221</v>
      </c>
      <c r="D222" t="s">
        <v>233</v>
      </c>
      <c r="E222">
        <v>187</v>
      </c>
      <c r="F222" t="s">
        <v>63</v>
      </c>
      <c r="G222">
        <v>1</v>
      </c>
      <c r="H222">
        <v>1</v>
      </c>
      <c r="I222" t="s">
        <v>64</v>
      </c>
      <c r="J222" t="s">
        <v>65</v>
      </c>
      <c r="K222">
        <v>0.16</v>
      </c>
      <c r="L222">
        <v>3.14</v>
      </c>
      <c r="M222">
        <v>56.1</v>
      </c>
      <c r="N222" t="s">
        <v>66</v>
      </c>
      <c r="O222" t="s">
        <v>67</v>
      </c>
      <c r="P222">
        <v>1.48</v>
      </c>
      <c r="Q222">
        <v>19.399999999999999</v>
      </c>
      <c r="R222">
        <v>1100</v>
      </c>
      <c r="T222" s="4">
        <v>2</v>
      </c>
      <c r="U222" s="4">
        <v>3</v>
      </c>
      <c r="V222" s="4" t="s">
        <v>250</v>
      </c>
      <c r="W222" s="13">
        <f t="shared" si="44"/>
        <v>56.1</v>
      </c>
      <c r="X222" s="15">
        <f t="shared" si="45"/>
        <v>56.1</v>
      </c>
      <c r="Y222" s="15">
        <f t="shared" si="46"/>
        <v>112.2</v>
      </c>
      <c r="Z222" s="4"/>
      <c r="AA222" s="4"/>
      <c r="AF222" s="4">
        <v>2</v>
      </c>
      <c r="AG222" s="4" t="s">
        <v>251</v>
      </c>
      <c r="AH222" s="4">
        <f t="shared" si="42"/>
        <v>1100</v>
      </c>
      <c r="AI222" s="4">
        <f t="shared" si="43"/>
        <v>1100</v>
      </c>
      <c r="AJ222" s="4">
        <f t="shared" ref="AJ222:AJ227" si="47">IF(T222=1,AH222,(AI222*T222))</f>
        <v>2200</v>
      </c>
      <c r="AK222" s="15"/>
      <c r="AL222" s="4"/>
      <c r="AM222" s="13"/>
      <c r="AO222" s="13"/>
      <c r="AQ222" s="4"/>
      <c r="AR222" s="4">
        <v>216</v>
      </c>
      <c r="AS222" s="4"/>
    </row>
    <row r="223" spans="1:72">
      <c r="A223" s="1">
        <v>46101</v>
      </c>
      <c r="B223" s="16">
        <v>0.67454861111111108</v>
      </c>
      <c r="C223" t="s">
        <v>221</v>
      </c>
      <c r="D223" t="s">
        <v>234</v>
      </c>
      <c r="E223">
        <v>188</v>
      </c>
      <c r="F223" t="s">
        <v>63</v>
      </c>
      <c r="G223">
        <v>1</v>
      </c>
      <c r="H223">
        <v>1</v>
      </c>
      <c r="I223" t="s">
        <v>64</v>
      </c>
      <c r="J223" t="s">
        <v>65</v>
      </c>
      <c r="K223">
        <v>0.11799999999999999</v>
      </c>
      <c r="L223">
        <v>2.33</v>
      </c>
      <c r="M223">
        <v>32.1</v>
      </c>
      <c r="N223" t="s">
        <v>66</v>
      </c>
      <c r="O223" t="s">
        <v>67</v>
      </c>
      <c r="P223">
        <v>1.84</v>
      </c>
      <c r="Q223">
        <v>24.2</v>
      </c>
      <c r="R223">
        <v>1390</v>
      </c>
      <c r="T223" s="4">
        <v>5</v>
      </c>
      <c r="U223" s="4">
        <v>3</v>
      </c>
      <c r="V223" s="4" t="s">
        <v>250</v>
      </c>
      <c r="W223" s="13">
        <f t="shared" si="44"/>
        <v>32.1</v>
      </c>
      <c r="X223" s="15">
        <f t="shared" si="45"/>
        <v>32.1</v>
      </c>
      <c r="Y223" s="15">
        <f t="shared" si="46"/>
        <v>160.5</v>
      </c>
      <c r="Z223" s="4"/>
      <c r="AA223" s="4"/>
      <c r="AF223" s="4">
        <v>2</v>
      </c>
      <c r="AG223" s="4" t="s">
        <v>251</v>
      </c>
      <c r="AH223" s="4">
        <f t="shared" si="42"/>
        <v>1390</v>
      </c>
      <c r="AI223" s="4">
        <f t="shared" si="43"/>
        <v>1390</v>
      </c>
      <c r="AJ223" s="4">
        <f t="shared" si="47"/>
        <v>6950</v>
      </c>
      <c r="AK223" s="15"/>
      <c r="AL223" s="4"/>
      <c r="AM223" s="13"/>
      <c r="AO223" s="13"/>
      <c r="AQ223" s="4"/>
      <c r="AR223" s="4">
        <v>217</v>
      </c>
      <c r="AS223" s="4"/>
    </row>
    <row r="224" spans="1:72">
      <c r="A224" s="1">
        <v>46101</v>
      </c>
      <c r="B224" s="16">
        <v>0.67543981481481485</v>
      </c>
      <c r="C224" t="s">
        <v>221</v>
      </c>
      <c r="D224" t="s">
        <v>235</v>
      </c>
      <c r="E224">
        <v>189</v>
      </c>
      <c r="F224" t="s">
        <v>63</v>
      </c>
      <c r="G224">
        <v>1</v>
      </c>
      <c r="H224">
        <v>1</v>
      </c>
      <c r="I224" t="s">
        <v>64</v>
      </c>
      <c r="J224" t="s">
        <v>65</v>
      </c>
      <c r="K224">
        <v>6.25E-2</v>
      </c>
      <c r="L224">
        <v>1.34</v>
      </c>
      <c r="M224">
        <v>2.62</v>
      </c>
      <c r="N224" t="s">
        <v>66</v>
      </c>
      <c r="O224" t="s">
        <v>67</v>
      </c>
      <c r="P224">
        <v>1.35</v>
      </c>
      <c r="Q224">
        <v>17.7</v>
      </c>
      <c r="R224">
        <v>1000</v>
      </c>
      <c r="T224" s="4">
        <v>2</v>
      </c>
      <c r="U224" s="4">
        <v>3</v>
      </c>
      <c r="V224" s="4" t="s">
        <v>250</v>
      </c>
      <c r="W224" s="13">
        <f t="shared" si="44"/>
        <v>2.62</v>
      </c>
      <c r="X224" s="15">
        <f t="shared" si="45"/>
        <v>2.62</v>
      </c>
      <c r="Y224" s="15">
        <f t="shared" si="46"/>
        <v>5.24</v>
      </c>
      <c r="Z224" s="4"/>
      <c r="AA224" s="4"/>
      <c r="AF224" s="4">
        <v>2</v>
      </c>
      <c r="AG224" s="4" t="s">
        <v>251</v>
      </c>
      <c r="AH224" s="4">
        <f t="shared" si="42"/>
        <v>1000</v>
      </c>
      <c r="AI224" s="4">
        <f t="shared" si="43"/>
        <v>1000</v>
      </c>
      <c r="AJ224" s="4">
        <f t="shared" si="47"/>
        <v>2000</v>
      </c>
      <c r="AK224" s="15"/>
      <c r="AL224" s="4"/>
      <c r="AM224" s="13"/>
      <c r="AO224" s="15"/>
      <c r="AP224" s="4"/>
      <c r="AQ224" s="4"/>
      <c r="AR224" s="4">
        <v>218</v>
      </c>
      <c r="AS224" s="4"/>
    </row>
    <row r="225" spans="1:45">
      <c r="A225" s="1">
        <v>46101</v>
      </c>
      <c r="B225" s="16">
        <v>0.67634259259259255</v>
      </c>
      <c r="C225" t="s">
        <v>221</v>
      </c>
      <c r="D225" t="s">
        <v>236</v>
      </c>
      <c r="E225">
        <v>190</v>
      </c>
      <c r="F225" t="s">
        <v>63</v>
      </c>
      <c r="G225">
        <v>1</v>
      </c>
      <c r="H225">
        <v>1</v>
      </c>
      <c r="I225" t="s">
        <v>64</v>
      </c>
      <c r="J225" t="s">
        <v>65</v>
      </c>
      <c r="K225">
        <v>7.6200000000000004E-2</v>
      </c>
      <c r="L225">
        <v>1.57</v>
      </c>
      <c r="M225">
        <v>9.4499999999999993</v>
      </c>
      <c r="N225" t="s">
        <v>66</v>
      </c>
      <c r="O225" t="s">
        <v>67</v>
      </c>
      <c r="P225">
        <v>1.41</v>
      </c>
      <c r="Q225">
        <v>18.399999999999999</v>
      </c>
      <c r="R225">
        <v>1040</v>
      </c>
      <c r="S225" s="4"/>
      <c r="T225" s="4">
        <v>5</v>
      </c>
      <c r="U225" s="4">
        <v>3</v>
      </c>
      <c r="V225" s="4" t="s">
        <v>250</v>
      </c>
      <c r="W225" s="13">
        <f t="shared" si="44"/>
        <v>9.4499999999999993</v>
      </c>
      <c r="X225" s="15">
        <f t="shared" si="45"/>
        <v>9.4499999999999993</v>
      </c>
      <c r="Y225" s="15">
        <f t="shared" si="46"/>
        <v>47.25</v>
      </c>
      <c r="Z225" s="4"/>
      <c r="AA225" s="4"/>
      <c r="AF225" s="4">
        <v>2</v>
      </c>
      <c r="AG225" s="4" t="s">
        <v>251</v>
      </c>
      <c r="AH225" s="4">
        <f t="shared" si="42"/>
        <v>1040</v>
      </c>
      <c r="AI225" s="4">
        <f t="shared" si="43"/>
        <v>1040</v>
      </c>
      <c r="AJ225" s="4">
        <f t="shared" si="47"/>
        <v>5200</v>
      </c>
      <c r="AK225" s="15"/>
      <c r="AL225" s="4"/>
      <c r="AM225" s="15"/>
      <c r="AN225" s="4"/>
      <c r="AO225" s="13"/>
      <c r="AQ225" s="4"/>
      <c r="AR225" s="4">
        <v>219</v>
      </c>
      <c r="AS225" s="4"/>
    </row>
    <row r="226" spans="1:45">
      <c r="A226" s="1">
        <v>46101</v>
      </c>
      <c r="B226" s="16">
        <v>0.67723379629629632</v>
      </c>
      <c r="C226" t="s">
        <v>221</v>
      </c>
      <c r="D226" t="s">
        <v>237</v>
      </c>
      <c r="E226">
        <v>191</v>
      </c>
      <c r="F226" t="s">
        <v>63</v>
      </c>
      <c r="G226">
        <v>1</v>
      </c>
      <c r="H226">
        <v>1</v>
      </c>
      <c r="I226" t="s">
        <v>64</v>
      </c>
      <c r="J226" t="s">
        <v>65</v>
      </c>
      <c r="K226">
        <v>0.156</v>
      </c>
      <c r="L226">
        <v>2.91</v>
      </c>
      <c r="M226">
        <v>49.4</v>
      </c>
      <c r="N226" t="s">
        <v>66</v>
      </c>
      <c r="O226" t="s">
        <v>67</v>
      </c>
      <c r="P226">
        <v>1.43</v>
      </c>
      <c r="Q226">
        <v>18.8</v>
      </c>
      <c r="R226">
        <v>1070</v>
      </c>
      <c r="T226" s="4">
        <v>2</v>
      </c>
      <c r="U226" s="4">
        <v>3</v>
      </c>
      <c r="V226" s="4" t="s">
        <v>250</v>
      </c>
      <c r="W226" s="13">
        <f t="shared" si="44"/>
        <v>49.4</v>
      </c>
      <c r="X226" s="15">
        <f t="shared" si="45"/>
        <v>49.4</v>
      </c>
      <c r="Y226" s="15">
        <f t="shared" si="46"/>
        <v>98.8</v>
      </c>
      <c r="Z226" s="4"/>
      <c r="AA226" s="4"/>
      <c r="AB226" s="4"/>
      <c r="AC226" s="4"/>
      <c r="AF226" s="4">
        <v>2</v>
      </c>
      <c r="AG226" s="4" t="s">
        <v>251</v>
      </c>
      <c r="AH226" s="4">
        <f t="shared" si="42"/>
        <v>1070</v>
      </c>
      <c r="AI226" s="4">
        <f t="shared" si="43"/>
        <v>1070</v>
      </c>
      <c r="AJ226" s="4">
        <f t="shared" si="47"/>
        <v>2140</v>
      </c>
      <c r="AK226" s="15"/>
      <c r="AL226" s="4"/>
      <c r="AM226" s="13"/>
      <c r="AO226" s="13"/>
      <c r="AQ226" s="4"/>
      <c r="AR226" s="4">
        <v>220</v>
      </c>
      <c r="AS226" s="4"/>
    </row>
    <row r="227" spans="1:45">
      <c r="A227" s="1">
        <v>46101</v>
      </c>
      <c r="B227" s="16">
        <v>0.67813657407407413</v>
      </c>
      <c r="C227" t="s">
        <v>221</v>
      </c>
      <c r="D227" t="s">
        <v>238</v>
      </c>
      <c r="E227">
        <v>192</v>
      </c>
      <c r="F227" t="s">
        <v>63</v>
      </c>
      <c r="G227">
        <v>1</v>
      </c>
      <c r="H227">
        <v>1</v>
      </c>
      <c r="I227" t="s">
        <v>64</v>
      </c>
      <c r="J227" t="s">
        <v>65</v>
      </c>
      <c r="K227">
        <v>6.5000000000000002E-2</v>
      </c>
      <c r="L227">
        <v>1.38</v>
      </c>
      <c r="M227">
        <v>3.89</v>
      </c>
      <c r="N227" t="s">
        <v>66</v>
      </c>
      <c r="O227" t="s">
        <v>67</v>
      </c>
      <c r="P227">
        <v>2.39</v>
      </c>
      <c r="Q227">
        <v>31.2</v>
      </c>
      <c r="R227">
        <v>1780</v>
      </c>
      <c r="T227" s="4">
        <v>2</v>
      </c>
      <c r="U227" s="4">
        <v>3</v>
      </c>
      <c r="V227" s="4" t="s">
        <v>250</v>
      </c>
      <c r="W227" s="13">
        <f t="shared" si="44"/>
        <v>3.89</v>
      </c>
      <c r="X227" s="15">
        <f t="shared" si="45"/>
        <v>3.89</v>
      </c>
      <c r="Y227" s="15">
        <f t="shared" si="46"/>
        <v>7.78</v>
      </c>
      <c r="Z227" s="4"/>
      <c r="AA227" s="4"/>
      <c r="AD227" s="4"/>
      <c r="AE227" s="4"/>
      <c r="AF227" s="4">
        <v>2</v>
      </c>
      <c r="AG227" s="4" t="s">
        <v>251</v>
      </c>
      <c r="AH227" s="4">
        <f t="shared" si="42"/>
        <v>1780</v>
      </c>
      <c r="AI227" s="4">
        <f t="shared" si="43"/>
        <v>1780</v>
      </c>
      <c r="AJ227" s="4">
        <f t="shared" si="47"/>
        <v>3560</v>
      </c>
      <c r="AK227" s="15"/>
      <c r="AL227" s="4"/>
      <c r="AM227" s="15"/>
      <c r="AN227" s="4"/>
      <c r="AO227" s="13"/>
      <c r="AQ227" s="4"/>
      <c r="AR227" s="4">
        <v>221</v>
      </c>
      <c r="AS227" s="4"/>
    </row>
    <row r="228" spans="1:45">
      <c r="A228" s="1">
        <v>46101</v>
      </c>
      <c r="B228" s="16">
        <v>0.67901620370370375</v>
      </c>
      <c r="C228" t="s">
        <v>221</v>
      </c>
      <c r="D228" t="s">
        <v>239</v>
      </c>
      <c r="E228">
        <v>58</v>
      </c>
      <c r="F228" t="s">
        <v>63</v>
      </c>
      <c r="G228">
        <v>1</v>
      </c>
      <c r="H228">
        <v>1</v>
      </c>
      <c r="I228" t="s">
        <v>64</v>
      </c>
      <c r="J228" t="s">
        <v>65</v>
      </c>
      <c r="K228">
        <v>0.158</v>
      </c>
      <c r="L228">
        <v>3.22</v>
      </c>
      <c r="M228">
        <v>58.6</v>
      </c>
      <c r="N228" t="s">
        <v>66</v>
      </c>
      <c r="O228" t="s">
        <v>67</v>
      </c>
      <c r="P228">
        <v>0.91900000000000004</v>
      </c>
      <c r="Q228">
        <v>12.1</v>
      </c>
      <c r="R228">
        <v>648</v>
      </c>
      <c r="T228" s="4">
        <v>1</v>
      </c>
      <c r="U228" s="4">
        <v>2</v>
      </c>
      <c r="V228" s="4" t="s">
        <v>249</v>
      </c>
      <c r="W228" s="13">
        <f t="shared" ref="W228:W232" si="48">M228*H228</f>
        <v>58.6</v>
      </c>
      <c r="X228" s="15">
        <f t="shared" ref="X228:X232" si="49">IF(T228=1,W228,(W228-0))</f>
        <v>58.6</v>
      </c>
      <c r="Y228" s="15">
        <f t="shared" ref="Y228:Y232" si="50">IF(T228=1,W228,(X228*T228))</f>
        <v>58.6</v>
      </c>
      <c r="Z228" s="4"/>
      <c r="AA228" s="4"/>
      <c r="AB228" s="4"/>
      <c r="AC228" s="4"/>
      <c r="AF228" s="4">
        <v>2</v>
      </c>
      <c r="AG228" s="4" t="s">
        <v>249</v>
      </c>
      <c r="AH228" s="4">
        <f t="shared" ref="AH228:AH232" si="51">R228*H228</f>
        <v>648</v>
      </c>
      <c r="AI228" s="4">
        <f t="shared" ref="AI228:AI232" si="52">IF(T228=1,AH228,(AH228-0))</f>
        <v>648</v>
      </c>
      <c r="AJ228" s="4">
        <f t="shared" ref="AJ228:AJ232" si="53">IF(T228=1,AH228,(AI228*T228))</f>
        <v>648</v>
      </c>
      <c r="AK228" s="15"/>
      <c r="AL228" s="4"/>
      <c r="AM228" s="13"/>
      <c r="AO228" s="15"/>
      <c r="AP228" s="4"/>
      <c r="AQ228" s="4"/>
      <c r="AR228" s="4">
        <v>222</v>
      </c>
      <c r="AS228" s="4"/>
    </row>
    <row r="229" spans="1:45">
      <c r="A229" s="1">
        <v>46101</v>
      </c>
      <c r="B229" s="16">
        <v>0.6799074074074074</v>
      </c>
      <c r="C229" t="s">
        <v>221</v>
      </c>
      <c r="D229" t="s">
        <v>240</v>
      </c>
      <c r="E229">
        <v>82</v>
      </c>
      <c r="F229" t="s">
        <v>63</v>
      </c>
      <c r="G229">
        <v>1</v>
      </c>
      <c r="H229">
        <v>1</v>
      </c>
      <c r="I229" t="s">
        <v>64</v>
      </c>
      <c r="J229" t="s">
        <v>65</v>
      </c>
      <c r="K229">
        <v>7.3700000000000002E-2</v>
      </c>
      <c r="L229">
        <v>1.67</v>
      </c>
      <c r="M229">
        <v>12.4</v>
      </c>
      <c r="N229" t="s">
        <v>66</v>
      </c>
      <c r="O229" t="s">
        <v>67</v>
      </c>
      <c r="P229">
        <v>4.5</v>
      </c>
      <c r="Q229">
        <v>60</v>
      </c>
      <c r="R229">
        <v>3190</v>
      </c>
      <c r="S229" s="4"/>
      <c r="T229" s="4">
        <v>1</v>
      </c>
      <c r="U229" s="4">
        <v>1</v>
      </c>
      <c r="V229" s="4"/>
      <c r="W229" s="13">
        <f t="shared" si="48"/>
        <v>12.4</v>
      </c>
      <c r="X229" s="15">
        <f t="shared" si="49"/>
        <v>12.4</v>
      </c>
      <c r="Y229" s="15">
        <f t="shared" si="50"/>
        <v>12.4</v>
      </c>
      <c r="Z229" s="4"/>
      <c r="AA229" s="4"/>
      <c r="AD229" s="4"/>
      <c r="AE229" s="4"/>
      <c r="AF229" s="4">
        <v>3</v>
      </c>
      <c r="AG229" s="4" t="s">
        <v>193</v>
      </c>
      <c r="AH229" s="4">
        <f t="shared" si="51"/>
        <v>3190</v>
      </c>
      <c r="AI229" s="4">
        <f t="shared" si="52"/>
        <v>3190</v>
      </c>
      <c r="AJ229" s="4">
        <f t="shared" si="53"/>
        <v>3190</v>
      </c>
      <c r="AK229" s="15"/>
      <c r="AL229" s="4"/>
      <c r="AM229" s="15"/>
      <c r="AN229" s="4"/>
      <c r="AO229" s="13"/>
      <c r="AQ229" s="4"/>
      <c r="AR229" s="4">
        <v>223</v>
      </c>
      <c r="AS229" s="5"/>
    </row>
    <row r="230" spans="1:45">
      <c r="A230" s="1">
        <v>46101</v>
      </c>
      <c r="B230" s="16">
        <v>0.68079861111111106</v>
      </c>
      <c r="C230" t="s">
        <v>221</v>
      </c>
      <c r="D230" t="s">
        <v>241</v>
      </c>
      <c r="E230">
        <v>193</v>
      </c>
      <c r="F230" t="s">
        <v>63</v>
      </c>
      <c r="G230">
        <v>1</v>
      </c>
      <c r="H230">
        <v>1</v>
      </c>
      <c r="I230" t="s">
        <v>64</v>
      </c>
      <c r="J230" t="s">
        <v>65</v>
      </c>
      <c r="K230">
        <v>0.28999999999999998</v>
      </c>
      <c r="L230">
        <v>5.47</v>
      </c>
      <c r="M230">
        <v>124</v>
      </c>
      <c r="N230" t="s">
        <v>66</v>
      </c>
      <c r="O230" t="s">
        <v>67</v>
      </c>
      <c r="P230">
        <v>0.93200000000000005</v>
      </c>
      <c r="Q230">
        <v>12.4</v>
      </c>
      <c r="R230">
        <v>668</v>
      </c>
      <c r="T230" s="4">
        <v>4</v>
      </c>
      <c r="U230" s="4">
        <v>2</v>
      </c>
      <c r="V230" s="4" t="s">
        <v>251</v>
      </c>
      <c r="W230" s="13">
        <f t="shared" si="48"/>
        <v>124</v>
      </c>
      <c r="X230" s="15">
        <f t="shared" si="49"/>
        <v>124</v>
      </c>
      <c r="Y230" s="15">
        <f t="shared" si="50"/>
        <v>496</v>
      </c>
      <c r="Z230" s="4"/>
      <c r="AA230" s="4"/>
      <c r="AB230" s="4"/>
      <c r="AC230" s="4"/>
      <c r="AF230" s="4">
        <v>3</v>
      </c>
      <c r="AG230" s="4" t="s">
        <v>263</v>
      </c>
      <c r="AH230" s="4">
        <f t="shared" si="51"/>
        <v>668</v>
      </c>
      <c r="AI230" s="4">
        <f t="shared" si="52"/>
        <v>668</v>
      </c>
      <c r="AJ230" s="4">
        <f t="shared" si="53"/>
        <v>2672</v>
      </c>
      <c r="AK230" s="15"/>
      <c r="AL230" s="4"/>
      <c r="AM230" s="13"/>
      <c r="AO230" s="13"/>
      <c r="AQ230" s="4"/>
      <c r="AR230" s="4">
        <v>224</v>
      </c>
      <c r="AS230" s="5"/>
    </row>
    <row r="231" spans="1:45">
      <c r="A231" s="1">
        <v>46101</v>
      </c>
      <c r="B231" s="16">
        <v>0.68170138888888887</v>
      </c>
      <c r="C231" t="s">
        <v>221</v>
      </c>
      <c r="D231" t="s">
        <v>242</v>
      </c>
      <c r="E231">
        <v>194</v>
      </c>
      <c r="F231" t="s">
        <v>63</v>
      </c>
      <c r="G231">
        <v>1</v>
      </c>
      <c r="H231">
        <v>1</v>
      </c>
      <c r="I231" t="s">
        <v>64</v>
      </c>
      <c r="J231" t="s">
        <v>65</v>
      </c>
      <c r="K231">
        <v>0.22900000000000001</v>
      </c>
      <c r="L231">
        <v>4.38</v>
      </c>
      <c r="M231">
        <v>92.6</v>
      </c>
      <c r="N231" t="s">
        <v>66</v>
      </c>
      <c r="O231" t="s">
        <v>67</v>
      </c>
      <c r="P231">
        <v>1.08</v>
      </c>
      <c r="Q231">
        <v>14.1</v>
      </c>
      <c r="R231">
        <v>777</v>
      </c>
      <c r="S231" s="4"/>
      <c r="T231" s="4">
        <v>4</v>
      </c>
      <c r="U231" s="4">
        <v>2</v>
      </c>
      <c r="V231" s="4" t="s">
        <v>251</v>
      </c>
      <c r="W231" s="13">
        <f t="shared" si="48"/>
        <v>92.6</v>
      </c>
      <c r="X231" s="15">
        <f t="shared" si="49"/>
        <v>92.6</v>
      </c>
      <c r="Y231" s="15">
        <f t="shared" si="50"/>
        <v>370.4</v>
      </c>
      <c r="Z231" s="4"/>
      <c r="AA231" s="4"/>
      <c r="AF231" s="4">
        <v>3</v>
      </c>
      <c r="AG231" s="4" t="s">
        <v>263</v>
      </c>
      <c r="AH231" s="4">
        <f t="shared" si="51"/>
        <v>777</v>
      </c>
      <c r="AI231" s="4">
        <f t="shared" si="52"/>
        <v>777</v>
      </c>
      <c r="AJ231" s="4">
        <f t="shared" si="53"/>
        <v>3108</v>
      </c>
      <c r="AK231" s="15"/>
      <c r="AL231" s="4"/>
      <c r="AM231" s="13"/>
      <c r="AO231" s="13"/>
      <c r="AQ231" s="4"/>
      <c r="AR231" s="4">
        <v>225</v>
      </c>
      <c r="AS231" s="5"/>
    </row>
    <row r="232" spans="1:45">
      <c r="A232" s="1">
        <v>46101</v>
      </c>
      <c r="B232" s="16">
        <v>0.68259259259259264</v>
      </c>
      <c r="C232" t="s">
        <v>221</v>
      </c>
      <c r="D232" t="s">
        <v>243</v>
      </c>
      <c r="E232">
        <v>195</v>
      </c>
      <c r="F232" t="s">
        <v>63</v>
      </c>
      <c r="G232">
        <v>1</v>
      </c>
      <c r="H232">
        <v>1</v>
      </c>
      <c r="I232" t="s">
        <v>64</v>
      </c>
      <c r="J232" t="s">
        <v>65</v>
      </c>
      <c r="K232">
        <v>0.25700000000000001</v>
      </c>
      <c r="L232">
        <v>4.8600000000000003</v>
      </c>
      <c r="M232">
        <v>106</v>
      </c>
      <c r="N232" t="s">
        <v>66</v>
      </c>
      <c r="O232" t="s">
        <v>67</v>
      </c>
      <c r="P232">
        <v>0.89</v>
      </c>
      <c r="Q232">
        <v>11.7</v>
      </c>
      <c r="R232">
        <v>628</v>
      </c>
      <c r="T232" s="4">
        <v>4</v>
      </c>
      <c r="U232" s="4">
        <v>2</v>
      </c>
      <c r="V232" s="4" t="s">
        <v>251</v>
      </c>
      <c r="W232" s="13">
        <f t="shared" si="48"/>
        <v>106</v>
      </c>
      <c r="X232" s="15">
        <f t="shared" si="49"/>
        <v>106</v>
      </c>
      <c r="Y232" s="15">
        <f t="shared" si="50"/>
        <v>424</v>
      </c>
      <c r="Z232" s="4"/>
      <c r="AA232" s="4"/>
      <c r="AF232" s="4">
        <v>3</v>
      </c>
      <c r="AG232" s="4" t="s">
        <v>263</v>
      </c>
      <c r="AH232" s="4">
        <f t="shared" si="51"/>
        <v>628</v>
      </c>
      <c r="AI232" s="4">
        <f t="shared" si="52"/>
        <v>628</v>
      </c>
      <c r="AJ232" s="4">
        <f t="shared" si="53"/>
        <v>2512</v>
      </c>
      <c r="AK232" s="15"/>
      <c r="AL232" s="4"/>
      <c r="AM232" s="13"/>
      <c r="AO232" s="13"/>
      <c r="AQ232" s="4"/>
      <c r="AR232" s="4">
        <v>226</v>
      </c>
    </row>
    <row r="233" spans="1:45">
      <c r="A233" s="1">
        <v>46101</v>
      </c>
      <c r="B233" s="16">
        <v>0.68349537037037034</v>
      </c>
      <c r="C233" t="s">
        <v>221</v>
      </c>
      <c r="D233" t="s">
        <v>244</v>
      </c>
      <c r="E233">
        <v>196</v>
      </c>
      <c r="F233" t="s">
        <v>63</v>
      </c>
      <c r="G233">
        <v>1</v>
      </c>
      <c r="H233">
        <v>1</v>
      </c>
      <c r="I233" t="s">
        <v>64</v>
      </c>
      <c r="J233" t="s">
        <v>65</v>
      </c>
      <c r="K233">
        <v>0.251</v>
      </c>
      <c r="L233">
        <v>4.79</v>
      </c>
      <c r="M233">
        <v>104</v>
      </c>
      <c r="N233" t="s">
        <v>66</v>
      </c>
      <c r="O233" t="s">
        <v>67</v>
      </c>
      <c r="P233">
        <v>0.81399999999999995</v>
      </c>
      <c r="Q233">
        <v>10.8</v>
      </c>
      <c r="R233">
        <v>567</v>
      </c>
      <c r="S233" s="4"/>
      <c r="T233" s="4">
        <v>4</v>
      </c>
      <c r="U233" s="4">
        <v>2</v>
      </c>
      <c r="V233" s="4" t="s">
        <v>251</v>
      </c>
      <c r="W233" s="13">
        <f t="shared" ref="W233:W247" si="54">M233*H233</f>
        <v>104</v>
      </c>
      <c r="X233" s="15">
        <f t="shared" ref="X233:X247" si="55">IF(T233=1,W233,(W233-0))</f>
        <v>104</v>
      </c>
      <c r="Y233" s="15">
        <f t="shared" ref="Y233:Y247" si="56">IF(T233=1,W233,(X233*T233))</f>
        <v>416</v>
      </c>
      <c r="Z233" s="4"/>
      <c r="AA233" s="4"/>
      <c r="AF233" s="4">
        <v>3</v>
      </c>
      <c r="AG233" s="4" t="s">
        <v>263</v>
      </c>
      <c r="AH233" s="4">
        <f t="shared" ref="AH233:AH247" si="57">R233*H233</f>
        <v>567</v>
      </c>
      <c r="AI233" s="4">
        <f t="shared" ref="AI233:AI247" si="58">IF(T233=1,AH233,(AH233-0))</f>
        <v>567</v>
      </c>
      <c r="AJ233" s="4">
        <f t="shared" ref="AJ233:AJ247" si="59">IF(T233=1,AH233,(AI233*T233))</f>
        <v>2268</v>
      </c>
      <c r="AK233" s="15"/>
      <c r="AL233" s="4"/>
      <c r="AM233" s="13"/>
      <c r="AO233" s="13"/>
      <c r="AQ233" s="4"/>
      <c r="AR233" s="4">
        <v>227</v>
      </c>
    </row>
    <row r="234" spans="1:45">
      <c r="A234" s="1">
        <v>46101</v>
      </c>
      <c r="B234" s="16">
        <v>0.68439814814814814</v>
      </c>
      <c r="C234" t="s">
        <v>221</v>
      </c>
      <c r="D234" t="s">
        <v>245</v>
      </c>
      <c r="E234">
        <v>197</v>
      </c>
      <c r="F234" t="s">
        <v>63</v>
      </c>
      <c r="G234">
        <v>1</v>
      </c>
      <c r="H234">
        <v>1</v>
      </c>
      <c r="I234" t="s">
        <v>64</v>
      </c>
      <c r="J234" t="s">
        <v>65</v>
      </c>
      <c r="K234">
        <v>0.2</v>
      </c>
      <c r="L234">
        <v>3.85</v>
      </c>
      <c r="M234">
        <v>76.900000000000006</v>
      </c>
      <c r="N234" t="s">
        <v>66</v>
      </c>
      <c r="O234" t="s">
        <v>67</v>
      </c>
      <c r="P234">
        <v>0.76500000000000001</v>
      </c>
      <c r="Q234">
        <v>10.1</v>
      </c>
      <c r="R234">
        <v>525</v>
      </c>
      <c r="T234" s="4">
        <v>10</v>
      </c>
      <c r="U234" s="4">
        <v>2</v>
      </c>
      <c r="V234" s="4" t="s">
        <v>251</v>
      </c>
      <c r="W234" s="13">
        <f t="shared" si="54"/>
        <v>76.900000000000006</v>
      </c>
      <c r="X234" s="15">
        <f t="shared" si="55"/>
        <v>76.900000000000006</v>
      </c>
      <c r="Y234" s="15">
        <f t="shared" si="56"/>
        <v>769</v>
      </c>
      <c r="Z234" s="4"/>
      <c r="AA234" s="4"/>
      <c r="AB234" s="13"/>
      <c r="AF234" s="4">
        <v>2</v>
      </c>
      <c r="AG234" s="4" t="s">
        <v>251</v>
      </c>
      <c r="AH234" s="4">
        <f t="shared" si="57"/>
        <v>525</v>
      </c>
      <c r="AI234" s="4">
        <f t="shared" si="58"/>
        <v>525</v>
      </c>
      <c r="AJ234" s="4">
        <f t="shared" si="59"/>
        <v>5250</v>
      </c>
      <c r="AK234" s="15"/>
      <c r="AL234" s="4"/>
      <c r="AM234" s="13"/>
      <c r="AO234" s="13"/>
      <c r="AQ234" s="4"/>
      <c r="AR234" s="4">
        <v>228</v>
      </c>
    </row>
    <row r="235" spans="1:45">
      <c r="A235" s="1">
        <v>46101</v>
      </c>
      <c r="B235" s="16">
        <v>0.6852893518518518</v>
      </c>
      <c r="C235" t="s">
        <v>221</v>
      </c>
      <c r="D235" t="s">
        <v>246</v>
      </c>
      <c r="E235">
        <v>198</v>
      </c>
      <c r="F235" t="s">
        <v>63</v>
      </c>
      <c r="G235">
        <v>1</v>
      </c>
      <c r="H235">
        <v>1</v>
      </c>
      <c r="I235" t="s">
        <v>64</v>
      </c>
      <c r="J235" t="s">
        <v>65</v>
      </c>
      <c r="K235">
        <v>0.312</v>
      </c>
      <c r="L235">
        <v>5.43</v>
      </c>
      <c r="M235">
        <v>123</v>
      </c>
      <c r="N235" t="s">
        <v>66</v>
      </c>
      <c r="O235" t="s">
        <v>67</v>
      </c>
      <c r="P235">
        <v>1.41</v>
      </c>
      <c r="Q235">
        <v>18.399999999999999</v>
      </c>
      <c r="R235">
        <v>1040</v>
      </c>
      <c r="T235" s="4">
        <v>4</v>
      </c>
      <c r="U235" s="4">
        <v>2</v>
      </c>
      <c r="V235" s="4" t="s">
        <v>251</v>
      </c>
      <c r="W235" s="13">
        <f t="shared" si="54"/>
        <v>123</v>
      </c>
      <c r="X235" s="15">
        <f t="shared" si="55"/>
        <v>123</v>
      </c>
      <c r="Y235" s="15">
        <f t="shared" si="56"/>
        <v>492</v>
      </c>
      <c r="Z235" s="4"/>
      <c r="AA235" s="4"/>
      <c r="AF235" s="4">
        <v>2</v>
      </c>
      <c r="AG235" s="4" t="s">
        <v>251</v>
      </c>
      <c r="AH235" s="4">
        <f t="shared" si="57"/>
        <v>1040</v>
      </c>
      <c r="AI235" s="4">
        <f t="shared" si="58"/>
        <v>1040</v>
      </c>
      <c r="AJ235" s="4">
        <f t="shared" si="59"/>
        <v>4160</v>
      </c>
      <c r="AK235" s="15"/>
      <c r="AL235" s="4"/>
      <c r="AM235" s="13"/>
      <c r="AO235" s="13"/>
      <c r="AQ235" s="4"/>
      <c r="AR235" s="4">
        <v>229</v>
      </c>
    </row>
    <row r="236" spans="1:45">
      <c r="A236" s="1">
        <v>46101</v>
      </c>
      <c r="B236" s="16">
        <v>0.68618055555555557</v>
      </c>
      <c r="C236" t="s">
        <v>221</v>
      </c>
      <c r="D236" t="s">
        <v>247</v>
      </c>
      <c r="E236">
        <v>145</v>
      </c>
      <c r="F236" t="s">
        <v>63</v>
      </c>
      <c r="G236">
        <v>1</v>
      </c>
      <c r="H236">
        <v>1</v>
      </c>
      <c r="I236" t="s">
        <v>64</v>
      </c>
      <c r="J236" t="s">
        <v>65</v>
      </c>
      <c r="K236">
        <v>0.20200000000000001</v>
      </c>
      <c r="L236">
        <v>3.92</v>
      </c>
      <c r="M236">
        <v>79.2</v>
      </c>
      <c r="N236" t="s">
        <v>66</v>
      </c>
      <c r="O236" t="s">
        <v>67</v>
      </c>
      <c r="P236">
        <v>0.93799999999999994</v>
      </c>
      <c r="Q236">
        <v>12.4</v>
      </c>
      <c r="R236">
        <v>671</v>
      </c>
      <c r="T236" s="4">
        <v>2</v>
      </c>
      <c r="U236" s="4">
        <v>3</v>
      </c>
      <c r="V236" s="4" t="s">
        <v>253</v>
      </c>
      <c r="W236" s="13">
        <f t="shared" si="54"/>
        <v>79.2</v>
      </c>
      <c r="X236" s="15">
        <f t="shared" si="55"/>
        <v>79.2</v>
      </c>
      <c r="Y236" s="15">
        <f t="shared" si="56"/>
        <v>158.4</v>
      </c>
      <c r="Z236" s="4"/>
      <c r="AA236" s="4"/>
      <c r="AF236" s="4">
        <v>3</v>
      </c>
      <c r="AG236" s="4" t="s">
        <v>254</v>
      </c>
      <c r="AH236" s="4">
        <f t="shared" si="57"/>
        <v>671</v>
      </c>
      <c r="AI236" s="4">
        <f t="shared" si="58"/>
        <v>671</v>
      </c>
      <c r="AJ236" s="4">
        <f t="shared" si="59"/>
        <v>1342</v>
      </c>
      <c r="AK236" s="15"/>
      <c r="AL236" s="4"/>
      <c r="AM236" s="13"/>
      <c r="AO236" s="13"/>
      <c r="AQ236" s="4"/>
      <c r="AR236" s="4">
        <v>230</v>
      </c>
    </row>
    <row r="237" spans="1:45">
      <c r="A237" s="1">
        <v>46101</v>
      </c>
      <c r="B237" s="16">
        <v>0.68708333333333338</v>
      </c>
      <c r="C237" t="s">
        <v>221</v>
      </c>
      <c r="D237" t="s">
        <v>248</v>
      </c>
      <c r="E237">
        <v>181</v>
      </c>
      <c r="F237" t="s">
        <v>63</v>
      </c>
      <c r="G237">
        <v>1</v>
      </c>
      <c r="H237">
        <v>1</v>
      </c>
      <c r="I237" t="s">
        <v>64</v>
      </c>
      <c r="J237" t="s">
        <v>65</v>
      </c>
      <c r="K237">
        <v>0.27500000000000002</v>
      </c>
      <c r="L237">
        <v>5.08</v>
      </c>
      <c r="M237">
        <v>113</v>
      </c>
      <c r="N237" t="s">
        <v>66</v>
      </c>
      <c r="O237" t="s">
        <v>67</v>
      </c>
      <c r="P237">
        <v>1.56</v>
      </c>
      <c r="Q237">
        <v>20.399999999999999</v>
      </c>
      <c r="R237">
        <v>1160</v>
      </c>
      <c r="T237" s="4">
        <v>5</v>
      </c>
      <c r="U237" s="4">
        <v>2</v>
      </c>
      <c r="V237" s="4" t="s">
        <v>251</v>
      </c>
      <c r="W237" s="13">
        <f t="shared" si="54"/>
        <v>113</v>
      </c>
      <c r="X237" s="15">
        <f t="shared" si="55"/>
        <v>113</v>
      </c>
      <c r="Y237" s="15">
        <f t="shared" si="56"/>
        <v>565</v>
      </c>
      <c r="Z237" s="4"/>
      <c r="AA237" s="4"/>
      <c r="AF237" s="4">
        <v>2</v>
      </c>
      <c r="AG237" s="4" t="s">
        <v>251</v>
      </c>
      <c r="AH237" s="4">
        <f t="shared" si="57"/>
        <v>1160</v>
      </c>
      <c r="AI237" s="4">
        <f t="shared" si="58"/>
        <v>1160</v>
      </c>
      <c r="AJ237" s="4">
        <f t="shared" si="59"/>
        <v>5800</v>
      </c>
      <c r="AK237" s="15"/>
      <c r="AL237" s="4"/>
      <c r="AM237" s="13"/>
      <c r="AO237" s="13"/>
      <c r="AQ237" s="4"/>
      <c r="AR237" s="4">
        <v>231</v>
      </c>
    </row>
    <row r="238" spans="1:45">
      <c r="A238" s="1">
        <v>46101</v>
      </c>
      <c r="B238" s="16">
        <v>0.68797453703703704</v>
      </c>
      <c r="C238" t="s">
        <v>221</v>
      </c>
      <c r="D238" t="s">
        <v>208</v>
      </c>
      <c r="E238">
        <v>1</v>
      </c>
      <c r="F238" t="s">
        <v>92</v>
      </c>
      <c r="G238">
        <v>1</v>
      </c>
      <c r="H238">
        <v>1</v>
      </c>
      <c r="I238" t="s">
        <v>64</v>
      </c>
      <c r="J238" t="s">
        <v>65</v>
      </c>
      <c r="K238">
        <v>0.34699999999999998</v>
      </c>
      <c r="L238">
        <v>6.38</v>
      </c>
      <c r="M238">
        <v>150</v>
      </c>
      <c r="N238" t="s">
        <v>66</v>
      </c>
      <c r="O238" t="s">
        <v>67</v>
      </c>
      <c r="P238">
        <v>1.87</v>
      </c>
      <c r="Q238">
        <v>24.5</v>
      </c>
      <c r="R238">
        <v>1400</v>
      </c>
      <c r="T238" s="4">
        <v>1</v>
      </c>
      <c r="U238" s="4">
        <v>1</v>
      </c>
      <c r="V238" s="4"/>
      <c r="W238" s="13">
        <f t="shared" si="54"/>
        <v>150</v>
      </c>
      <c r="X238" s="15">
        <f t="shared" si="55"/>
        <v>150</v>
      </c>
      <c r="Y238" s="15">
        <f t="shared" si="56"/>
        <v>150</v>
      </c>
      <c r="Z238" s="4">
        <f>100*(Y238-150)/150</f>
        <v>0</v>
      </c>
      <c r="AA238" s="4" t="str">
        <f>IF((ABS(Z238))&lt;=20,"PASS","FAIL")</f>
        <v>PASS</v>
      </c>
      <c r="AF238" s="4">
        <v>1</v>
      </c>
      <c r="AG238" s="4"/>
      <c r="AH238" s="4">
        <f t="shared" si="57"/>
        <v>1400</v>
      </c>
      <c r="AI238" s="4">
        <f t="shared" si="58"/>
        <v>1400</v>
      </c>
      <c r="AJ238" s="4">
        <f t="shared" si="59"/>
        <v>1400</v>
      </c>
      <c r="AK238" s="15">
        <f>100*(AJ238-1500)/1500</f>
        <v>-6.666666666666667</v>
      </c>
      <c r="AL238" s="4" t="str">
        <f>IF((ABS(AK238))&lt;=20,"PASS","FAIL")</f>
        <v>PASS</v>
      </c>
      <c r="AM238" s="13"/>
      <c r="AO238" s="13"/>
      <c r="AQ238" s="4"/>
      <c r="AR238" s="4">
        <v>232</v>
      </c>
    </row>
    <row r="239" spans="1:45">
      <c r="A239" s="1">
        <v>46101</v>
      </c>
      <c r="B239" s="16">
        <v>0.68887731481481485</v>
      </c>
      <c r="C239" t="s">
        <v>221</v>
      </c>
      <c r="D239" t="s">
        <v>209</v>
      </c>
      <c r="E239">
        <v>3</v>
      </c>
      <c r="F239" t="s">
        <v>92</v>
      </c>
      <c r="G239">
        <v>1</v>
      </c>
      <c r="H239">
        <v>1</v>
      </c>
      <c r="I239" t="s">
        <v>64</v>
      </c>
      <c r="J239" t="s">
        <v>65</v>
      </c>
      <c r="K239">
        <v>0.248</v>
      </c>
      <c r="L239">
        <v>4.7</v>
      </c>
      <c r="M239">
        <v>102</v>
      </c>
      <c r="N239" t="s">
        <v>66</v>
      </c>
      <c r="O239" t="s">
        <v>67</v>
      </c>
      <c r="P239">
        <v>1.39</v>
      </c>
      <c r="Q239">
        <v>18.2</v>
      </c>
      <c r="R239">
        <v>1030</v>
      </c>
      <c r="T239" s="4">
        <v>1</v>
      </c>
      <c r="U239" s="4">
        <v>1</v>
      </c>
      <c r="V239" s="4"/>
      <c r="W239" s="13">
        <f t="shared" si="54"/>
        <v>102</v>
      </c>
      <c r="X239" s="15">
        <f t="shared" si="55"/>
        <v>102</v>
      </c>
      <c r="Y239" s="15">
        <f t="shared" si="56"/>
        <v>102</v>
      </c>
      <c r="Z239" s="4">
        <f>100*(Y239-100)/100</f>
        <v>2</v>
      </c>
      <c r="AA239" s="4" t="str">
        <f t="shared" ref="AA239:AA243" si="60">IF((ABS(Z239))&lt;=20,"PASS","FAIL")</f>
        <v>PASS</v>
      </c>
      <c r="AF239" s="4">
        <v>1</v>
      </c>
      <c r="AG239" s="4"/>
      <c r="AH239" s="4">
        <f t="shared" si="57"/>
        <v>1030</v>
      </c>
      <c r="AI239" s="4">
        <f t="shared" si="58"/>
        <v>1030</v>
      </c>
      <c r="AJ239" s="4">
        <f t="shared" si="59"/>
        <v>1030</v>
      </c>
      <c r="AK239" s="15">
        <f>100*(AJ239-1000)/1000</f>
        <v>3</v>
      </c>
      <c r="AL239" s="4" t="str">
        <f t="shared" ref="AL239:AL243" si="61">IF((ABS(AK239))&lt;=20,"PASS","FAIL")</f>
        <v>PASS</v>
      </c>
      <c r="AM239" s="13"/>
      <c r="AO239" s="13"/>
      <c r="AQ239" s="4"/>
      <c r="AR239" s="4">
        <v>233</v>
      </c>
    </row>
    <row r="240" spans="1:45">
      <c r="A240" s="1">
        <v>46101</v>
      </c>
      <c r="B240" s="16">
        <v>0.68975694444444446</v>
      </c>
      <c r="C240" t="s">
        <v>221</v>
      </c>
      <c r="D240" t="s">
        <v>210</v>
      </c>
      <c r="E240">
        <v>5</v>
      </c>
      <c r="F240" t="s">
        <v>92</v>
      </c>
      <c r="G240">
        <v>1</v>
      </c>
      <c r="H240">
        <v>1</v>
      </c>
      <c r="I240" t="s">
        <v>64</v>
      </c>
      <c r="J240" t="s">
        <v>65</v>
      </c>
      <c r="K240">
        <v>0.14799999999999999</v>
      </c>
      <c r="L240">
        <v>2.84</v>
      </c>
      <c r="M240">
        <v>47.2</v>
      </c>
      <c r="N240" t="s">
        <v>66</v>
      </c>
      <c r="O240" t="s">
        <v>67</v>
      </c>
      <c r="P240">
        <v>0.73499999999999999</v>
      </c>
      <c r="Q240">
        <v>9.7200000000000006</v>
      </c>
      <c r="R240">
        <v>499</v>
      </c>
      <c r="T240" s="4">
        <v>1</v>
      </c>
      <c r="U240" s="4">
        <v>1</v>
      </c>
      <c r="V240" s="4"/>
      <c r="W240" s="13">
        <f t="shared" si="54"/>
        <v>47.2</v>
      </c>
      <c r="X240" s="15">
        <f t="shared" si="55"/>
        <v>47.2</v>
      </c>
      <c r="Y240" s="15">
        <f t="shared" si="56"/>
        <v>47.2</v>
      </c>
      <c r="Z240" s="4">
        <f>100*(Y240-50)/50</f>
        <v>-5.5999999999999943</v>
      </c>
      <c r="AA240" s="4" t="str">
        <f t="shared" si="60"/>
        <v>PASS</v>
      </c>
      <c r="AF240" s="4">
        <v>1</v>
      </c>
      <c r="AG240" s="4"/>
      <c r="AH240" s="4">
        <f t="shared" si="57"/>
        <v>499</v>
      </c>
      <c r="AI240" s="4">
        <f t="shared" si="58"/>
        <v>499</v>
      </c>
      <c r="AJ240" s="4">
        <f t="shared" si="59"/>
        <v>499</v>
      </c>
      <c r="AK240" s="15">
        <f>100*(AJ240-500)/500</f>
        <v>-0.2</v>
      </c>
      <c r="AL240" s="4" t="str">
        <f t="shared" si="61"/>
        <v>PASS</v>
      </c>
      <c r="AM240" s="13"/>
      <c r="AO240" s="13"/>
      <c r="AQ240" s="4"/>
      <c r="AR240" s="4">
        <v>234</v>
      </c>
    </row>
    <row r="241" spans="1:44">
      <c r="A241" s="1">
        <v>46101</v>
      </c>
      <c r="B241" s="16">
        <v>0.69064814814814812</v>
      </c>
      <c r="C241" t="s">
        <v>221</v>
      </c>
      <c r="D241" t="s">
        <v>101</v>
      </c>
      <c r="E241">
        <v>7</v>
      </c>
      <c r="F241" t="s">
        <v>92</v>
      </c>
      <c r="G241">
        <v>1</v>
      </c>
      <c r="H241">
        <v>1</v>
      </c>
      <c r="I241" t="s">
        <v>64</v>
      </c>
      <c r="J241" t="s">
        <v>65</v>
      </c>
      <c r="K241">
        <v>0.104</v>
      </c>
      <c r="L241">
        <v>2.06</v>
      </c>
      <c r="M241">
        <v>24.2</v>
      </c>
      <c r="N241" t="s">
        <v>66</v>
      </c>
      <c r="O241" t="s">
        <v>67</v>
      </c>
      <c r="P241">
        <v>0.45800000000000002</v>
      </c>
      <c r="Q241">
        <v>6.17</v>
      </c>
      <c r="R241">
        <v>267</v>
      </c>
      <c r="S241" s="4"/>
      <c r="T241" s="4">
        <v>1</v>
      </c>
      <c r="U241" s="4">
        <v>1</v>
      </c>
      <c r="V241" s="4"/>
      <c r="W241" s="13">
        <f t="shared" si="54"/>
        <v>24.2</v>
      </c>
      <c r="X241" s="15">
        <f t="shared" si="55"/>
        <v>24.2</v>
      </c>
      <c r="Y241" s="15">
        <f t="shared" si="56"/>
        <v>24.2</v>
      </c>
      <c r="Z241" s="4">
        <f>100*(Y241-25)/25</f>
        <v>-3.2000000000000028</v>
      </c>
      <c r="AA241" s="4" t="str">
        <f t="shared" si="60"/>
        <v>PASS</v>
      </c>
      <c r="AF241" s="4">
        <v>1</v>
      </c>
      <c r="AG241" s="4"/>
      <c r="AH241" s="4">
        <f t="shared" si="57"/>
        <v>267</v>
      </c>
      <c r="AI241" s="4">
        <f t="shared" si="58"/>
        <v>267</v>
      </c>
      <c r="AJ241" s="4">
        <f t="shared" si="59"/>
        <v>267</v>
      </c>
      <c r="AK241" s="15">
        <f>100*(AJ241-250)/250</f>
        <v>6.8</v>
      </c>
      <c r="AL241" s="4" t="str">
        <f t="shared" si="61"/>
        <v>PASS</v>
      </c>
      <c r="AM241" s="13"/>
      <c r="AO241" s="13"/>
      <c r="AQ241" s="4"/>
      <c r="AR241" s="4">
        <v>235</v>
      </c>
    </row>
    <row r="242" spans="1:44">
      <c r="A242" s="1">
        <v>46101</v>
      </c>
      <c r="B242" s="16">
        <v>0.69153935185185189</v>
      </c>
      <c r="C242" t="s">
        <v>221</v>
      </c>
      <c r="D242" t="s">
        <v>211</v>
      </c>
      <c r="E242">
        <v>9</v>
      </c>
      <c r="F242" t="s">
        <v>92</v>
      </c>
      <c r="G242">
        <v>1</v>
      </c>
      <c r="H242">
        <v>1</v>
      </c>
      <c r="I242" t="s">
        <v>64</v>
      </c>
      <c r="J242" t="s">
        <v>65</v>
      </c>
      <c r="K242">
        <v>7.5999999999999998E-2</v>
      </c>
      <c r="L242">
        <v>1.57</v>
      </c>
      <c r="M242">
        <v>9.6199999999999992</v>
      </c>
      <c r="N242" t="s">
        <v>66</v>
      </c>
      <c r="O242" t="s">
        <v>67</v>
      </c>
      <c r="P242">
        <v>0.29099999999999998</v>
      </c>
      <c r="Q242">
        <v>3.34</v>
      </c>
      <c r="R242">
        <v>79.2</v>
      </c>
      <c r="T242" s="4">
        <v>1</v>
      </c>
      <c r="U242" s="4">
        <v>1</v>
      </c>
      <c r="V242" s="4"/>
      <c r="W242" s="13">
        <f t="shared" si="54"/>
        <v>9.6199999999999992</v>
      </c>
      <c r="X242" s="15">
        <f t="shared" si="55"/>
        <v>9.6199999999999992</v>
      </c>
      <c r="Y242" s="15">
        <f t="shared" si="56"/>
        <v>9.6199999999999992</v>
      </c>
      <c r="Z242" s="4">
        <f>100*(Y242-10)/10</f>
        <v>-3.8000000000000078</v>
      </c>
      <c r="AA242" s="4" t="str">
        <f t="shared" si="60"/>
        <v>PASS</v>
      </c>
      <c r="AF242" s="4">
        <v>1</v>
      </c>
      <c r="AG242" s="4"/>
      <c r="AH242" s="4">
        <f t="shared" si="57"/>
        <v>79.2</v>
      </c>
      <c r="AI242" s="4">
        <f t="shared" si="58"/>
        <v>79.2</v>
      </c>
      <c r="AJ242" s="4">
        <f t="shared" si="59"/>
        <v>79.2</v>
      </c>
      <c r="AK242" s="15">
        <f>100*(AJ242-100)/100</f>
        <v>-20.799999999999997</v>
      </c>
      <c r="AL242" s="4" t="str">
        <f t="shared" si="61"/>
        <v>FAIL</v>
      </c>
      <c r="AM242" s="13"/>
      <c r="AO242" s="13"/>
      <c r="AQ242" s="4"/>
      <c r="AR242" s="4">
        <v>236</v>
      </c>
    </row>
    <row r="243" spans="1:44">
      <c r="A243" s="1">
        <v>46101</v>
      </c>
      <c r="B243" s="16">
        <v>0.69241898148148151</v>
      </c>
      <c r="C243" t="s">
        <v>221</v>
      </c>
      <c r="D243" t="s">
        <v>212</v>
      </c>
      <c r="E243">
        <v>11</v>
      </c>
      <c r="F243" t="s">
        <v>92</v>
      </c>
      <c r="G243">
        <v>1</v>
      </c>
      <c r="H243">
        <v>1</v>
      </c>
      <c r="I243" t="s">
        <v>64</v>
      </c>
      <c r="J243" t="s">
        <v>65</v>
      </c>
      <c r="K243">
        <v>6.5799999999999997E-2</v>
      </c>
      <c r="L243">
        <v>1.37</v>
      </c>
      <c r="M243">
        <v>3.6</v>
      </c>
      <c r="N243" t="s">
        <v>66</v>
      </c>
      <c r="O243" t="s">
        <v>67</v>
      </c>
      <c r="P243">
        <v>0.23</v>
      </c>
      <c r="Q243">
        <v>3.17</v>
      </c>
      <c r="R243">
        <v>67.7</v>
      </c>
      <c r="S243" s="4"/>
      <c r="T243" s="4">
        <v>1</v>
      </c>
      <c r="U243" s="4">
        <v>1</v>
      </c>
      <c r="V243" s="4"/>
      <c r="W243" s="13">
        <f t="shared" si="54"/>
        <v>3.6</v>
      </c>
      <c r="X243" s="15">
        <f t="shared" si="55"/>
        <v>3.6</v>
      </c>
      <c r="Y243" s="15">
        <f t="shared" si="56"/>
        <v>3.6</v>
      </c>
      <c r="Z243" s="4">
        <f>100*(Y243-5)/5</f>
        <v>-28</v>
      </c>
      <c r="AA243" s="4" t="str">
        <f t="shared" si="60"/>
        <v>FAIL</v>
      </c>
      <c r="AF243" s="4">
        <v>1</v>
      </c>
      <c r="AG243" s="4"/>
      <c r="AH243" s="4">
        <f t="shared" si="57"/>
        <v>67.7</v>
      </c>
      <c r="AI243" s="4">
        <f t="shared" si="58"/>
        <v>67.7</v>
      </c>
      <c r="AJ243" s="4">
        <f t="shared" si="59"/>
        <v>67.7</v>
      </c>
      <c r="AK243" s="15">
        <f>100*(AJ243-50)/50</f>
        <v>35.400000000000006</v>
      </c>
      <c r="AL243" s="4" t="str">
        <f t="shared" si="61"/>
        <v>FAIL</v>
      </c>
      <c r="AM243" s="13"/>
      <c r="AO243" s="13"/>
      <c r="AQ243" s="4"/>
      <c r="AR243" s="4">
        <v>237</v>
      </c>
    </row>
    <row r="244" spans="1:44">
      <c r="A244" s="1">
        <v>46101</v>
      </c>
      <c r="B244" s="16">
        <v>0.69329861111111113</v>
      </c>
      <c r="C244" t="s">
        <v>221</v>
      </c>
      <c r="D244" t="s">
        <v>213</v>
      </c>
      <c r="E244">
        <v>13</v>
      </c>
      <c r="F244" t="s">
        <v>92</v>
      </c>
      <c r="G244">
        <v>1</v>
      </c>
      <c r="H244">
        <v>1</v>
      </c>
      <c r="I244" t="s">
        <v>64</v>
      </c>
      <c r="J244" t="s">
        <v>65</v>
      </c>
      <c r="K244">
        <v>6.2899999999999998E-2</v>
      </c>
      <c r="L244">
        <v>1.07</v>
      </c>
      <c r="M244">
        <v>-5.54</v>
      </c>
      <c r="N244" t="s">
        <v>66</v>
      </c>
      <c r="O244" t="s">
        <v>67</v>
      </c>
      <c r="P244">
        <v>0.19</v>
      </c>
      <c r="Q244">
        <v>2.44</v>
      </c>
      <c r="R244">
        <v>18.600000000000001</v>
      </c>
      <c r="T244" s="4">
        <v>1</v>
      </c>
      <c r="U244" s="4">
        <v>1</v>
      </c>
      <c r="V244" s="4"/>
      <c r="W244" s="13">
        <f t="shared" si="54"/>
        <v>-5.54</v>
      </c>
      <c r="X244" s="15">
        <f t="shared" si="55"/>
        <v>-5.54</v>
      </c>
      <c r="Y244" s="15">
        <f t="shared" si="56"/>
        <v>-5.54</v>
      </c>
      <c r="Z244" s="4"/>
      <c r="AA244" s="4"/>
      <c r="AF244" s="4">
        <v>1</v>
      </c>
      <c r="AG244" s="4"/>
      <c r="AH244" s="4">
        <f t="shared" si="57"/>
        <v>18.600000000000001</v>
      </c>
      <c r="AI244" s="4">
        <f t="shared" si="58"/>
        <v>18.600000000000001</v>
      </c>
      <c r="AJ244" s="4">
        <f t="shared" si="59"/>
        <v>18.600000000000001</v>
      </c>
      <c r="AK244" s="15"/>
      <c r="AL244" s="4"/>
      <c r="AM244" s="13"/>
      <c r="AO244" s="13"/>
      <c r="AQ244" s="4"/>
      <c r="AR244" s="4">
        <v>238</v>
      </c>
    </row>
    <row r="245" spans="1:44">
      <c r="A245" s="1">
        <v>46101</v>
      </c>
      <c r="B245" s="16">
        <v>0.69417824074074075</v>
      </c>
      <c r="C245" t="s">
        <v>221</v>
      </c>
      <c r="D245" t="s">
        <v>194</v>
      </c>
      <c r="E245" t="s">
        <v>68</v>
      </c>
      <c r="F245" t="s">
        <v>63</v>
      </c>
      <c r="G245">
        <v>1</v>
      </c>
      <c r="H245">
        <v>1</v>
      </c>
      <c r="I245" t="s">
        <v>64</v>
      </c>
      <c r="J245" t="s">
        <v>65</v>
      </c>
      <c r="K245">
        <v>0.156</v>
      </c>
      <c r="L245">
        <v>2.0699999999999998</v>
      </c>
      <c r="M245">
        <v>24.5</v>
      </c>
      <c r="N245" t="s">
        <v>66</v>
      </c>
      <c r="O245" t="s">
        <v>67</v>
      </c>
      <c r="P245">
        <v>7.94</v>
      </c>
      <c r="Q245">
        <v>148</v>
      </c>
      <c r="R245">
        <v>5300</v>
      </c>
      <c r="S245" s="4">
        <f>100*(Q246/Q245)</f>
        <v>99.324324324324323</v>
      </c>
      <c r="T245" s="4">
        <v>1</v>
      </c>
      <c r="U245" s="4">
        <v>1</v>
      </c>
      <c r="V245" s="4"/>
      <c r="W245" s="13">
        <f t="shared" si="54"/>
        <v>24.5</v>
      </c>
      <c r="X245" s="15">
        <f t="shared" si="55"/>
        <v>24.5</v>
      </c>
      <c r="Y245" s="15">
        <f t="shared" si="56"/>
        <v>24.5</v>
      </c>
      <c r="Z245" s="4"/>
      <c r="AA245" s="4"/>
      <c r="AF245" s="4">
        <v>1</v>
      </c>
      <c r="AG245" s="4"/>
      <c r="AH245" s="4">
        <f t="shared" si="57"/>
        <v>5300</v>
      </c>
      <c r="AI245" s="4">
        <f t="shared" si="58"/>
        <v>5300</v>
      </c>
      <c r="AJ245" s="4">
        <f t="shared" si="59"/>
        <v>5300</v>
      </c>
      <c r="AK245" s="15"/>
      <c r="AL245" s="4"/>
      <c r="AM245" s="13"/>
      <c r="AO245" s="13"/>
      <c r="AQ245" s="4"/>
      <c r="AR245" s="4">
        <v>239</v>
      </c>
    </row>
    <row r="246" spans="1:44">
      <c r="A246" s="1">
        <v>46101</v>
      </c>
      <c r="B246" s="16">
        <v>0.69505787037037037</v>
      </c>
      <c r="C246" t="s">
        <v>221</v>
      </c>
      <c r="D246" t="s">
        <v>195</v>
      </c>
      <c r="E246" t="s">
        <v>69</v>
      </c>
      <c r="F246" t="s">
        <v>63</v>
      </c>
      <c r="G246">
        <v>1</v>
      </c>
      <c r="H246">
        <v>1</v>
      </c>
      <c r="I246" t="s">
        <v>64</v>
      </c>
      <c r="J246" t="s">
        <v>65</v>
      </c>
      <c r="K246">
        <v>0.14399999999999999</v>
      </c>
      <c r="L246">
        <v>1.72</v>
      </c>
      <c r="M246">
        <v>13.9</v>
      </c>
      <c r="N246" t="s">
        <v>66</v>
      </c>
      <c r="O246" t="s">
        <v>67</v>
      </c>
      <c r="P246">
        <v>7.94</v>
      </c>
      <c r="Q246">
        <v>147</v>
      </c>
      <c r="R246">
        <v>5290</v>
      </c>
      <c r="T246" s="4">
        <v>1</v>
      </c>
      <c r="U246" s="4">
        <v>1</v>
      </c>
      <c r="V246" s="4"/>
      <c r="W246" s="13">
        <f t="shared" si="54"/>
        <v>13.9</v>
      </c>
      <c r="X246" s="15">
        <f t="shared" si="55"/>
        <v>13.9</v>
      </c>
      <c r="Y246" s="15">
        <f t="shared" si="56"/>
        <v>13.9</v>
      </c>
      <c r="Z246" s="4"/>
      <c r="AA246" s="4"/>
      <c r="AF246" s="4">
        <v>1</v>
      </c>
      <c r="AG246" s="4"/>
      <c r="AH246" s="4">
        <f t="shared" si="57"/>
        <v>5290</v>
      </c>
      <c r="AI246" s="4">
        <f t="shared" si="58"/>
        <v>5290</v>
      </c>
      <c r="AJ246" s="4">
        <f t="shared" si="59"/>
        <v>5290</v>
      </c>
      <c r="AK246" s="15"/>
      <c r="AL246" s="4"/>
      <c r="AM246" s="13"/>
      <c r="AO246" s="13"/>
      <c r="AQ246" s="4"/>
      <c r="AR246" s="4">
        <v>240</v>
      </c>
    </row>
    <row r="247" spans="1:44">
      <c r="A247" s="1">
        <v>46101</v>
      </c>
      <c r="B247" s="16">
        <v>0.69594907407407403</v>
      </c>
      <c r="C247" t="s">
        <v>221</v>
      </c>
      <c r="D247" t="s">
        <v>205</v>
      </c>
      <c r="E247" t="s">
        <v>70</v>
      </c>
      <c r="F247" t="s">
        <v>63</v>
      </c>
      <c r="G247">
        <v>1</v>
      </c>
      <c r="H247">
        <v>1</v>
      </c>
      <c r="I247" t="s">
        <v>64</v>
      </c>
      <c r="J247" t="s">
        <v>65</v>
      </c>
      <c r="K247">
        <v>0.14199999999999999</v>
      </c>
      <c r="L247">
        <v>1.73</v>
      </c>
      <c r="M247">
        <v>14.2</v>
      </c>
      <c r="N247" t="s">
        <v>66</v>
      </c>
      <c r="O247" t="s">
        <v>67</v>
      </c>
      <c r="P247">
        <v>3.1899999999999998E-2</v>
      </c>
      <c r="Q247">
        <v>0.58099999999999996</v>
      </c>
      <c r="R247">
        <v>-108</v>
      </c>
      <c r="T247" s="4">
        <v>1</v>
      </c>
      <c r="U247" s="4">
        <v>1</v>
      </c>
      <c r="V247" s="4"/>
      <c r="W247" s="13">
        <f t="shared" si="54"/>
        <v>14.2</v>
      </c>
      <c r="X247" s="15">
        <f t="shared" si="55"/>
        <v>14.2</v>
      </c>
      <c r="Y247" s="15">
        <f t="shared" si="56"/>
        <v>14.2</v>
      </c>
      <c r="Z247" s="4"/>
      <c r="AA247" s="4"/>
      <c r="AF247" s="4">
        <v>1</v>
      </c>
      <c r="AG247" s="4"/>
      <c r="AH247" s="4">
        <f t="shared" si="57"/>
        <v>-108</v>
      </c>
      <c r="AI247" s="4">
        <f t="shared" si="58"/>
        <v>-108</v>
      </c>
      <c r="AJ247" s="4">
        <f t="shared" si="59"/>
        <v>-108</v>
      </c>
      <c r="AK247" s="15"/>
      <c r="AL247" s="4"/>
      <c r="AM247" s="13"/>
      <c r="AO247" s="13"/>
      <c r="AQ247" s="4"/>
      <c r="AR247" s="4">
        <v>241</v>
      </c>
    </row>
    <row r="248" spans="1:44">
      <c r="A248" s="1"/>
      <c r="B248" s="16"/>
      <c r="T248" s="4"/>
      <c r="U248" s="4"/>
      <c r="V248" s="4"/>
      <c r="W248" s="13"/>
      <c r="X248" s="15"/>
      <c r="Y248" s="15"/>
      <c r="Z248" s="4"/>
      <c r="AA248" s="4"/>
      <c r="AF248" s="4"/>
      <c r="AG248" s="4"/>
      <c r="AH248" s="4"/>
      <c r="AI248" s="4"/>
      <c r="AJ248" s="4"/>
      <c r="AK248" s="15"/>
      <c r="AL248" s="4"/>
      <c r="AM248" s="13"/>
      <c r="AO248" s="13"/>
      <c r="AQ248" s="4"/>
      <c r="AR248" s="4"/>
    </row>
    <row r="249" spans="1:44">
      <c r="A249" s="1"/>
      <c r="B249" s="16"/>
      <c r="T249" s="4"/>
      <c r="U249" s="4"/>
      <c r="V249" s="4"/>
      <c r="W249" s="13"/>
      <c r="X249" s="15"/>
      <c r="Y249" s="15"/>
      <c r="Z249" s="4"/>
      <c r="AA249" s="4"/>
      <c r="AF249" s="4"/>
      <c r="AG249" s="4"/>
      <c r="AH249" s="4"/>
      <c r="AI249" s="4"/>
      <c r="AJ249" s="4"/>
      <c r="AK249" s="15"/>
      <c r="AL249" s="4"/>
      <c r="AM249" s="13"/>
      <c r="AO249" s="13"/>
      <c r="AQ249" s="4"/>
      <c r="AR249" s="4"/>
    </row>
    <row r="250" spans="1:44">
      <c r="A250" s="1"/>
      <c r="B250" s="16"/>
      <c r="T250" s="4"/>
      <c r="U250" s="4"/>
      <c r="V250" s="4"/>
      <c r="W250" s="13"/>
      <c r="X250" s="15"/>
      <c r="Y250" s="15"/>
      <c r="Z250" s="4"/>
      <c r="AA250" s="4"/>
      <c r="AB250" s="13"/>
      <c r="AF250" s="4"/>
      <c r="AG250" s="4"/>
      <c r="AH250" s="4"/>
      <c r="AI250" s="4"/>
      <c r="AJ250" s="4"/>
      <c r="AK250" s="15"/>
      <c r="AL250" s="4"/>
      <c r="AM250" s="13"/>
      <c r="AO250" s="13"/>
      <c r="AQ250" s="4"/>
      <c r="AR250" s="4"/>
    </row>
    <row r="251" spans="1:44">
      <c r="A251" s="1"/>
      <c r="B251" s="16"/>
      <c r="T251" s="4"/>
      <c r="U251" s="4"/>
      <c r="V251" s="4"/>
      <c r="W251" s="13"/>
      <c r="X251" s="15"/>
      <c r="Y251" s="15"/>
      <c r="Z251" s="4"/>
      <c r="AA251" s="4"/>
      <c r="AF251" s="4"/>
      <c r="AG251" s="4"/>
      <c r="AH251" s="4"/>
      <c r="AI251" s="4"/>
      <c r="AJ251" s="4"/>
      <c r="AK251" s="15"/>
      <c r="AL251" s="4"/>
      <c r="AM251" s="13"/>
      <c r="AO251" s="13"/>
      <c r="AQ251" s="4"/>
      <c r="AR251" s="4"/>
    </row>
    <row r="252" spans="1:44">
      <c r="A252" s="1"/>
      <c r="B252" s="16"/>
      <c r="T252" s="4"/>
      <c r="U252" s="4"/>
      <c r="V252" s="4"/>
      <c r="W252" s="13"/>
      <c r="X252" s="15"/>
      <c r="Y252" s="15"/>
      <c r="Z252" s="4"/>
      <c r="AA252" s="4"/>
      <c r="AF252" s="4"/>
      <c r="AG252" s="4"/>
      <c r="AH252" s="4"/>
      <c r="AI252" s="4"/>
      <c r="AJ252" s="4"/>
      <c r="AK252" s="15"/>
      <c r="AL252" s="4"/>
      <c r="AM252" s="13"/>
      <c r="AO252" s="13"/>
      <c r="AQ252" s="4"/>
      <c r="AR252" s="4"/>
    </row>
    <row r="253" spans="1:44">
      <c r="A253" s="1"/>
      <c r="B253" s="16"/>
      <c r="T253" s="4"/>
      <c r="U253" s="4"/>
      <c r="V253" s="4"/>
      <c r="W253" s="13"/>
      <c r="X253" s="15"/>
      <c r="Y253" s="15"/>
      <c r="Z253" s="4"/>
      <c r="AA253" s="4"/>
      <c r="AF253" s="4"/>
      <c r="AG253" s="4"/>
      <c r="AH253" s="4"/>
      <c r="AI253" s="4"/>
      <c r="AJ253" s="4"/>
      <c r="AK253" s="15"/>
      <c r="AL253" s="4"/>
      <c r="AM253" s="13"/>
      <c r="AO253" s="13"/>
      <c r="AQ253" s="4"/>
      <c r="AR253" s="4"/>
    </row>
    <row r="254" spans="1:44">
      <c r="A254" s="1"/>
      <c r="B254" s="16"/>
      <c r="T254" s="4"/>
      <c r="U254" s="4"/>
      <c r="V254" s="4"/>
      <c r="W254" s="13"/>
      <c r="X254" s="15"/>
      <c r="Y254" s="15"/>
      <c r="Z254" s="4"/>
      <c r="AA254" s="4"/>
      <c r="AF254" s="4"/>
      <c r="AG254" s="4"/>
      <c r="AH254" s="4"/>
      <c r="AI254" s="4"/>
      <c r="AJ254" s="4"/>
      <c r="AK254" s="15"/>
      <c r="AL254" s="4"/>
      <c r="AM254" s="13"/>
      <c r="AO254" s="13"/>
      <c r="AQ254" s="4"/>
      <c r="AR254" s="4"/>
    </row>
    <row r="255" spans="1:44">
      <c r="A255" s="1"/>
      <c r="B255" s="16"/>
      <c r="T255" s="4"/>
      <c r="U255" s="4"/>
      <c r="V255" s="4"/>
      <c r="W255" s="13"/>
      <c r="X255" s="15"/>
      <c r="Y255" s="15"/>
      <c r="Z255" s="4"/>
      <c r="AA255" s="4"/>
      <c r="AF255" s="4"/>
      <c r="AG255" s="4"/>
      <c r="AH255" s="4"/>
      <c r="AI255" s="4"/>
      <c r="AJ255" s="4"/>
      <c r="AK255" s="15"/>
      <c r="AL255" s="4"/>
      <c r="AM255" s="13"/>
      <c r="AO255" s="13"/>
      <c r="AQ255" s="4"/>
      <c r="AR255" s="4"/>
    </row>
    <row r="256" spans="1:44">
      <c r="A256" s="1"/>
      <c r="B256" s="16"/>
      <c r="T256" s="4"/>
      <c r="U256" s="4"/>
      <c r="V256" s="4"/>
      <c r="W256" s="13"/>
      <c r="X256" s="15"/>
      <c r="Y256" s="15"/>
      <c r="Z256" s="4"/>
      <c r="AA256" s="4"/>
      <c r="AF256" s="4"/>
      <c r="AG256" s="4"/>
      <c r="AH256" s="4"/>
      <c r="AI256" s="4"/>
      <c r="AJ256" s="4"/>
      <c r="AM256" s="13"/>
      <c r="AO256" s="13"/>
      <c r="AR256" s="4"/>
    </row>
    <row r="257" spans="1:44">
      <c r="A257" s="1"/>
      <c r="B257" s="16"/>
      <c r="T257" s="4"/>
      <c r="U257" s="4"/>
      <c r="V257" s="4"/>
      <c r="W257" s="13"/>
      <c r="X257" s="15"/>
      <c r="Y257" s="15"/>
      <c r="Z257" s="4"/>
      <c r="AA257" s="4"/>
      <c r="AF257" s="4"/>
      <c r="AG257" s="4"/>
      <c r="AH257" s="4"/>
      <c r="AI257" s="4"/>
      <c r="AJ257" s="4"/>
      <c r="AM257" s="13"/>
      <c r="AO257" s="13"/>
      <c r="AR257" s="4"/>
    </row>
    <row r="258" spans="1:44">
      <c r="A258" s="1"/>
      <c r="B258" s="16"/>
      <c r="T258" s="4"/>
      <c r="U258" s="4"/>
      <c r="V258" s="4"/>
      <c r="W258" s="13"/>
      <c r="X258" s="15"/>
      <c r="Y258" s="15"/>
      <c r="Z258" s="4"/>
      <c r="AA258" s="4"/>
      <c r="AF258" s="4"/>
      <c r="AG258" s="4"/>
      <c r="AH258" s="4"/>
      <c r="AI258" s="4"/>
      <c r="AJ258" s="4"/>
      <c r="AK258" s="15"/>
      <c r="AL258" s="4"/>
      <c r="AM258" s="13"/>
      <c r="AO258" s="13"/>
      <c r="AR258" s="4"/>
    </row>
    <row r="259" spans="1:44">
      <c r="A259" s="1"/>
      <c r="B259" s="16"/>
      <c r="T259" s="4"/>
      <c r="U259" s="4"/>
      <c r="V259" s="4"/>
      <c r="W259" s="13"/>
      <c r="X259" s="15"/>
      <c r="Y259" s="15"/>
      <c r="Z259" s="4"/>
      <c r="AA259" s="4"/>
      <c r="AF259" s="4"/>
      <c r="AG259" s="4"/>
      <c r="AH259" s="4"/>
      <c r="AI259" s="4"/>
      <c r="AJ259" s="4"/>
      <c r="AM259" s="13"/>
      <c r="AO259" s="13"/>
      <c r="AR259" s="4"/>
    </row>
    <row r="260" spans="1:44">
      <c r="A260" s="1"/>
      <c r="B260" s="16"/>
      <c r="T260" s="4"/>
      <c r="U260" s="4"/>
      <c r="V260" s="4"/>
      <c r="W260" s="13"/>
      <c r="X260" s="15"/>
      <c r="Y260" s="15"/>
      <c r="Z260" s="4"/>
      <c r="AA260" s="4"/>
      <c r="AF260" s="4"/>
      <c r="AG260" s="4"/>
      <c r="AH260" s="4"/>
      <c r="AI260" s="4"/>
      <c r="AJ260" s="4"/>
      <c r="AM260" s="13"/>
      <c r="AO260" s="13"/>
      <c r="AR260" s="4"/>
    </row>
    <row r="261" spans="1:44">
      <c r="A261" s="1"/>
      <c r="B261" s="16"/>
      <c r="T261" s="4"/>
      <c r="U261" s="4"/>
      <c r="V261" s="4"/>
      <c r="W261" s="13"/>
      <c r="X261" s="15"/>
      <c r="Y261" s="15"/>
      <c r="Z261" s="4"/>
      <c r="AA261" s="4"/>
      <c r="AF261" s="4"/>
      <c r="AG261" s="4"/>
      <c r="AH261" s="4"/>
      <c r="AI261" s="4"/>
      <c r="AJ261" s="4"/>
      <c r="AM261" s="13"/>
      <c r="AO261" s="13"/>
      <c r="AR261" s="4"/>
    </row>
    <row r="262" spans="1:44">
      <c r="A262" s="1"/>
      <c r="B262" s="16"/>
      <c r="T262" s="4"/>
      <c r="U262" s="4"/>
      <c r="V262" s="4"/>
      <c r="W262" s="13"/>
      <c r="X262" s="15"/>
      <c r="Y262" s="15"/>
      <c r="Z262" s="4"/>
      <c r="AA262" s="4"/>
      <c r="AF262" s="4"/>
      <c r="AG262" s="4"/>
      <c r="AH262" s="4"/>
      <c r="AI262" s="4"/>
      <c r="AJ262" s="4"/>
      <c r="AM262" s="13"/>
      <c r="AO262" s="13"/>
      <c r="AR262" s="4"/>
    </row>
    <row r="263" spans="1:44">
      <c r="A263" s="1"/>
      <c r="B263" s="16"/>
      <c r="T263" s="4"/>
      <c r="U263" s="4"/>
      <c r="V263" s="4"/>
      <c r="W263" s="13"/>
      <c r="X263" s="15"/>
      <c r="Y263" s="15"/>
      <c r="Z263" s="4"/>
      <c r="AA263" s="4"/>
      <c r="AF263" s="4"/>
      <c r="AG263" s="4"/>
      <c r="AH263" s="4"/>
      <c r="AI263" s="4"/>
      <c r="AJ263" s="4"/>
      <c r="AM263" s="13"/>
      <c r="AO263" s="13"/>
      <c r="AR263" s="4"/>
    </row>
    <row r="264" spans="1:44">
      <c r="A264" s="1"/>
      <c r="B264" s="16"/>
      <c r="T264" s="4"/>
      <c r="U264" s="4"/>
      <c r="V264" s="4"/>
      <c r="W264" s="13"/>
      <c r="X264" s="15"/>
      <c r="Y264" s="15"/>
      <c r="Z264" s="4"/>
      <c r="AA264" s="4"/>
      <c r="AB264" s="13"/>
      <c r="AF264" s="4"/>
      <c r="AG264" s="4"/>
      <c r="AH264" s="4"/>
      <c r="AI264" s="4"/>
      <c r="AJ264" s="4"/>
      <c r="AM264" s="13"/>
      <c r="AO264" s="13"/>
      <c r="AR264" s="4"/>
    </row>
    <row r="265" spans="1:44">
      <c r="A265" s="1"/>
      <c r="B265" s="16"/>
      <c r="T265" s="4"/>
      <c r="U265" s="4"/>
      <c r="V265" s="4"/>
      <c r="W265" s="13"/>
      <c r="X265" s="15"/>
      <c r="Y265" s="15"/>
      <c r="Z265" s="4"/>
      <c r="AA265" s="4"/>
      <c r="AF265" s="4"/>
      <c r="AG265" s="4"/>
      <c r="AH265" s="4"/>
      <c r="AI265" s="4"/>
      <c r="AJ265" s="4"/>
      <c r="AM265" s="13"/>
      <c r="AO265" s="13"/>
      <c r="AR265" s="4"/>
    </row>
    <row r="266" spans="1:44">
      <c r="A266" s="1"/>
      <c r="B266" s="16"/>
      <c r="T266" s="4"/>
      <c r="U266" s="4"/>
      <c r="V266" s="4"/>
      <c r="W266" s="13"/>
      <c r="X266" s="15"/>
      <c r="Y266" s="15"/>
      <c r="Z266" s="4"/>
      <c r="AA266" s="4"/>
      <c r="AF266" s="4"/>
      <c r="AG266" s="4"/>
      <c r="AH266" s="4"/>
      <c r="AI266" s="4"/>
      <c r="AJ266" s="4"/>
      <c r="AM266" s="13"/>
      <c r="AO266" s="13"/>
      <c r="AR266" s="4"/>
    </row>
    <row r="267" spans="1:44">
      <c r="A267" s="1"/>
      <c r="B267" s="16"/>
      <c r="T267" s="4"/>
      <c r="U267" s="4"/>
      <c r="V267" s="4"/>
      <c r="W267" s="13"/>
      <c r="X267" s="15"/>
      <c r="Y267" s="15"/>
      <c r="Z267" s="4"/>
      <c r="AA267" s="4"/>
      <c r="AF267" s="4"/>
      <c r="AG267" s="4"/>
      <c r="AH267" s="4"/>
      <c r="AI267" s="4"/>
      <c r="AJ267" s="4"/>
      <c r="AM267" s="13"/>
      <c r="AO267" s="13"/>
      <c r="AR267" s="4"/>
    </row>
    <row r="268" spans="1:44">
      <c r="A268" s="1"/>
      <c r="B268" s="16"/>
      <c r="T268" s="4"/>
      <c r="U268" s="4"/>
      <c r="V268" s="4"/>
      <c r="W268" s="13"/>
      <c r="X268" s="15"/>
      <c r="Y268" s="15"/>
      <c r="Z268" s="4"/>
      <c r="AA268" s="4"/>
      <c r="AF268" s="4"/>
      <c r="AG268" s="4"/>
      <c r="AH268" s="4"/>
      <c r="AI268" s="4"/>
      <c r="AJ268" s="4"/>
      <c r="AM268" s="13"/>
      <c r="AO268" s="13"/>
      <c r="AR268" s="4"/>
    </row>
    <row r="269" spans="1:44">
      <c r="A269" s="1"/>
      <c r="B269" s="16"/>
      <c r="T269" s="4"/>
      <c r="U269" s="4"/>
      <c r="V269" s="4"/>
      <c r="W269" s="13"/>
      <c r="X269" s="15"/>
      <c r="Y269" s="15"/>
      <c r="Z269" s="4"/>
      <c r="AA269" s="4"/>
      <c r="AF269" s="4"/>
      <c r="AG269" s="4"/>
      <c r="AH269" s="4"/>
      <c r="AI269" s="4"/>
      <c r="AJ269" s="4"/>
      <c r="AM269" s="13"/>
      <c r="AO269" s="13"/>
      <c r="AR269" s="4"/>
    </row>
    <row r="270" spans="1:44">
      <c r="A270" s="1"/>
      <c r="B270" s="16"/>
      <c r="T270" s="4"/>
      <c r="U270" s="4"/>
      <c r="V270" s="4"/>
      <c r="W270" s="13"/>
      <c r="X270" s="15"/>
      <c r="Y270" s="15"/>
      <c r="Z270" s="4"/>
      <c r="AA270" s="4"/>
      <c r="AF270" s="4"/>
      <c r="AG270" s="4"/>
      <c r="AH270" s="4"/>
      <c r="AI270" s="4"/>
      <c r="AJ270" s="4"/>
      <c r="AK270" s="15"/>
      <c r="AL270" s="4"/>
      <c r="AM270" s="13"/>
      <c r="AO270" s="13"/>
      <c r="AR270" s="4"/>
    </row>
    <row r="271" spans="1:44">
      <c r="A271" s="1"/>
      <c r="B271" s="16"/>
      <c r="T271" s="4"/>
      <c r="U271" s="4"/>
      <c r="V271" s="4"/>
      <c r="W271" s="13"/>
      <c r="X271" s="15"/>
      <c r="Y271" s="15"/>
      <c r="Z271" s="4"/>
      <c r="AA271" s="4"/>
      <c r="AF271" s="4"/>
      <c r="AG271" s="4"/>
      <c r="AH271" s="4"/>
      <c r="AI271" s="4"/>
      <c r="AJ271" s="4"/>
      <c r="AK271" s="15"/>
      <c r="AL271" s="4"/>
      <c r="AM271" s="13"/>
      <c r="AO271" s="13"/>
      <c r="AR271" s="4"/>
    </row>
    <row r="272" spans="1:44">
      <c r="A272" s="1"/>
      <c r="B272" s="16"/>
      <c r="T272" s="4"/>
      <c r="U272" s="4"/>
      <c r="V272" s="4"/>
      <c r="W272" s="13"/>
      <c r="X272" s="15"/>
      <c r="Y272" s="15"/>
      <c r="Z272" s="4"/>
      <c r="AA272" s="4"/>
      <c r="AF272" s="4"/>
      <c r="AG272" s="4"/>
      <c r="AH272" s="4"/>
      <c r="AI272" s="4"/>
      <c r="AJ272" s="4"/>
      <c r="AK272" s="15"/>
      <c r="AL272" s="4"/>
      <c r="AM272" s="13"/>
      <c r="AO272" s="13"/>
      <c r="AR272" s="4"/>
    </row>
    <row r="273" spans="1:44">
      <c r="A273" s="1"/>
      <c r="B273" s="16"/>
      <c r="T273" s="4"/>
      <c r="U273" s="4"/>
      <c r="V273" s="4"/>
      <c r="W273" s="13"/>
      <c r="X273" s="15"/>
      <c r="Y273" s="15"/>
      <c r="Z273" s="4"/>
      <c r="AA273" s="4"/>
      <c r="AF273" s="4"/>
      <c r="AG273" s="4"/>
      <c r="AH273" s="4"/>
      <c r="AI273" s="4"/>
      <c r="AJ273" s="4"/>
      <c r="AK273" s="15"/>
      <c r="AL273" s="4"/>
      <c r="AM273" s="13"/>
      <c r="AO273" s="13"/>
      <c r="AR273" s="4"/>
    </row>
    <row r="274" spans="1:44">
      <c r="A274" s="1"/>
      <c r="B274" s="16"/>
      <c r="T274" s="4"/>
      <c r="U274" s="4"/>
      <c r="V274" s="4"/>
      <c r="W274" s="13"/>
      <c r="X274" s="15"/>
      <c r="Y274" s="15"/>
      <c r="Z274" s="4"/>
      <c r="AA274" s="4"/>
      <c r="AF274" s="4"/>
      <c r="AG274" s="4"/>
      <c r="AH274" s="4"/>
      <c r="AI274" s="4"/>
      <c r="AJ274" s="4"/>
      <c r="AK274" s="15"/>
      <c r="AL274" s="4"/>
      <c r="AM274" s="13"/>
      <c r="AO274" s="13"/>
      <c r="AR274" s="4"/>
    </row>
    <row r="275" spans="1:44">
      <c r="A275" s="1"/>
      <c r="B275" s="16"/>
      <c r="S275" s="4"/>
      <c r="T275" s="4"/>
      <c r="U275" s="4"/>
      <c r="V275" s="4"/>
      <c r="W275" s="13"/>
      <c r="X275" s="15"/>
      <c r="Y275" s="15"/>
      <c r="Z275" s="4"/>
      <c r="AA275" s="4"/>
      <c r="AF275" s="4"/>
      <c r="AG275" s="4"/>
      <c r="AH275" s="4"/>
      <c r="AI275" s="4"/>
      <c r="AJ275" s="4"/>
      <c r="AK275" s="15"/>
      <c r="AL275" s="4"/>
      <c r="AM275" s="13"/>
      <c r="AO275" s="13"/>
      <c r="AR275" s="4"/>
    </row>
    <row r="276" spans="1:44">
      <c r="A276" s="1"/>
      <c r="B276" s="16"/>
      <c r="T276" s="4"/>
      <c r="U276" s="4"/>
      <c r="V276" s="4"/>
      <c r="W276" s="13"/>
      <c r="X276" s="15"/>
      <c r="Y276" s="15"/>
      <c r="Z276" s="4"/>
      <c r="AA276" s="4"/>
      <c r="AF276" s="4"/>
      <c r="AG276" s="4"/>
      <c r="AH276" s="4"/>
      <c r="AI276" s="4"/>
      <c r="AJ276" s="4"/>
      <c r="AM276" s="13"/>
      <c r="AO276" s="13"/>
      <c r="AR276" s="4"/>
    </row>
    <row r="277" spans="1:44">
      <c r="AM277" s="13"/>
      <c r="AO277" s="13"/>
    </row>
    <row r="278" spans="1:44">
      <c r="AM278" s="13"/>
      <c r="AO278" s="13"/>
    </row>
    <row r="279" spans="1:44">
      <c r="AM279" s="13"/>
      <c r="AO279" s="13"/>
    </row>
    <row r="280" spans="1:44">
      <c r="AM280" s="13"/>
      <c r="AO280" s="13"/>
    </row>
    <row r="281" spans="1:44">
      <c r="AM281" s="13"/>
      <c r="AO281" s="13"/>
    </row>
    <row r="282" spans="1:44">
      <c r="AM282" s="13"/>
      <c r="AO282" s="13"/>
    </row>
    <row r="283" spans="1:44">
      <c r="AM283" s="13"/>
      <c r="AO283" s="13"/>
    </row>
    <row r="284" spans="1:44">
      <c r="AM284" s="13"/>
      <c r="AO284" s="13"/>
    </row>
    <row r="285" spans="1:44">
      <c r="AM285" s="13"/>
      <c r="AO285" s="13"/>
    </row>
    <row r="286" spans="1:44">
      <c r="AM286" s="13"/>
      <c r="AO286" s="13"/>
    </row>
    <row r="287" spans="1:44">
      <c r="AM287" s="13"/>
      <c r="AO287" s="13"/>
    </row>
    <row r="288" spans="1:44">
      <c r="AM288" s="13"/>
      <c r="AO288" s="13"/>
    </row>
    <row r="289" spans="39:41">
      <c r="AM289" s="13"/>
      <c r="AO289" s="13"/>
    </row>
    <row r="290" spans="39:41">
      <c r="AM290" s="13"/>
      <c r="AO290" s="13"/>
    </row>
    <row r="291" spans="39:41">
      <c r="AM291" s="13"/>
      <c r="AO291" s="13"/>
    </row>
    <row r="292" spans="39:41">
      <c r="AM292" s="13"/>
      <c r="AO292" s="13"/>
    </row>
    <row r="293" spans="39:41">
      <c r="AM293" s="13"/>
      <c r="AO293" s="13"/>
    </row>
    <row r="294" spans="39:41">
      <c r="AM294" s="13"/>
      <c r="AO294" s="13"/>
    </row>
    <row r="295" spans="39:41">
      <c r="AM295" s="13"/>
      <c r="AO295" s="13"/>
    </row>
    <row r="296" spans="39:41">
      <c r="AM296" s="13"/>
      <c r="AO296" s="13"/>
    </row>
    <row r="297" spans="39:41">
      <c r="AM297" s="13"/>
      <c r="AO297" s="13"/>
    </row>
    <row r="298" spans="39:41">
      <c r="AM298" s="13"/>
      <c r="AO298" s="13"/>
    </row>
    <row r="299" spans="39:41">
      <c r="AM299" s="13"/>
      <c r="AO299" s="13"/>
    </row>
    <row r="300" spans="39:41">
      <c r="AM300" s="13"/>
      <c r="AO300" s="13"/>
    </row>
    <row r="301" spans="39:41">
      <c r="AM301" s="13"/>
      <c r="AO301" s="13"/>
    </row>
    <row r="302" spans="39:41">
      <c r="AM302" s="13"/>
      <c r="AO302" s="13"/>
    </row>
    <row r="303" spans="39:41">
      <c r="AM303" s="13"/>
      <c r="AO303" s="13"/>
    </row>
    <row r="304" spans="39:41">
      <c r="AM304" s="13"/>
      <c r="AO304" s="13"/>
    </row>
    <row r="305" spans="39:41">
      <c r="AM305" s="13"/>
      <c r="AO305" s="13"/>
    </row>
    <row r="306" spans="39:41">
      <c r="AM306" s="13"/>
      <c r="AO306" s="13"/>
    </row>
    <row r="307" spans="39:41">
      <c r="AM307" s="13"/>
      <c r="AO307" s="13"/>
    </row>
    <row r="308" spans="39:41">
      <c r="AM308" s="13"/>
      <c r="AO308" s="13"/>
    </row>
    <row r="309" spans="39:41">
      <c r="AM309" s="13"/>
      <c r="AO309" s="13"/>
    </row>
    <row r="310" spans="39:41">
      <c r="AM310" s="13"/>
      <c r="AO310" s="13"/>
    </row>
    <row r="311" spans="39:41">
      <c r="AM311" s="13"/>
      <c r="AO311" s="13"/>
    </row>
    <row r="312" spans="39:41">
      <c r="AM312" s="13"/>
      <c r="AO312" s="13"/>
    </row>
    <row r="313" spans="39:41">
      <c r="AM313" s="13"/>
      <c r="AO313" s="13"/>
    </row>
    <row r="314" spans="39:41">
      <c r="AM314" s="13"/>
      <c r="AO314" s="13"/>
    </row>
    <row r="315" spans="39:41">
      <c r="AM315" s="13"/>
      <c r="AO315" s="13"/>
    </row>
    <row r="316" spans="39:41">
      <c r="AM316" s="13"/>
      <c r="AO316" s="13"/>
    </row>
    <row r="317" spans="39:41">
      <c r="AM317" s="13"/>
    </row>
    <row r="318" spans="39:41">
      <c r="AM318" s="13"/>
    </row>
    <row r="319" spans="39:41">
      <c r="AM319" s="13"/>
    </row>
    <row r="320" spans="39:41">
      <c r="AM320" s="13"/>
    </row>
    <row r="321" spans="39:39">
      <c r="AM321" s="13"/>
    </row>
    <row r="322" spans="39:39">
      <c r="AM322" s="13"/>
    </row>
    <row r="323" spans="39:39">
      <c r="AM323" s="13"/>
    </row>
    <row r="324" spans="39:39">
      <c r="AM324" s="13"/>
    </row>
    <row r="325" spans="39:39">
      <c r="AM325" s="13"/>
    </row>
    <row r="326" spans="39:39">
      <c r="AM326" s="13"/>
    </row>
    <row r="327" spans="39:39">
      <c r="AM327" s="13"/>
    </row>
    <row r="328" spans="39:39">
      <c r="AM328" s="13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T95"/>
  <sheetViews>
    <sheetView topLeftCell="A26" workbookViewId="0">
      <selection activeCell="A52" sqref="A52:XFD56"/>
    </sheetView>
  </sheetViews>
  <sheetFormatPr baseColWidth="10" defaultColWidth="8.83203125" defaultRowHeight="13"/>
  <cols>
    <col min="1" max="1" width="12.33203125" style="4" customWidth="1"/>
    <col min="2" max="2" width="34.83203125" style="4" customWidth="1"/>
    <col min="3" max="3" width="21.6640625" style="4" customWidth="1"/>
    <col min="4" max="4" width="9.5" style="4" customWidth="1"/>
    <col min="5" max="16" width="8.6640625" style="4"/>
    <col min="17" max="18" width="9.1640625" style="4"/>
    <col min="19" max="259" width="8.6640625" style="4"/>
    <col min="260" max="260" width="13.33203125" style="4" customWidth="1"/>
    <col min="261" max="261" width="20.5" style="4" customWidth="1"/>
    <col min="262" max="262" width="9.5" style="4" customWidth="1"/>
    <col min="263" max="515" width="8.6640625" style="4"/>
    <col min="516" max="516" width="13.33203125" style="4" customWidth="1"/>
    <col min="517" max="517" width="20.5" style="4" customWidth="1"/>
    <col min="518" max="518" width="9.5" style="4" customWidth="1"/>
    <col min="519" max="771" width="8.6640625" style="4"/>
    <col min="772" max="772" width="13.33203125" style="4" customWidth="1"/>
    <col min="773" max="773" width="20.5" style="4" customWidth="1"/>
    <col min="774" max="774" width="9.5" style="4" customWidth="1"/>
    <col min="775" max="1027" width="8.6640625" style="4"/>
    <col min="1028" max="1028" width="13.33203125" style="4" customWidth="1"/>
    <col min="1029" max="1029" width="20.5" style="4" customWidth="1"/>
    <col min="1030" max="1030" width="9.5" style="4" customWidth="1"/>
    <col min="1031" max="1283" width="8.6640625" style="4"/>
    <col min="1284" max="1284" width="13.33203125" style="4" customWidth="1"/>
    <col min="1285" max="1285" width="20.5" style="4" customWidth="1"/>
    <col min="1286" max="1286" width="9.5" style="4" customWidth="1"/>
    <col min="1287" max="1539" width="8.6640625" style="4"/>
    <col min="1540" max="1540" width="13.33203125" style="4" customWidth="1"/>
    <col min="1541" max="1541" width="20.5" style="4" customWidth="1"/>
    <col min="1542" max="1542" width="9.5" style="4" customWidth="1"/>
    <col min="1543" max="1795" width="8.6640625" style="4"/>
    <col min="1796" max="1796" width="13.33203125" style="4" customWidth="1"/>
    <col min="1797" max="1797" width="20.5" style="4" customWidth="1"/>
    <col min="1798" max="1798" width="9.5" style="4" customWidth="1"/>
    <col min="1799" max="2051" width="8.6640625" style="4"/>
    <col min="2052" max="2052" width="13.33203125" style="4" customWidth="1"/>
    <col min="2053" max="2053" width="20.5" style="4" customWidth="1"/>
    <col min="2054" max="2054" width="9.5" style="4" customWidth="1"/>
    <col min="2055" max="2307" width="8.6640625" style="4"/>
    <col min="2308" max="2308" width="13.33203125" style="4" customWidth="1"/>
    <col min="2309" max="2309" width="20.5" style="4" customWidth="1"/>
    <col min="2310" max="2310" width="9.5" style="4" customWidth="1"/>
    <col min="2311" max="2563" width="8.6640625" style="4"/>
    <col min="2564" max="2564" width="13.33203125" style="4" customWidth="1"/>
    <col min="2565" max="2565" width="20.5" style="4" customWidth="1"/>
    <col min="2566" max="2566" width="9.5" style="4" customWidth="1"/>
    <col min="2567" max="2819" width="8.6640625" style="4"/>
    <col min="2820" max="2820" width="13.33203125" style="4" customWidth="1"/>
    <col min="2821" max="2821" width="20.5" style="4" customWidth="1"/>
    <col min="2822" max="2822" width="9.5" style="4" customWidth="1"/>
    <col min="2823" max="3075" width="8.6640625" style="4"/>
    <col min="3076" max="3076" width="13.33203125" style="4" customWidth="1"/>
    <col min="3077" max="3077" width="20.5" style="4" customWidth="1"/>
    <col min="3078" max="3078" width="9.5" style="4" customWidth="1"/>
    <col min="3079" max="3331" width="8.6640625" style="4"/>
    <col min="3332" max="3332" width="13.33203125" style="4" customWidth="1"/>
    <col min="3333" max="3333" width="20.5" style="4" customWidth="1"/>
    <col min="3334" max="3334" width="9.5" style="4" customWidth="1"/>
    <col min="3335" max="3587" width="8.6640625" style="4"/>
    <col min="3588" max="3588" width="13.33203125" style="4" customWidth="1"/>
    <col min="3589" max="3589" width="20.5" style="4" customWidth="1"/>
    <col min="3590" max="3590" width="9.5" style="4" customWidth="1"/>
    <col min="3591" max="3843" width="8.6640625" style="4"/>
    <col min="3844" max="3844" width="13.33203125" style="4" customWidth="1"/>
    <col min="3845" max="3845" width="20.5" style="4" customWidth="1"/>
    <col min="3846" max="3846" width="9.5" style="4" customWidth="1"/>
    <col min="3847" max="4099" width="8.6640625" style="4"/>
    <col min="4100" max="4100" width="13.33203125" style="4" customWidth="1"/>
    <col min="4101" max="4101" width="20.5" style="4" customWidth="1"/>
    <col min="4102" max="4102" width="9.5" style="4" customWidth="1"/>
    <col min="4103" max="4355" width="8.6640625" style="4"/>
    <col min="4356" max="4356" width="13.33203125" style="4" customWidth="1"/>
    <col min="4357" max="4357" width="20.5" style="4" customWidth="1"/>
    <col min="4358" max="4358" width="9.5" style="4" customWidth="1"/>
    <col min="4359" max="4611" width="8.6640625" style="4"/>
    <col min="4612" max="4612" width="13.33203125" style="4" customWidth="1"/>
    <col min="4613" max="4613" width="20.5" style="4" customWidth="1"/>
    <col min="4614" max="4614" width="9.5" style="4" customWidth="1"/>
    <col min="4615" max="4867" width="8.6640625" style="4"/>
    <col min="4868" max="4868" width="13.33203125" style="4" customWidth="1"/>
    <col min="4869" max="4869" width="20.5" style="4" customWidth="1"/>
    <col min="4870" max="4870" width="9.5" style="4" customWidth="1"/>
    <col min="4871" max="5123" width="8.6640625" style="4"/>
    <col min="5124" max="5124" width="13.33203125" style="4" customWidth="1"/>
    <col min="5125" max="5125" width="20.5" style="4" customWidth="1"/>
    <col min="5126" max="5126" width="9.5" style="4" customWidth="1"/>
    <col min="5127" max="5379" width="8.6640625" style="4"/>
    <col min="5380" max="5380" width="13.33203125" style="4" customWidth="1"/>
    <col min="5381" max="5381" width="20.5" style="4" customWidth="1"/>
    <col min="5382" max="5382" width="9.5" style="4" customWidth="1"/>
    <col min="5383" max="5635" width="8.6640625" style="4"/>
    <col min="5636" max="5636" width="13.33203125" style="4" customWidth="1"/>
    <col min="5637" max="5637" width="20.5" style="4" customWidth="1"/>
    <col min="5638" max="5638" width="9.5" style="4" customWidth="1"/>
    <col min="5639" max="5891" width="8.6640625" style="4"/>
    <col min="5892" max="5892" width="13.33203125" style="4" customWidth="1"/>
    <col min="5893" max="5893" width="20.5" style="4" customWidth="1"/>
    <col min="5894" max="5894" width="9.5" style="4" customWidth="1"/>
    <col min="5895" max="6147" width="8.6640625" style="4"/>
    <col min="6148" max="6148" width="13.33203125" style="4" customWidth="1"/>
    <col min="6149" max="6149" width="20.5" style="4" customWidth="1"/>
    <col min="6150" max="6150" width="9.5" style="4" customWidth="1"/>
    <col min="6151" max="6403" width="8.6640625" style="4"/>
    <col min="6404" max="6404" width="13.33203125" style="4" customWidth="1"/>
    <col min="6405" max="6405" width="20.5" style="4" customWidth="1"/>
    <col min="6406" max="6406" width="9.5" style="4" customWidth="1"/>
    <col min="6407" max="6659" width="8.6640625" style="4"/>
    <col min="6660" max="6660" width="13.33203125" style="4" customWidth="1"/>
    <col min="6661" max="6661" width="20.5" style="4" customWidth="1"/>
    <col min="6662" max="6662" width="9.5" style="4" customWidth="1"/>
    <col min="6663" max="6915" width="8.6640625" style="4"/>
    <col min="6916" max="6916" width="13.33203125" style="4" customWidth="1"/>
    <col min="6917" max="6917" width="20.5" style="4" customWidth="1"/>
    <col min="6918" max="6918" width="9.5" style="4" customWidth="1"/>
    <col min="6919" max="7171" width="8.6640625" style="4"/>
    <col min="7172" max="7172" width="13.33203125" style="4" customWidth="1"/>
    <col min="7173" max="7173" width="20.5" style="4" customWidth="1"/>
    <col min="7174" max="7174" width="9.5" style="4" customWidth="1"/>
    <col min="7175" max="7427" width="8.6640625" style="4"/>
    <col min="7428" max="7428" width="13.33203125" style="4" customWidth="1"/>
    <col min="7429" max="7429" width="20.5" style="4" customWidth="1"/>
    <col min="7430" max="7430" width="9.5" style="4" customWidth="1"/>
    <col min="7431" max="7683" width="8.6640625" style="4"/>
    <col min="7684" max="7684" width="13.33203125" style="4" customWidth="1"/>
    <col min="7685" max="7685" width="20.5" style="4" customWidth="1"/>
    <col min="7686" max="7686" width="9.5" style="4" customWidth="1"/>
    <col min="7687" max="7939" width="8.6640625" style="4"/>
    <col min="7940" max="7940" width="13.33203125" style="4" customWidth="1"/>
    <col min="7941" max="7941" width="20.5" style="4" customWidth="1"/>
    <col min="7942" max="7942" width="9.5" style="4" customWidth="1"/>
    <col min="7943" max="8195" width="8.6640625" style="4"/>
    <col min="8196" max="8196" width="13.33203125" style="4" customWidth="1"/>
    <col min="8197" max="8197" width="20.5" style="4" customWidth="1"/>
    <col min="8198" max="8198" width="9.5" style="4" customWidth="1"/>
    <col min="8199" max="8451" width="8.6640625" style="4"/>
    <col min="8452" max="8452" width="13.33203125" style="4" customWidth="1"/>
    <col min="8453" max="8453" width="20.5" style="4" customWidth="1"/>
    <col min="8454" max="8454" width="9.5" style="4" customWidth="1"/>
    <col min="8455" max="8707" width="8.6640625" style="4"/>
    <col min="8708" max="8708" width="13.33203125" style="4" customWidth="1"/>
    <col min="8709" max="8709" width="20.5" style="4" customWidth="1"/>
    <col min="8710" max="8710" width="9.5" style="4" customWidth="1"/>
    <col min="8711" max="8963" width="8.6640625" style="4"/>
    <col min="8964" max="8964" width="13.33203125" style="4" customWidth="1"/>
    <col min="8965" max="8965" width="20.5" style="4" customWidth="1"/>
    <col min="8966" max="8966" width="9.5" style="4" customWidth="1"/>
    <col min="8967" max="9219" width="8.6640625" style="4"/>
    <col min="9220" max="9220" width="13.33203125" style="4" customWidth="1"/>
    <col min="9221" max="9221" width="20.5" style="4" customWidth="1"/>
    <col min="9222" max="9222" width="9.5" style="4" customWidth="1"/>
    <col min="9223" max="9475" width="8.6640625" style="4"/>
    <col min="9476" max="9476" width="13.33203125" style="4" customWidth="1"/>
    <col min="9477" max="9477" width="20.5" style="4" customWidth="1"/>
    <col min="9478" max="9478" width="9.5" style="4" customWidth="1"/>
    <col min="9479" max="9731" width="8.6640625" style="4"/>
    <col min="9732" max="9732" width="13.33203125" style="4" customWidth="1"/>
    <col min="9733" max="9733" width="20.5" style="4" customWidth="1"/>
    <col min="9734" max="9734" width="9.5" style="4" customWidth="1"/>
    <col min="9735" max="9987" width="8.6640625" style="4"/>
    <col min="9988" max="9988" width="13.33203125" style="4" customWidth="1"/>
    <col min="9989" max="9989" width="20.5" style="4" customWidth="1"/>
    <col min="9990" max="9990" width="9.5" style="4" customWidth="1"/>
    <col min="9991" max="10243" width="8.6640625" style="4"/>
    <col min="10244" max="10244" width="13.33203125" style="4" customWidth="1"/>
    <col min="10245" max="10245" width="20.5" style="4" customWidth="1"/>
    <col min="10246" max="10246" width="9.5" style="4" customWidth="1"/>
    <col min="10247" max="10499" width="8.6640625" style="4"/>
    <col min="10500" max="10500" width="13.33203125" style="4" customWidth="1"/>
    <col min="10501" max="10501" width="20.5" style="4" customWidth="1"/>
    <col min="10502" max="10502" width="9.5" style="4" customWidth="1"/>
    <col min="10503" max="10755" width="8.6640625" style="4"/>
    <col min="10756" max="10756" width="13.33203125" style="4" customWidth="1"/>
    <col min="10757" max="10757" width="20.5" style="4" customWidth="1"/>
    <col min="10758" max="10758" width="9.5" style="4" customWidth="1"/>
    <col min="10759" max="11011" width="8.6640625" style="4"/>
    <col min="11012" max="11012" width="13.33203125" style="4" customWidth="1"/>
    <col min="11013" max="11013" width="20.5" style="4" customWidth="1"/>
    <col min="11014" max="11014" width="9.5" style="4" customWidth="1"/>
    <col min="11015" max="11267" width="8.6640625" style="4"/>
    <col min="11268" max="11268" width="13.33203125" style="4" customWidth="1"/>
    <col min="11269" max="11269" width="20.5" style="4" customWidth="1"/>
    <col min="11270" max="11270" width="9.5" style="4" customWidth="1"/>
    <col min="11271" max="11523" width="8.6640625" style="4"/>
    <col min="11524" max="11524" width="13.33203125" style="4" customWidth="1"/>
    <col min="11525" max="11525" width="20.5" style="4" customWidth="1"/>
    <col min="11526" max="11526" width="9.5" style="4" customWidth="1"/>
    <col min="11527" max="11779" width="8.6640625" style="4"/>
    <col min="11780" max="11780" width="13.33203125" style="4" customWidth="1"/>
    <col min="11781" max="11781" width="20.5" style="4" customWidth="1"/>
    <col min="11782" max="11782" width="9.5" style="4" customWidth="1"/>
    <col min="11783" max="12035" width="8.6640625" style="4"/>
    <col min="12036" max="12036" width="13.33203125" style="4" customWidth="1"/>
    <col min="12037" max="12037" width="20.5" style="4" customWidth="1"/>
    <col min="12038" max="12038" width="9.5" style="4" customWidth="1"/>
    <col min="12039" max="12291" width="8.6640625" style="4"/>
    <col min="12292" max="12292" width="13.33203125" style="4" customWidth="1"/>
    <col min="12293" max="12293" width="20.5" style="4" customWidth="1"/>
    <col min="12294" max="12294" width="9.5" style="4" customWidth="1"/>
    <col min="12295" max="12547" width="8.6640625" style="4"/>
    <col min="12548" max="12548" width="13.33203125" style="4" customWidth="1"/>
    <col min="12549" max="12549" width="20.5" style="4" customWidth="1"/>
    <col min="12550" max="12550" width="9.5" style="4" customWidth="1"/>
    <col min="12551" max="12803" width="8.6640625" style="4"/>
    <col min="12804" max="12804" width="13.33203125" style="4" customWidth="1"/>
    <col min="12805" max="12805" width="20.5" style="4" customWidth="1"/>
    <col min="12806" max="12806" width="9.5" style="4" customWidth="1"/>
    <col min="12807" max="13059" width="8.6640625" style="4"/>
    <col min="13060" max="13060" width="13.33203125" style="4" customWidth="1"/>
    <col min="13061" max="13061" width="20.5" style="4" customWidth="1"/>
    <col min="13062" max="13062" width="9.5" style="4" customWidth="1"/>
    <col min="13063" max="13315" width="8.6640625" style="4"/>
    <col min="13316" max="13316" width="13.33203125" style="4" customWidth="1"/>
    <col min="13317" max="13317" width="20.5" style="4" customWidth="1"/>
    <col min="13318" max="13318" width="9.5" style="4" customWidth="1"/>
    <col min="13319" max="13571" width="8.6640625" style="4"/>
    <col min="13572" max="13572" width="13.33203125" style="4" customWidth="1"/>
    <col min="13573" max="13573" width="20.5" style="4" customWidth="1"/>
    <col min="13574" max="13574" width="9.5" style="4" customWidth="1"/>
    <col min="13575" max="13827" width="8.6640625" style="4"/>
    <col min="13828" max="13828" width="13.33203125" style="4" customWidth="1"/>
    <col min="13829" max="13829" width="20.5" style="4" customWidth="1"/>
    <col min="13830" max="13830" width="9.5" style="4" customWidth="1"/>
    <col min="13831" max="14083" width="8.6640625" style="4"/>
    <col min="14084" max="14084" width="13.33203125" style="4" customWidth="1"/>
    <col min="14085" max="14085" width="20.5" style="4" customWidth="1"/>
    <col min="14086" max="14086" width="9.5" style="4" customWidth="1"/>
    <col min="14087" max="14339" width="8.6640625" style="4"/>
    <col min="14340" max="14340" width="13.33203125" style="4" customWidth="1"/>
    <col min="14341" max="14341" width="20.5" style="4" customWidth="1"/>
    <col min="14342" max="14342" width="9.5" style="4" customWidth="1"/>
    <col min="14343" max="14595" width="8.6640625" style="4"/>
    <col min="14596" max="14596" width="13.33203125" style="4" customWidth="1"/>
    <col min="14597" max="14597" width="20.5" style="4" customWidth="1"/>
    <col min="14598" max="14598" width="9.5" style="4" customWidth="1"/>
    <col min="14599" max="14851" width="8.6640625" style="4"/>
    <col min="14852" max="14852" width="13.33203125" style="4" customWidth="1"/>
    <col min="14853" max="14853" width="20.5" style="4" customWidth="1"/>
    <col min="14854" max="14854" width="9.5" style="4" customWidth="1"/>
    <col min="14855" max="15107" width="8.6640625" style="4"/>
    <col min="15108" max="15108" width="13.33203125" style="4" customWidth="1"/>
    <col min="15109" max="15109" width="20.5" style="4" customWidth="1"/>
    <col min="15110" max="15110" width="9.5" style="4" customWidth="1"/>
    <col min="15111" max="15363" width="8.6640625" style="4"/>
    <col min="15364" max="15364" width="13.33203125" style="4" customWidth="1"/>
    <col min="15365" max="15365" width="20.5" style="4" customWidth="1"/>
    <col min="15366" max="15366" width="9.5" style="4" customWidth="1"/>
    <col min="15367" max="15619" width="8.6640625" style="4"/>
    <col min="15620" max="15620" width="13.33203125" style="4" customWidth="1"/>
    <col min="15621" max="15621" width="20.5" style="4" customWidth="1"/>
    <col min="15622" max="15622" width="9.5" style="4" customWidth="1"/>
    <col min="15623" max="15875" width="8.6640625" style="4"/>
    <col min="15876" max="15876" width="13.33203125" style="4" customWidth="1"/>
    <col min="15877" max="15877" width="20.5" style="4" customWidth="1"/>
    <col min="15878" max="15878" width="9.5" style="4" customWidth="1"/>
    <col min="15879" max="16131" width="8.6640625" style="4"/>
    <col min="16132" max="16132" width="13.33203125" style="4" customWidth="1"/>
    <col min="16133" max="16133" width="20.5" style="4" customWidth="1"/>
    <col min="16134" max="16134" width="9.5" style="4" customWidth="1"/>
    <col min="16135" max="16384" width="8.6640625" style="4"/>
  </cols>
  <sheetData>
    <row r="1" spans="1:72" s="2" customFormat="1" ht="85">
      <c r="A1" t="s">
        <v>0</v>
      </c>
      <c r="B1" t="s">
        <v>59</v>
      </c>
      <c r="C1" t="s">
        <v>1</v>
      </c>
      <c r="D1" t="s">
        <v>2</v>
      </c>
      <c r="E1" t="s">
        <v>3</v>
      </c>
      <c r="F1" t="s">
        <v>60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s="3" t="s">
        <v>11</v>
      </c>
      <c r="T1" s="3" t="s">
        <v>29</v>
      </c>
      <c r="U1" s="3" t="s">
        <v>12</v>
      </c>
      <c r="V1" s="3" t="s">
        <v>13</v>
      </c>
      <c r="W1" s="3" t="s">
        <v>30</v>
      </c>
      <c r="X1" s="3" t="s">
        <v>31</v>
      </c>
      <c r="Y1" s="3" t="s">
        <v>32</v>
      </c>
      <c r="Z1" s="2" t="s">
        <v>14</v>
      </c>
      <c r="AA1" s="2" t="s">
        <v>15</v>
      </c>
      <c r="AB1" s="2" t="s">
        <v>16</v>
      </c>
      <c r="AC1" s="2" t="s">
        <v>17</v>
      </c>
      <c r="AD1" s="2" t="s">
        <v>18</v>
      </c>
      <c r="AE1" s="2" t="s">
        <v>19</v>
      </c>
      <c r="AF1" s="3" t="s">
        <v>46</v>
      </c>
      <c r="AG1" s="3" t="s">
        <v>13</v>
      </c>
      <c r="AH1" s="3" t="s">
        <v>33</v>
      </c>
      <c r="AI1" s="3" t="s">
        <v>34</v>
      </c>
      <c r="AJ1" s="3" t="s">
        <v>35</v>
      </c>
      <c r="AK1" s="2" t="s">
        <v>20</v>
      </c>
      <c r="AL1" s="2" t="s">
        <v>21</v>
      </c>
      <c r="AM1" s="2" t="s">
        <v>22</v>
      </c>
      <c r="AN1" s="2" t="s">
        <v>23</v>
      </c>
      <c r="AO1" s="2" t="s">
        <v>24</v>
      </c>
      <c r="AP1" s="2" t="s">
        <v>25</v>
      </c>
      <c r="AQ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spans="1:72" ht="15">
      <c r="A2" s="6" t="s">
        <v>47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72" customFormat="1" ht="15">
      <c r="A3" s="1">
        <v>46101</v>
      </c>
      <c r="B3" s="16">
        <v>0.5163078703703704</v>
      </c>
      <c r="C3" t="s">
        <v>221</v>
      </c>
      <c r="D3" t="s">
        <v>81</v>
      </c>
      <c r="E3">
        <v>19</v>
      </c>
      <c r="F3" t="s">
        <v>63</v>
      </c>
      <c r="G3">
        <v>1</v>
      </c>
      <c r="H3">
        <v>1</v>
      </c>
      <c r="I3" t="s">
        <v>64</v>
      </c>
      <c r="J3" t="s">
        <v>65</v>
      </c>
      <c r="K3">
        <v>9.1899999999999996E-2</v>
      </c>
      <c r="L3">
        <v>1.17</v>
      </c>
      <c r="M3">
        <v>-2.4</v>
      </c>
      <c r="N3" t="s">
        <v>66</v>
      </c>
      <c r="O3" t="s">
        <v>67</v>
      </c>
      <c r="P3">
        <v>0.18</v>
      </c>
      <c r="Q3">
        <v>2.44</v>
      </c>
      <c r="R3">
        <v>18.5</v>
      </c>
      <c r="S3" s="4"/>
      <c r="T3" s="4">
        <v>1</v>
      </c>
      <c r="U3" s="4">
        <v>1</v>
      </c>
      <c r="V3" s="4"/>
      <c r="W3" s="13">
        <f t="shared" ref="W3:W7" si="0">M3*H3</f>
        <v>-2.4</v>
      </c>
      <c r="X3" s="15">
        <f t="shared" ref="X3:X7" si="1">IF(T3=1,W3,(W3-0))</f>
        <v>-2.4</v>
      </c>
      <c r="Y3" s="15">
        <f t="shared" ref="Y3:Y7" si="2">IF(T3=1,W3,(X3*T3))</f>
        <v>-2.4</v>
      </c>
      <c r="Z3" s="4"/>
      <c r="AA3" s="4"/>
      <c r="AB3" s="4"/>
      <c r="AC3" s="4"/>
      <c r="AD3" s="4"/>
      <c r="AE3" s="4"/>
      <c r="AF3" s="4">
        <v>1</v>
      </c>
      <c r="AG3" s="4"/>
      <c r="AH3" s="4">
        <f t="shared" ref="AH3:AH7" si="3">R3*H3</f>
        <v>18.5</v>
      </c>
      <c r="AI3" s="4">
        <f t="shared" ref="AI3:AI7" si="4">IF(T3=1,AH3,(AH3-0))</f>
        <v>18.5</v>
      </c>
      <c r="AJ3" s="4">
        <f t="shared" ref="AJ3:AJ7" si="5">IF(T3=1,AH3,(AI3*T3))</f>
        <v>18.5</v>
      </c>
      <c r="AK3" s="15"/>
      <c r="AL3" s="4"/>
      <c r="AM3" s="15"/>
      <c r="AN3" s="4"/>
      <c r="AO3" s="15"/>
      <c r="AP3" s="4"/>
      <c r="AQ3" s="4"/>
      <c r="AR3" s="4">
        <v>37</v>
      </c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</row>
    <row r="4" spans="1:72" customFormat="1" ht="15">
      <c r="A4" s="1">
        <v>46101</v>
      </c>
      <c r="B4" s="16">
        <v>0.5172106481481481</v>
      </c>
      <c r="C4" t="s">
        <v>221</v>
      </c>
      <c r="D4" t="s">
        <v>81</v>
      </c>
      <c r="E4">
        <v>20</v>
      </c>
      <c r="F4" t="s">
        <v>63</v>
      </c>
      <c r="G4">
        <v>1</v>
      </c>
      <c r="H4">
        <v>1</v>
      </c>
      <c r="I4" t="s">
        <v>64</v>
      </c>
      <c r="J4" t="s">
        <v>65</v>
      </c>
      <c r="K4">
        <v>5.0099999999999999E-2</v>
      </c>
      <c r="L4">
        <v>1.04</v>
      </c>
      <c r="M4">
        <v>-6.39</v>
      </c>
      <c r="N4" t="s">
        <v>66</v>
      </c>
      <c r="O4" t="s">
        <v>67</v>
      </c>
      <c r="P4">
        <v>0.182</v>
      </c>
      <c r="Q4">
        <v>2.46</v>
      </c>
      <c r="R4">
        <v>19.899999999999999</v>
      </c>
      <c r="S4" s="4"/>
      <c r="T4" s="4">
        <v>1</v>
      </c>
      <c r="U4" s="4">
        <v>1</v>
      </c>
      <c r="V4" s="4"/>
      <c r="W4" s="13">
        <f t="shared" si="0"/>
        <v>-6.39</v>
      </c>
      <c r="X4" s="15">
        <f t="shared" si="1"/>
        <v>-6.39</v>
      </c>
      <c r="Y4" s="15">
        <f t="shared" si="2"/>
        <v>-6.39</v>
      </c>
      <c r="Z4" s="4"/>
      <c r="AA4" s="4"/>
      <c r="AB4" s="4"/>
      <c r="AC4" s="4"/>
      <c r="AD4" s="4"/>
      <c r="AE4" s="4"/>
      <c r="AF4" s="4">
        <v>1</v>
      </c>
      <c r="AG4" s="4"/>
      <c r="AH4" s="4">
        <f t="shared" si="3"/>
        <v>19.899999999999999</v>
      </c>
      <c r="AI4" s="4">
        <f t="shared" si="4"/>
        <v>19.899999999999999</v>
      </c>
      <c r="AJ4" s="4">
        <f t="shared" si="5"/>
        <v>19.899999999999999</v>
      </c>
      <c r="AK4" s="15"/>
      <c r="AL4" s="4"/>
      <c r="AM4" s="15"/>
      <c r="AN4" s="4"/>
      <c r="AO4" s="15"/>
      <c r="AP4" s="4"/>
      <c r="AQ4" s="4"/>
      <c r="AR4" s="4">
        <v>38</v>
      </c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</row>
    <row r="5" spans="1:72" customFormat="1" ht="15">
      <c r="A5" s="1">
        <v>46101</v>
      </c>
      <c r="B5" s="16">
        <v>0.51810185185185187</v>
      </c>
      <c r="C5" t="s">
        <v>221</v>
      </c>
      <c r="D5" t="s">
        <v>81</v>
      </c>
      <c r="E5">
        <v>21</v>
      </c>
      <c r="F5" t="s">
        <v>63</v>
      </c>
      <c r="G5">
        <v>1</v>
      </c>
      <c r="H5">
        <v>1</v>
      </c>
      <c r="I5" t="s">
        <v>64</v>
      </c>
      <c r="J5" t="s">
        <v>65</v>
      </c>
      <c r="K5">
        <v>5.3999999999999999E-2</v>
      </c>
      <c r="L5">
        <v>1.1499999999999999</v>
      </c>
      <c r="M5">
        <v>-3.23</v>
      </c>
      <c r="N5" t="s">
        <v>66</v>
      </c>
      <c r="O5" t="s">
        <v>67</v>
      </c>
      <c r="P5">
        <v>0.183</v>
      </c>
      <c r="Q5">
        <v>2.48</v>
      </c>
      <c r="R5">
        <v>21</v>
      </c>
      <c r="S5" s="4"/>
      <c r="T5" s="4">
        <v>1</v>
      </c>
      <c r="U5" s="4">
        <v>1</v>
      </c>
      <c r="V5" s="4"/>
      <c r="W5" s="13">
        <f t="shared" si="0"/>
        <v>-3.23</v>
      </c>
      <c r="X5" s="15">
        <f t="shared" si="1"/>
        <v>-3.23</v>
      </c>
      <c r="Y5" s="15">
        <f t="shared" si="2"/>
        <v>-3.23</v>
      </c>
      <c r="Z5" s="4"/>
      <c r="AA5" s="4"/>
      <c r="AB5" s="4"/>
      <c r="AC5" s="4"/>
      <c r="AD5" s="4"/>
      <c r="AE5" s="4"/>
      <c r="AF5" s="4">
        <v>1</v>
      </c>
      <c r="AG5" s="4"/>
      <c r="AH5" s="4">
        <f t="shared" si="3"/>
        <v>21</v>
      </c>
      <c r="AI5" s="4">
        <f t="shared" si="4"/>
        <v>21</v>
      </c>
      <c r="AJ5" s="4">
        <f t="shared" si="5"/>
        <v>21</v>
      </c>
      <c r="AK5" s="15"/>
      <c r="AL5" s="4"/>
      <c r="AM5" s="15"/>
      <c r="AN5" s="4"/>
      <c r="AO5" s="15"/>
      <c r="AP5" s="4"/>
      <c r="AQ5" s="4"/>
      <c r="AR5" s="4">
        <v>39</v>
      </c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</row>
    <row r="6" spans="1:72" customFormat="1" ht="15">
      <c r="A6" s="1">
        <v>46101</v>
      </c>
      <c r="B6" s="16">
        <v>0.51899305555555553</v>
      </c>
      <c r="C6" t="s">
        <v>221</v>
      </c>
      <c r="D6" t="s">
        <v>81</v>
      </c>
      <c r="E6">
        <v>22</v>
      </c>
      <c r="F6" t="s">
        <v>63</v>
      </c>
      <c r="G6">
        <v>1</v>
      </c>
      <c r="H6">
        <v>1</v>
      </c>
      <c r="I6" t="s">
        <v>64</v>
      </c>
      <c r="J6" t="s">
        <v>65</v>
      </c>
      <c r="K6">
        <v>5.4800000000000001E-2</v>
      </c>
      <c r="L6">
        <v>1.1599999999999999</v>
      </c>
      <c r="M6">
        <v>-2.7</v>
      </c>
      <c r="N6" t="s">
        <v>66</v>
      </c>
      <c r="O6" t="s">
        <v>67</v>
      </c>
      <c r="P6">
        <v>0.17599999999999999</v>
      </c>
      <c r="Q6">
        <v>2.37</v>
      </c>
      <c r="R6">
        <v>14</v>
      </c>
      <c r="S6" s="4"/>
      <c r="T6" s="4">
        <v>1</v>
      </c>
      <c r="U6" s="4">
        <v>1</v>
      </c>
      <c r="V6" s="4"/>
      <c r="W6" s="13">
        <f t="shared" si="0"/>
        <v>-2.7</v>
      </c>
      <c r="X6" s="15">
        <f t="shared" si="1"/>
        <v>-2.7</v>
      </c>
      <c r="Y6" s="15">
        <f t="shared" si="2"/>
        <v>-2.7</v>
      </c>
      <c r="Z6" s="4"/>
      <c r="AA6" s="4"/>
      <c r="AB6" s="4"/>
      <c r="AC6" s="4"/>
      <c r="AD6" s="4"/>
      <c r="AE6" s="4"/>
      <c r="AF6" s="4">
        <v>1</v>
      </c>
      <c r="AG6" s="4"/>
      <c r="AH6" s="4">
        <f t="shared" si="3"/>
        <v>14</v>
      </c>
      <c r="AI6" s="4">
        <f t="shared" si="4"/>
        <v>14</v>
      </c>
      <c r="AJ6" s="4">
        <f t="shared" si="5"/>
        <v>14</v>
      </c>
      <c r="AK6" s="15"/>
      <c r="AL6" s="4"/>
      <c r="AM6" s="15"/>
      <c r="AN6" s="4"/>
      <c r="AO6" s="15"/>
      <c r="AP6" s="4"/>
      <c r="AQ6" s="4"/>
      <c r="AR6" s="4">
        <v>40</v>
      </c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</row>
    <row r="7" spans="1:72" customFormat="1" ht="15">
      <c r="A7" s="1">
        <v>46101</v>
      </c>
      <c r="B7" s="16">
        <v>0.51987268518518515</v>
      </c>
      <c r="C7" t="s">
        <v>221</v>
      </c>
      <c r="D7" t="s">
        <v>81</v>
      </c>
      <c r="E7">
        <v>23</v>
      </c>
      <c r="F7" t="s">
        <v>63</v>
      </c>
      <c r="G7">
        <v>1</v>
      </c>
      <c r="H7">
        <v>1</v>
      </c>
      <c r="I7" t="s">
        <v>64</v>
      </c>
      <c r="J7" t="s">
        <v>65</v>
      </c>
      <c r="K7">
        <v>5.4800000000000001E-2</v>
      </c>
      <c r="L7">
        <v>1.19</v>
      </c>
      <c r="M7">
        <v>-2.0099999999999998</v>
      </c>
      <c r="N7" t="s">
        <v>66</v>
      </c>
      <c r="O7" t="s">
        <v>67</v>
      </c>
      <c r="P7">
        <v>0.182</v>
      </c>
      <c r="Q7">
        <v>2.48</v>
      </c>
      <c r="R7">
        <v>20.8</v>
      </c>
      <c r="S7" s="4"/>
      <c r="T7" s="4">
        <v>1</v>
      </c>
      <c r="U7" s="4">
        <v>1</v>
      </c>
      <c r="V7" s="4"/>
      <c r="W7" s="13">
        <f t="shared" si="0"/>
        <v>-2.0099999999999998</v>
      </c>
      <c r="X7" s="15">
        <f t="shared" si="1"/>
        <v>-2.0099999999999998</v>
      </c>
      <c r="Y7" s="15">
        <f t="shared" si="2"/>
        <v>-2.0099999999999998</v>
      </c>
      <c r="Z7" s="4"/>
      <c r="AA7" s="4"/>
      <c r="AB7" s="4"/>
      <c r="AC7" s="4"/>
      <c r="AD7" s="4"/>
      <c r="AE7" s="4"/>
      <c r="AF7" s="4">
        <v>1</v>
      </c>
      <c r="AG7" s="4"/>
      <c r="AH7" s="4">
        <f t="shared" si="3"/>
        <v>20.8</v>
      </c>
      <c r="AI7" s="4">
        <f t="shared" si="4"/>
        <v>20.8</v>
      </c>
      <c r="AJ7" s="4">
        <f t="shared" si="5"/>
        <v>20.8</v>
      </c>
      <c r="AK7" s="15"/>
      <c r="AL7" s="4"/>
      <c r="AM7" s="15"/>
      <c r="AN7" s="4"/>
      <c r="AO7" s="15"/>
      <c r="AP7" s="4"/>
      <c r="AQ7" s="4"/>
      <c r="AR7" s="4">
        <v>41</v>
      </c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</row>
    <row r="8" spans="1:72" customFormat="1" ht="15">
      <c r="A8" s="1"/>
      <c r="T8" s="4"/>
      <c r="U8" s="4"/>
      <c r="V8" s="4"/>
      <c r="W8" s="4"/>
      <c r="X8" s="4"/>
      <c r="Y8" s="4"/>
      <c r="Z8" s="4"/>
      <c r="AA8" s="4"/>
      <c r="AF8" s="4"/>
      <c r="AG8" s="4"/>
      <c r="AH8" s="13"/>
      <c r="AI8" s="15"/>
      <c r="AJ8" s="15"/>
      <c r="AK8" s="15"/>
      <c r="AL8" s="4"/>
      <c r="AQ8" s="4"/>
      <c r="AR8" s="4"/>
    </row>
    <row r="9" spans="1:72" customFormat="1" ht="15">
      <c r="A9" s="1"/>
      <c r="T9" s="4"/>
      <c r="U9" s="4"/>
      <c r="V9" s="4"/>
      <c r="W9" s="4"/>
      <c r="X9" s="4"/>
      <c r="Y9" s="4"/>
      <c r="Z9" s="4"/>
      <c r="AA9" s="4"/>
      <c r="AF9" s="4"/>
      <c r="AG9" s="4"/>
      <c r="AH9" s="13"/>
      <c r="AI9" s="15"/>
      <c r="AJ9" s="15"/>
      <c r="AK9" s="15"/>
      <c r="AL9" s="4"/>
      <c r="AQ9" s="4"/>
      <c r="AR9" s="4"/>
    </row>
    <row r="10" spans="1:72" ht="15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spans="1:72" ht="15">
      <c r="A11" s="8"/>
      <c r="B11" s="9"/>
      <c r="C11" s="9"/>
      <c r="D11" s="9"/>
      <c r="E11" s="9"/>
      <c r="F11" s="9"/>
      <c r="G11" s="9"/>
      <c r="H11" s="9"/>
      <c r="I11" s="9"/>
      <c r="J11" s="10" t="s">
        <v>28</v>
      </c>
      <c r="K11" s="9"/>
      <c r="L11" s="12"/>
      <c r="M11" s="12">
        <v>0</v>
      </c>
      <c r="N11" s="9"/>
      <c r="O11" s="10" t="s">
        <v>28</v>
      </c>
      <c r="P11" s="9"/>
      <c r="Q11" s="12"/>
      <c r="R11" s="12">
        <v>0</v>
      </c>
    </row>
    <row r="12" spans="1:72" ht="15">
      <c r="A12" s="8"/>
      <c r="B12" s="9"/>
      <c r="C12" s="9"/>
      <c r="D12" s="9"/>
      <c r="E12" s="9"/>
      <c r="F12" s="9"/>
      <c r="G12" s="9"/>
      <c r="H12" s="9"/>
      <c r="I12" s="9"/>
      <c r="J12" s="10" t="s">
        <v>36</v>
      </c>
      <c r="K12" s="9"/>
      <c r="L12" s="11">
        <f>AVERAGE(L3:L7)</f>
        <v>1.1419999999999999</v>
      </c>
      <c r="M12" s="11">
        <f>AVERAGE(M3:M7)</f>
        <v>-3.3459999999999992</v>
      </c>
      <c r="N12" s="9"/>
      <c r="O12" s="10" t="s">
        <v>36</v>
      </c>
      <c r="P12" s="9"/>
      <c r="Q12" s="11">
        <f>AVERAGE(Q3:Q7)</f>
        <v>2.4460000000000002</v>
      </c>
      <c r="R12" s="11">
        <f>AVERAGE(R3:R7)</f>
        <v>18.84</v>
      </c>
    </row>
    <row r="13" spans="1:72" ht="15">
      <c r="A13" s="8"/>
      <c r="B13" s="9"/>
      <c r="D13" s="9"/>
      <c r="E13" s="9"/>
      <c r="F13" s="9"/>
      <c r="G13" s="9"/>
      <c r="H13" s="9"/>
      <c r="I13" s="9"/>
      <c r="J13" s="10" t="s">
        <v>37</v>
      </c>
      <c r="K13" s="9"/>
      <c r="L13" s="11">
        <f>_xlfn.STDEV.S(L3:L7)</f>
        <v>5.8906705900092525E-2</v>
      </c>
      <c r="M13" s="11">
        <f>_xlfn.STDEV.S(M3:M7)</f>
        <v>1.7590139283132478</v>
      </c>
      <c r="N13" s="9"/>
      <c r="O13" s="10" t="s">
        <v>37</v>
      </c>
      <c r="P13" s="9"/>
      <c r="Q13" s="11">
        <f>_xlfn.STDEV.S(Q3:Q7)</f>
        <v>4.5607017003965467E-2</v>
      </c>
      <c r="R13" s="11">
        <f>_xlfn.STDEV.S(R3:R7)</f>
        <v>2.8797569341873195</v>
      </c>
    </row>
    <row r="14" spans="1:72" ht="15">
      <c r="A14" s="8"/>
      <c r="B14" s="9"/>
      <c r="D14" s="9"/>
      <c r="E14" s="9"/>
      <c r="F14" s="9"/>
      <c r="G14" s="9"/>
      <c r="H14" s="9"/>
      <c r="I14" s="9"/>
      <c r="J14" s="10" t="s">
        <v>38</v>
      </c>
      <c r="K14" s="9"/>
      <c r="L14" s="11">
        <f>100*L13/L12</f>
        <v>5.1582054203233385</v>
      </c>
      <c r="M14" s="11">
        <f>100*M13/M12</f>
        <v>-52.570649381746811</v>
      </c>
      <c r="N14" s="9"/>
      <c r="O14" s="10" t="s">
        <v>38</v>
      </c>
      <c r="P14" s="9"/>
      <c r="Q14" s="11">
        <f>100*Q13/Q12</f>
        <v>1.8645550696633468</v>
      </c>
      <c r="R14" s="11">
        <f>100*R13/R12</f>
        <v>15.285334045580253</v>
      </c>
    </row>
    <row r="15" spans="1:72" ht="15">
      <c r="A15" s="8"/>
      <c r="B15" s="9"/>
      <c r="D15" s="9"/>
      <c r="E15" s="9"/>
      <c r="F15" s="9"/>
      <c r="G15" s="9"/>
      <c r="H15" s="9"/>
      <c r="I15" s="9"/>
      <c r="J15" s="10" t="s">
        <v>39</v>
      </c>
      <c r="K15" s="9"/>
      <c r="L15" s="11">
        <f>TINV(0.02,4)</f>
        <v>3.7469473879791968</v>
      </c>
      <c r="M15" s="11">
        <f>TINV(0.02,4)</f>
        <v>3.7469473879791968</v>
      </c>
      <c r="N15" s="9"/>
      <c r="O15" s="10" t="s">
        <v>39</v>
      </c>
      <c r="P15" s="9"/>
      <c r="Q15" s="11">
        <f>TINV(0.02,4)</f>
        <v>3.7469473879791968</v>
      </c>
      <c r="R15" s="11">
        <f>TINV(0.02,4)</f>
        <v>3.7469473879791968</v>
      </c>
    </row>
    <row r="16" spans="1:72" ht="15">
      <c r="A16" s="8"/>
      <c r="B16" s="9"/>
      <c r="D16" s="9"/>
      <c r="E16" s="9"/>
      <c r="F16" s="9"/>
      <c r="G16" s="9"/>
      <c r="H16" s="9"/>
      <c r="I16" s="9"/>
      <c r="J16" s="10" t="s">
        <v>40</v>
      </c>
      <c r="K16" s="9"/>
      <c r="L16" s="11">
        <f>L13*L15</f>
        <v>0.22072032780681042</v>
      </c>
      <c r="M16" s="11">
        <f>M13*M15</f>
        <v>6.5909326441123497</v>
      </c>
      <c r="N16" s="9"/>
      <c r="O16" s="10" t="s">
        <v>40</v>
      </c>
      <c r="P16" s="9"/>
      <c r="Q16" s="11">
        <f>Q13*Q15</f>
        <v>0.17088709323653123</v>
      </c>
      <c r="R16" s="11">
        <f>R13*R15</f>
        <v>10.790297722568157</v>
      </c>
    </row>
    <row r="17" spans="1:72" ht="15">
      <c r="A17" s="8"/>
      <c r="B17" s="9"/>
      <c r="D17" s="9"/>
      <c r="E17" s="9"/>
      <c r="F17" s="9"/>
      <c r="G17" s="9"/>
      <c r="H17" s="9"/>
      <c r="I17" s="9"/>
      <c r="J17" s="10" t="s">
        <v>41</v>
      </c>
      <c r="K17" s="9"/>
      <c r="L17" s="11">
        <f>10*L13</f>
        <v>0.58906705900092526</v>
      </c>
      <c r="M17" s="11">
        <f>10*M13</f>
        <v>17.590139283132476</v>
      </c>
      <c r="N17" s="9"/>
      <c r="O17" s="10" t="s">
        <v>41</v>
      </c>
      <c r="P17" s="9"/>
      <c r="Q17" s="11">
        <f>10*Q13</f>
        <v>0.45607017003965467</v>
      </c>
      <c r="R17" s="11">
        <f>10*R13</f>
        <v>28.797569341873196</v>
      </c>
    </row>
    <row r="18" spans="1:72" ht="15">
      <c r="A18" s="8"/>
      <c r="B18" s="9"/>
      <c r="D18" s="9"/>
      <c r="E18" s="9"/>
      <c r="F18" s="9"/>
      <c r="G18" s="9"/>
      <c r="H18" s="9"/>
      <c r="I18" s="9"/>
      <c r="J18" s="10" t="s">
        <v>42</v>
      </c>
      <c r="K18" s="9"/>
      <c r="L18" s="11"/>
      <c r="M18" s="11"/>
      <c r="N18" s="9"/>
      <c r="O18" s="10" t="s">
        <v>42</v>
      </c>
      <c r="P18" s="9"/>
      <c r="Q18" s="11"/>
      <c r="R18" s="11"/>
    </row>
    <row r="19" spans="1:72" ht="15">
      <c r="A19" s="8"/>
      <c r="B19" s="9"/>
      <c r="D19" s="9"/>
      <c r="E19" s="9"/>
      <c r="F19" s="9"/>
      <c r="G19" s="9"/>
      <c r="H19" s="9"/>
      <c r="I19" s="9"/>
      <c r="J19" s="10" t="s">
        <v>43</v>
      </c>
      <c r="K19" s="9"/>
      <c r="L19" s="11"/>
      <c r="M19" s="11"/>
      <c r="N19" s="9"/>
      <c r="O19" s="10" t="s">
        <v>43</v>
      </c>
      <c r="P19" s="9"/>
      <c r="Q19" s="11"/>
      <c r="R19" s="11"/>
    </row>
    <row r="20" spans="1:72" ht="15">
      <c r="A20" s="8"/>
      <c r="B20" s="9"/>
      <c r="D20" s="9"/>
      <c r="E20" s="9"/>
      <c r="F20" s="9"/>
      <c r="G20" s="9"/>
      <c r="H20" s="9"/>
      <c r="I20" s="9"/>
      <c r="J20" s="10" t="s">
        <v>44</v>
      </c>
      <c r="K20" s="9"/>
      <c r="L20" s="11"/>
      <c r="M20" s="11"/>
      <c r="N20" s="9"/>
      <c r="O20" s="10" t="s">
        <v>44</v>
      </c>
      <c r="P20" s="9"/>
      <c r="Q20" s="11"/>
      <c r="R20" s="11"/>
    </row>
    <row r="21" spans="1:72" ht="15">
      <c r="A21" s="6"/>
      <c r="J21" s="10" t="s">
        <v>45</v>
      </c>
      <c r="L21" s="11">
        <f>L12/L13</f>
        <v>19.386587359627015</v>
      </c>
      <c r="M21" s="11">
        <f>M12/M13</f>
        <v>-1.9022021066135291</v>
      </c>
      <c r="O21" s="10" t="s">
        <v>45</v>
      </c>
      <c r="Q21" s="11">
        <f>Q12/Q13</f>
        <v>53.632097880624904</v>
      </c>
      <c r="R21" s="11">
        <f>R12/R13</f>
        <v>6.5422188158795889</v>
      </c>
      <c r="X21" s="4" t="s">
        <v>26</v>
      </c>
      <c r="Y21" s="15">
        <f>AVERAGE(Y3:Y7)</f>
        <v>-3.3459999999999992</v>
      </c>
      <c r="AI21" s="4" t="s">
        <v>26</v>
      </c>
      <c r="AJ21" s="4">
        <f>AVERAGE(AJ3:AJ7)</f>
        <v>18.84</v>
      </c>
    </row>
    <row r="22" spans="1:72">
      <c r="A22" s="6"/>
      <c r="F22" s="4" t="s">
        <v>51</v>
      </c>
      <c r="H22" s="4" t="s">
        <v>49</v>
      </c>
      <c r="L22" s="4" t="s">
        <v>50</v>
      </c>
      <c r="M22" s="4">
        <v>0.41489999999999999</v>
      </c>
      <c r="Q22" s="4" t="s">
        <v>50</v>
      </c>
      <c r="R22" s="4">
        <v>0.35039999999999999</v>
      </c>
    </row>
    <row r="23" spans="1:72">
      <c r="A23" s="6"/>
      <c r="J23" s="4" t="s">
        <v>52</v>
      </c>
      <c r="L23" s="4">
        <f>COUNT(M3:M10)</f>
        <v>5</v>
      </c>
      <c r="Q23" s="4">
        <f>COUNT(R3:R10)</f>
        <v>5</v>
      </c>
    </row>
    <row r="24" spans="1:72">
      <c r="A24" s="6"/>
      <c r="J24" s="4" t="s">
        <v>53</v>
      </c>
      <c r="L24" s="4">
        <f>M13/SQRT(L23)</f>
        <v>0.78665494341547271</v>
      </c>
      <c r="Q24" s="4">
        <f>R13/SQRT(Q23)</f>
        <v>1.2878664527038468</v>
      </c>
    </row>
    <row r="25" spans="1:72">
      <c r="A25" s="6"/>
      <c r="J25" s="4" t="s">
        <v>54</v>
      </c>
      <c r="L25" s="4">
        <f>L23-1</f>
        <v>4</v>
      </c>
      <c r="Q25" s="4">
        <f>Q23-1</f>
        <v>4</v>
      </c>
    </row>
    <row r="26" spans="1:72">
      <c r="A26" s="6"/>
      <c r="J26" s="4" t="s">
        <v>55</v>
      </c>
      <c r="L26" s="4">
        <f>ABS((M12-0)/L24)</f>
        <v>4.2534532173311534</v>
      </c>
      <c r="Q26" s="4">
        <f>ABS((R12-0)/Q24)</f>
        <v>14.628845995984943</v>
      </c>
    </row>
    <row r="27" spans="1:72">
      <c r="A27" s="6"/>
      <c r="J27" s="4" t="s">
        <v>50</v>
      </c>
      <c r="L27" s="4">
        <f>_xlfn.T.DIST.2T(L26,L25)</f>
        <v>1.3121883683012746E-2</v>
      </c>
      <c r="Q27" s="4">
        <f>_xlfn.T.DIST.2T(Q26,Q25)</f>
        <v>1.2702858596998071E-4</v>
      </c>
    </row>
    <row r="28" spans="1:72" ht="15" customHeight="1"/>
    <row r="29" spans="1:72">
      <c r="A29" s="6" t="s">
        <v>27</v>
      </c>
    </row>
    <row r="30" spans="1:72" customFormat="1" ht="15">
      <c r="A30" s="1">
        <v>46101</v>
      </c>
      <c r="B30" s="16">
        <v>0.52075231481481477</v>
      </c>
      <c r="C30" t="s">
        <v>221</v>
      </c>
      <c r="D30" t="s">
        <v>82</v>
      </c>
      <c r="E30">
        <v>24</v>
      </c>
      <c r="F30" t="s">
        <v>63</v>
      </c>
      <c r="G30">
        <v>1</v>
      </c>
      <c r="H30">
        <v>1</v>
      </c>
      <c r="I30" t="s">
        <v>64</v>
      </c>
      <c r="J30" t="s">
        <v>65</v>
      </c>
      <c r="K30">
        <v>0.13500000000000001</v>
      </c>
      <c r="L30">
        <v>2.67</v>
      </c>
      <c r="M30">
        <v>42.3</v>
      </c>
      <c r="N30" t="s">
        <v>66</v>
      </c>
      <c r="O30" t="s">
        <v>67</v>
      </c>
      <c r="P30">
        <v>0.66100000000000003</v>
      </c>
      <c r="Q30">
        <v>8.68</v>
      </c>
      <c r="R30">
        <v>432</v>
      </c>
      <c r="S30" s="4"/>
      <c r="T30" s="4">
        <v>1</v>
      </c>
      <c r="U30" s="4">
        <v>1</v>
      </c>
      <c r="V30" s="4"/>
      <c r="W30" s="13">
        <f t="shared" ref="W30:W34" si="6">M30*H30</f>
        <v>42.3</v>
      </c>
      <c r="X30" s="15">
        <f t="shared" ref="X30:X34" si="7">IF(T30=1,W30,(W30-0))</f>
        <v>42.3</v>
      </c>
      <c r="Y30" s="15">
        <f t="shared" ref="Y30:Y34" si="8">IF(T30=1,W30,(X30*T30))</f>
        <v>42.3</v>
      </c>
      <c r="Z30" s="4"/>
      <c r="AA30" s="4"/>
      <c r="AB30" s="4"/>
      <c r="AC30" s="4"/>
      <c r="AD30" s="4"/>
      <c r="AE30" s="4"/>
      <c r="AF30" s="4">
        <v>1</v>
      </c>
      <c r="AG30" s="4"/>
      <c r="AH30" s="4">
        <f t="shared" ref="AH30:AH34" si="9">R30*H30</f>
        <v>432</v>
      </c>
      <c r="AI30" s="4">
        <f t="shared" ref="AI30:AI34" si="10">IF(T30=1,AH30,(AH30-0))</f>
        <v>432</v>
      </c>
      <c r="AJ30" s="4">
        <f t="shared" ref="AJ30:AJ34" si="11">IF(T30=1,AH30,(AI30*T30))</f>
        <v>432</v>
      </c>
      <c r="AK30" s="15"/>
      <c r="AL30" s="4"/>
      <c r="AM30" s="15"/>
      <c r="AN30" s="4"/>
      <c r="AO30" s="15"/>
      <c r="AP30" s="4"/>
      <c r="AQ30" s="4"/>
      <c r="AR30" s="4">
        <v>42</v>
      </c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</row>
    <row r="31" spans="1:72" customFormat="1" ht="15">
      <c r="A31" s="1">
        <v>46101</v>
      </c>
      <c r="B31" s="16">
        <v>0.52164351851851853</v>
      </c>
      <c r="C31" t="s">
        <v>221</v>
      </c>
      <c r="D31" t="s">
        <v>82</v>
      </c>
      <c r="E31">
        <v>25</v>
      </c>
      <c r="F31" t="s">
        <v>63</v>
      </c>
      <c r="G31">
        <v>1</v>
      </c>
      <c r="H31">
        <v>1</v>
      </c>
      <c r="I31" t="s">
        <v>64</v>
      </c>
      <c r="J31" t="s">
        <v>65</v>
      </c>
      <c r="K31">
        <v>0.13100000000000001</v>
      </c>
      <c r="L31">
        <v>2.63</v>
      </c>
      <c r="M31">
        <v>41.2</v>
      </c>
      <c r="N31" t="s">
        <v>66</v>
      </c>
      <c r="O31" t="s">
        <v>67</v>
      </c>
      <c r="P31">
        <v>0.68300000000000005</v>
      </c>
      <c r="Q31">
        <v>8.94</v>
      </c>
      <c r="R31">
        <v>449</v>
      </c>
      <c r="S31" s="4"/>
      <c r="T31" s="4">
        <v>1</v>
      </c>
      <c r="U31" s="4">
        <v>1</v>
      </c>
      <c r="V31" s="4"/>
      <c r="W31" s="13">
        <f t="shared" si="6"/>
        <v>41.2</v>
      </c>
      <c r="X31" s="15">
        <f t="shared" si="7"/>
        <v>41.2</v>
      </c>
      <c r="Y31" s="15">
        <f t="shared" si="8"/>
        <v>41.2</v>
      </c>
      <c r="Z31" s="4"/>
      <c r="AA31" s="4"/>
      <c r="AB31" s="4"/>
      <c r="AC31" s="4"/>
      <c r="AD31" s="4"/>
      <c r="AE31" s="4"/>
      <c r="AF31" s="4">
        <v>1</v>
      </c>
      <c r="AG31" s="4"/>
      <c r="AH31" s="4">
        <f t="shared" si="9"/>
        <v>449</v>
      </c>
      <c r="AI31" s="4">
        <f t="shared" si="10"/>
        <v>449</v>
      </c>
      <c r="AJ31" s="4">
        <f t="shared" si="11"/>
        <v>449</v>
      </c>
      <c r="AK31" s="15"/>
      <c r="AL31" s="4"/>
      <c r="AM31" s="15"/>
      <c r="AN31" s="4"/>
      <c r="AO31" s="15"/>
      <c r="AP31" s="4"/>
      <c r="AQ31" s="4"/>
      <c r="AR31" s="4">
        <v>43</v>
      </c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</row>
    <row r="32" spans="1:72" customFormat="1" ht="15">
      <c r="A32" s="1">
        <v>46101</v>
      </c>
      <c r="B32" s="16">
        <v>0.52252314814814815</v>
      </c>
      <c r="C32" t="s">
        <v>221</v>
      </c>
      <c r="D32" t="s">
        <v>82</v>
      </c>
      <c r="E32">
        <v>26</v>
      </c>
      <c r="F32" t="s">
        <v>63</v>
      </c>
      <c r="G32">
        <v>1</v>
      </c>
      <c r="H32">
        <v>1</v>
      </c>
      <c r="I32" t="s">
        <v>64</v>
      </c>
      <c r="J32" t="s">
        <v>65</v>
      </c>
      <c r="K32">
        <v>0.13</v>
      </c>
      <c r="L32">
        <v>2.6</v>
      </c>
      <c r="M32">
        <v>40.200000000000003</v>
      </c>
      <c r="N32" t="s">
        <v>66</v>
      </c>
      <c r="O32" t="s">
        <v>67</v>
      </c>
      <c r="P32">
        <v>0.63800000000000001</v>
      </c>
      <c r="Q32">
        <v>8.39</v>
      </c>
      <c r="R32">
        <v>413</v>
      </c>
      <c r="S32" s="4"/>
      <c r="T32" s="4">
        <v>1</v>
      </c>
      <c r="U32" s="4">
        <v>1</v>
      </c>
      <c r="V32" s="4"/>
      <c r="W32" s="13">
        <f t="shared" si="6"/>
        <v>40.200000000000003</v>
      </c>
      <c r="X32" s="15">
        <f t="shared" si="7"/>
        <v>40.200000000000003</v>
      </c>
      <c r="Y32" s="15">
        <f t="shared" si="8"/>
        <v>40.200000000000003</v>
      </c>
      <c r="Z32" s="4"/>
      <c r="AA32" s="4"/>
      <c r="AB32" s="4"/>
      <c r="AC32" s="4"/>
      <c r="AD32" s="4"/>
      <c r="AE32" s="4"/>
      <c r="AF32" s="4">
        <v>1</v>
      </c>
      <c r="AG32" s="4"/>
      <c r="AH32" s="4">
        <f t="shared" si="9"/>
        <v>413</v>
      </c>
      <c r="AI32" s="4">
        <f t="shared" si="10"/>
        <v>413</v>
      </c>
      <c r="AJ32" s="4">
        <f t="shared" si="11"/>
        <v>413</v>
      </c>
      <c r="AK32" s="15"/>
      <c r="AL32" s="4"/>
      <c r="AM32" s="15"/>
      <c r="AN32" s="4"/>
      <c r="AO32" s="15"/>
      <c r="AP32" s="4"/>
      <c r="AQ32" s="4"/>
      <c r="AR32" s="4">
        <v>44</v>
      </c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</row>
    <row r="33" spans="1:72" customFormat="1" ht="15">
      <c r="A33" s="1">
        <v>46101</v>
      </c>
      <c r="B33" s="16">
        <v>0.52340277777777777</v>
      </c>
      <c r="C33" t="s">
        <v>221</v>
      </c>
      <c r="D33" t="s">
        <v>82</v>
      </c>
      <c r="E33">
        <v>27</v>
      </c>
      <c r="F33" t="s">
        <v>63</v>
      </c>
      <c r="G33">
        <v>1</v>
      </c>
      <c r="H33">
        <v>1</v>
      </c>
      <c r="I33" t="s">
        <v>64</v>
      </c>
      <c r="J33" t="s">
        <v>65</v>
      </c>
      <c r="K33">
        <v>0.13100000000000001</v>
      </c>
      <c r="L33">
        <v>2.71</v>
      </c>
      <c r="M33">
        <v>43.6</v>
      </c>
      <c r="N33" t="s">
        <v>66</v>
      </c>
      <c r="O33" t="s">
        <v>67</v>
      </c>
      <c r="P33">
        <v>0.67400000000000004</v>
      </c>
      <c r="Q33">
        <v>8.8000000000000007</v>
      </c>
      <c r="R33">
        <v>440</v>
      </c>
      <c r="S33" s="4"/>
      <c r="T33" s="4">
        <v>1</v>
      </c>
      <c r="U33" s="4">
        <v>1</v>
      </c>
      <c r="V33" s="4"/>
      <c r="W33" s="13">
        <f t="shared" si="6"/>
        <v>43.6</v>
      </c>
      <c r="X33" s="15">
        <f t="shared" si="7"/>
        <v>43.6</v>
      </c>
      <c r="Y33" s="15">
        <f t="shared" si="8"/>
        <v>43.6</v>
      </c>
      <c r="Z33" s="4"/>
      <c r="AA33" s="4"/>
      <c r="AB33" s="4"/>
      <c r="AC33" s="4"/>
      <c r="AD33" s="4"/>
      <c r="AE33" s="4"/>
      <c r="AF33" s="4">
        <v>1</v>
      </c>
      <c r="AG33" s="4"/>
      <c r="AH33" s="4">
        <f t="shared" si="9"/>
        <v>440</v>
      </c>
      <c r="AI33" s="4">
        <f t="shared" si="10"/>
        <v>440</v>
      </c>
      <c r="AJ33" s="4">
        <f t="shared" si="11"/>
        <v>440</v>
      </c>
      <c r="AK33" s="15"/>
      <c r="AL33" s="4"/>
      <c r="AM33" s="15"/>
      <c r="AN33" s="4"/>
      <c r="AO33" s="15"/>
      <c r="AP33" s="4"/>
      <c r="AQ33" s="4"/>
      <c r="AR33" s="4">
        <v>45</v>
      </c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</row>
    <row r="34" spans="1:72" customFormat="1" ht="15">
      <c r="A34" s="1">
        <v>46101</v>
      </c>
      <c r="B34" s="16">
        <v>0.52428240740740739</v>
      </c>
      <c r="C34" t="s">
        <v>221</v>
      </c>
      <c r="D34" t="s">
        <v>82</v>
      </c>
      <c r="E34">
        <v>28</v>
      </c>
      <c r="F34" t="s">
        <v>63</v>
      </c>
      <c r="G34">
        <v>1</v>
      </c>
      <c r="H34">
        <v>1</v>
      </c>
      <c r="I34" t="s">
        <v>64</v>
      </c>
      <c r="J34" t="s">
        <v>65</v>
      </c>
      <c r="K34">
        <v>0.13400000000000001</v>
      </c>
      <c r="L34">
        <v>2.67</v>
      </c>
      <c r="M34">
        <v>42.1</v>
      </c>
      <c r="N34" t="s">
        <v>66</v>
      </c>
      <c r="O34" t="s">
        <v>67</v>
      </c>
      <c r="P34">
        <v>0.754</v>
      </c>
      <c r="Q34">
        <v>7.74</v>
      </c>
      <c r="R34">
        <v>371</v>
      </c>
      <c r="S34" s="4"/>
      <c r="T34" s="4">
        <v>1</v>
      </c>
      <c r="U34" s="4">
        <v>1</v>
      </c>
      <c r="V34" s="4"/>
      <c r="W34" s="13">
        <f t="shared" si="6"/>
        <v>42.1</v>
      </c>
      <c r="X34" s="15">
        <f t="shared" si="7"/>
        <v>42.1</v>
      </c>
      <c r="Y34" s="15">
        <f t="shared" si="8"/>
        <v>42.1</v>
      </c>
      <c r="Z34" s="4"/>
      <c r="AA34" s="4"/>
      <c r="AB34" s="4"/>
      <c r="AC34" s="4"/>
      <c r="AD34" s="4"/>
      <c r="AE34" s="4"/>
      <c r="AF34" s="4">
        <v>1</v>
      </c>
      <c r="AG34" s="4"/>
      <c r="AH34" s="4">
        <f t="shared" si="9"/>
        <v>371</v>
      </c>
      <c r="AI34" s="4">
        <f t="shared" si="10"/>
        <v>371</v>
      </c>
      <c r="AJ34" s="4">
        <f t="shared" si="11"/>
        <v>371</v>
      </c>
      <c r="AK34" s="15"/>
      <c r="AL34" s="4"/>
      <c r="AM34" s="15"/>
      <c r="AN34" s="4"/>
      <c r="AO34" s="15"/>
      <c r="AP34" s="4"/>
      <c r="AQ34" s="4"/>
      <c r="AR34" s="4">
        <v>46</v>
      </c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</row>
    <row r="35" spans="1:72" customFormat="1" ht="15">
      <c r="A35" s="1"/>
      <c r="T35" s="4"/>
      <c r="U35" s="4"/>
      <c r="V35" s="4"/>
      <c r="W35" s="4"/>
      <c r="X35" s="4"/>
      <c r="Y35" s="4"/>
      <c r="Z35" s="4"/>
      <c r="AA35" s="4"/>
      <c r="AF35" s="4"/>
      <c r="AG35" s="4"/>
      <c r="AH35" s="13"/>
      <c r="AI35" s="15"/>
      <c r="AJ35" s="15"/>
      <c r="AK35" s="15"/>
      <c r="AL35" s="4"/>
      <c r="AQ35" s="4"/>
      <c r="AR35" s="4"/>
    </row>
    <row r="36" spans="1:72" ht="15">
      <c r="A36" s="8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X36" s="9"/>
      <c r="Y36" s="9"/>
      <c r="Z36" s="9"/>
      <c r="AA36" s="9"/>
      <c r="AB36" s="9"/>
      <c r="AC36" s="9"/>
    </row>
    <row r="37" spans="1:72" ht="15">
      <c r="A37" s="8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X37" s="9"/>
      <c r="Y37" s="9"/>
      <c r="Z37" s="9"/>
      <c r="AA37" s="9"/>
      <c r="AB37" s="9"/>
      <c r="AC37" s="9"/>
    </row>
    <row r="38" spans="1:72" ht="15">
      <c r="A38" s="8"/>
      <c r="B38" s="9"/>
      <c r="C38" s="9"/>
      <c r="D38" s="9"/>
      <c r="E38" s="9"/>
      <c r="F38" s="9"/>
      <c r="G38" s="9"/>
      <c r="H38" s="9"/>
      <c r="I38" s="9"/>
      <c r="J38" s="10"/>
      <c r="K38" s="12"/>
      <c r="L38" s="10" t="s">
        <v>28</v>
      </c>
      <c r="M38" s="12">
        <v>40</v>
      </c>
      <c r="N38" s="9"/>
      <c r="O38" s="9"/>
      <c r="P38" s="9"/>
      <c r="Q38" s="10" t="s">
        <v>28</v>
      </c>
      <c r="R38" s="12">
        <v>400</v>
      </c>
      <c r="X38" s="10" t="s">
        <v>28</v>
      </c>
      <c r="Y38" s="12">
        <v>40</v>
      </c>
      <c r="AI38" s="10" t="s">
        <v>28</v>
      </c>
      <c r="AJ38" s="12">
        <v>400</v>
      </c>
    </row>
    <row r="39" spans="1:72" ht="15">
      <c r="A39" s="8"/>
      <c r="B39" s="9"/>
      <c r="C39" s="9"/>
      <c r="D39" s="9"/>
      <c r="E39" s="9"/>
      <c r="F39" s="9"/>
      <c r="G39" s="9"/>
      <c r="H39" s="9"/>
      <c r="I39" s="9"/>
      <c r="J39" s="10"/>
      <c r="K39" s="11"/>
      <c r="L39" s="10" t="s">
        <v>36</v>
      </c>
      <c r="M39" s="11">
        <f>AVERAGE(M30:M34)</f>
        <v>41.88</v>
      </c>
      <c r="N39" s="9"/>
      <c r="O39" s="9"/>
      <c r="P39" s="9"/>
      <c r="Q39" s="10" t="s">
        <v>36</v>
      </c>
      <c r="R39" s="11">
        <f>AVERAGE(R30:R34)</f>
        <v>421</v>
      </c>
      <c r="X39" s="10" t="s">
        <v>36</v>
      </c>
      <c r="Y39" s="11">
        <f>AVERAGE(Y30:Y34)</f>
        <v>41.88</v>
      </c>
      <c r="AI39" s="10" t="s">
        <v>36</v>
      </c>
      <c r="AJ39" s="11">
        <f>AVERAGE(AJ30:AJ34)</f>
        <v>421</v>
      </c>
    </row>
    <row r="40" spans="1:72" ht="15">
      <c r="A40" s="8"/>
      <c r="B40" s="9"/>
      <c r="D40" s="9"/>
      <c r="E40" s="9"/>
      <c r="F40" s="9"/>
      <c r="G40" s="9"/>
      <c r="H40" s="9"/>
      <c r="I40" s="9"/>
      <c r="J40" s="10"/>
      <c r="K40" s="11"/>
      <c r="L40" s="10" t="s">
        <v>37</v>
      </c>
      <c r="M40" s="11">
        <f>_xlfn.STDEV.S(M30:M34)</f>
        <v>1.2716131487209454</v>
      </c>
      <c r="N40" s="9"/>
      <c r="O40" s="9"/>
      <c r="P40" s="9"/>
      <c r="Q40" s="10" t="s">
        <v>37</v>
      </c>
      <c r="R40" s="11">
        <f>_xlfn.STDEV.S(R30:R34)</f>
        <v>30.943496893531602</v>
      </c>
      <c r="X40" s="10" t="s">
        <v>37</v>
      </c>
      <c r="Y40" s="11">
        <f>_xlfn.STDEV.S(Y30:Y34)</f>
        <v>1.2716131487209454</v>
      </c>
      <c r="AI40" s="10" t="s">
        <v>37</v>
      </c>
      <c r="AJ40" s="11">
        <f>_xlfn.STDEV.S(AJ30:AJ34)</f>
        <v>30.943496893531602</v>
      </c>
    </row>
    <row r="41" spans="1:72" ht="15">
      <c r="A41" s="8"/>
      <c r="B41" s="9"/>
      <c r="D41" s="9"/>
      <c r="E41" s="9"/>
      <c r="F41" s="9"/>
      <c r="G41" s="9"/>
      <c r="H41" s="9"/>
      <c r="I41" s="9"/>
      <c r="J41" s="10"/>
      <c r="K41" s="11"/>
      <c r="L41" s="10" t="s">
        <v>38</v>
      </c>
      <c r="M41" s="11">
        <f>100*M40/M39</f>
        <v>3.0363255700118086</v>
      </c>
      <c r="N41" s="9"/>
      <c r="O41" s="9"/>
      <c r="P41" s="9"/>
      <c r="Q41" s="10" t="s">
        <v>38</v>
      </c>
      <c r="R41" s="11">
        <f>100*R40/R39</f>
        <v>7.3499992621215204</v>
      </c>
      <c r="X41" s="10" t="s">
        <v>38</v>
      </c>
      <c r="Y41" s="11">
        <f>100*Y40/Y39</f>
        <v>3.0363255700118086</v>
      </c>
      <c r="AI41" s="10" t="s">
        <v>38</v>
      </c>
      <c r="AJ41" s="11">
        <f>100*AJ40/AJ39</f>
        <v>7.3499992621215204</v>
      </c>
    </row>
    <row r="42" spans="1:72" ht="15">
      <c r="A42" s="8"/>
      <c r="B42" s="9"/>
      <c r="D42" s="9"/>
      <c r="E42" s="9"/>
      <c r="F42" s="9"/>
      <c r="G42" s="9"/>
      <c r="H42" s="9"/>
      <c r="I42" s="9"/>
      <c r="J42" s="10"/>
      <c r="K42" s="11"/>
      <c r="L42" s="10" t="s">
        <v>39</v>
      </c>
      <c r="M42" s="11">
        <f>TINV(0.02,4)</f>
        <v>3.7469473879791968</v>
      </c>
      <c r="N42" s="9"/>
      <c r="O42" s="9"/>
      <c r="P42" s="9"/>
      <c r="Q42" s="10" t="s">
        <v>39</v>
      </c>
      <c r="R42" s="11">
        <f>TINV(0.02,4)</f>
        <v>3.7469473879791968</v>
      </c>
      <c r="X42" s="10" t="s">
        <v>39</v>
      </c>
      <c r="Y42" s="11">
        <f>TINV(0.02,4)</f>
        <v>3.7469473879791968</v>
      </c>
      <c r="AI42" s="10" t="s">
        <v>39</v>
      </c>
      <c r="AJ42" s="11">
        <f>TINV(0.02,4)</f>
        <v>3.7469473879791968</v>
      </c>
    </row>
    <row r="43" spans="1:72" ht="15">
      <c r="A43" s="8"/>
      <c r="B43" s="9"/>
      <c r="D43" s="9"/>
      <c r="E43" s="9"/>
      <c r="F43" s="9"/>
      <c r="G43" s="9"/>
      <c r="H43" s="9"/>
      <c r="I43" s="9"/>
      <c r="J43" s="10"/>
      <c r="K43" s="11"/>
      <c r="L43" s="10" t="s">
        <v>40</v>
      </c>
      <c r="M43" s="11">
        <f>M40*M42</f>
        <v>4.7646675661199485</v>
      </c>
      <c r="N43" s="9"/>
      <c r="O43" s="9"/>
      <c r="P43" s="9"/>
      <c r="Q43" s="10" t="s">
        <v>40</v>
      </c>
      <c r="R43" s="11">
        <f>R40*R42</f>
        <v>115.94365486016062</v>
      </c>
      <c r="X43" s="10" t="s">
        <v>40</v>
      </c>
      <c r="Y43" s="11">
        <f>Y40*Y42</f>
        <v>4.7646675661199485</v>
      </c>
      <c r="AI43" s="10" t="s">
        <v>40</v>
      </c>
      <c r="AJ43" s="11">
        <f>AJ40*AJ42</f>
        <v>115.94365486016062</v>
      </c>
    </row>
    <row r="44" spans="1:72" ht="15">
      <c r="A44" s="8"/>
      <c r="B44" s="9"/>
      <c r="D44" s="9"/>
      <c r="E44" s="9"/>
      <c r="F44" s="9"/>
      <c r="G44" s="9"/>
      <c r="H44" s="9"/>
      <c r="I44" s="9"/>
      <c r="J44" s="10"/>
      <c r="K44" s="11"/>
      <c r="L44" s="10" t="s">
        <v>41</v>
      </c>
      <c r="M44" s="11">
        <f>10*M40</f>
        <v>12.716131487209454</v>
      </c>
      <c r="N44" s="9"/>
      <c r="O44" s="9"/>
      <c r="P44" s="9"/>
      <c r="Q44" s="10" t="s">
        <v>41</v>
      </c>
      <c r="R44" s="11">
        <f>10*R40</f>
        <v>309.43496893531602</v>
      </c>
      <c r="X44" s="10" t="s">
        <v>41</v>
      </c>
      <c r="Y44" s="11">
        <f>10*Y40</f>
        <v>12.716131487209454</v>
      </c>
      <c r="AI44" s="10" t="s">
        <v>41</v>
      </c>
      <c r="AJ44" s="11">
        <f>10*AJ40</f>
        <v>309.43496893531602</v>
      </c>
    </row>
    <row r="45" spans="1:72" ht="15">
      <c r="A45" s="8"/>
      <c r="B45" s="9"/>
      <c r="D45" s="9"/>
      <c r="E45" s="9"/>
      <c r="F45" s="9"/>
      <c r="G45" s="9"/>
      <c r="H45" s="9"/>
      <c r="I45" s="9"/>
      <c r="J45" s="10"/>
      <c r="K45" s="11"/>
      <c r="L45" s="10" t="s">
        <v>42</v>
      </c>
      <c r="M45" s="11">
        <f>100*(M39-M38)/M38</f>
        <v>4.7000000000000064</v>
      </c>
      <c r="N45" s="9"/>
      <c r="O45" s="9"/>
      <c r="P45" s="9"/>
      <c r="Q45" s="10" t="s">
        <v>42</v>
      </c>
      <c r="R45" s="11">
        <f>100*(R39-R38)/R38</f>
        <v>5.25</v>
      </c>
      <c r="X45" s="10" t="s">
        <v>42</v>
      </c>
      <c r="Y45" s="11">
        <f>100*(Y39-Y38)/Y38</f>
        <v>4.7000000000000064</v>
      </c>
      <c r="AI45" s="10" t="s">
        <v>42</v>
      </c>
      <c r="AJ45" s="11">
        <f>100*(AJ39-AJ38)/AJ38</f>
        <v>5.25</v>
      </c>
    </row>
    <row r="46" spans="1:72" ht="15">
      <c r="A46" s="8"/>
      <c r="B46" s="9"/>
      <c r="D46" s="9"/>
      <c r="E46" s="9"/>
      <c r="F46" s="9"/>
      <c r="G46" s="9"/>
      <c r="H46" s="9"/>
      <c r="I46" s="9"/>
      <c r="J46" s="10"/>
      <c r="K46" s="11"/>
      <c r="L46" s="10" t="s">
        <v>43</v>
      </c>
      <c r="M46" s="11"/>
      <c r="N46" s="9"/>
      <c r="O46" s="9"/>
      <c r="P46" s="9"/>
      <c r="Q46" s="10" t="s">
        <v>43</v>
      </c>
      <c r="R46" s="11"/>
      <c r="X46" s="10" t="s">
        <v>43</v>
      </c>
      <c r="Y46" s="11"/>
      <c r="AI46" s="10" t="s">
        <v>43</v>
      </c>
      <c r="AJ46" s="11"/>
    </row>
    <row r="47" spans="1:72" ht="15">
      <c r="A47" s="8"/>
      <c r="B47" s="9"/>
      <c r="D47" s="9"/>
      <c r="E47" s="9"/>
      <c r="F47" s="9"/>
      <c r="G47" s="9"/>
      <c r="H47" s="9"/>
      <c r="I47" s="9"/>
      <c r="J47" s="10"/>
      <c r="K47" s="11"/>
      <c r="L47" s="10" t="s">
        <v>44</v>
      </c>
      <c r="M47" s="11">
        <f>100*M39/M38</f>
        <v>104.7</v>
      </c>
      <c r="N47" s="9"/>
      <c r="O47" s="9"/>
      <c r="P47" s="9"/>
      <c r="Q47" s="10" t="s">
        <v>44</v>
      </c>
      <c r="R47" s="11">
        <f>100*R39/R38</f>
        <v>105.25</v>
      </c>
      <c r="X47" s="10" t="s">
        <v>44</v>
      </c>
      <c r="Y47" s="11"/>
      <c r="AI47" s="10" t="s">
        <v>44</v>
      </c>
      <c r="AJ47" s="11"/>
    </row>
    <row r="48" spans="1:72" ht="15">
      <c r="A48" s="6"/>
      <c r="J48" s="10"/>
      <c r="K48" s="11"/>
      <c r="L48" s="10" t="s">
        <v>45</v>
      </c>
      <c r="M48" s="11">
        <f>M39/M40</f>
        <v>32.934544631065734</v>
      </c>
      <c r="Q48" s="10" t="s">
        <v>45</v>
      </c>
      <c r="R48" s="11">
        <f>R39/R40</f>
        <v>13.6054435427434</v>
      </c>
      <c r="X48" s="10" t="s">
        <v>45</v>
      </c>
      <c r="Y48" s="11">
        <f>Y39/Y40</f>
        <v>32.934544631065734</v>
      </c>
      <c r="AI48" s="10" t="s">
        <v>45</v>
      </c>
      <c r="AJ48" s="11">
        <f>AJ39/AJ40</f>
        <v>13.6054435427434</v>
      </c>
    </row>
    <row r="49" spans="1:72" ht="15">
      <c r="A49" s="6"/>
      <c r="J49" s="10"/>
      <c r="K49" s="11"/>
      <c r="O49" s="10"/>
      <c r="P49" s="11"/>
      <c r="Q49" s="11"/>
      <c r="R49" s="11"/>
    </row>
    <row r="51" spans="1:72">
      <c r="A51" s="6" t="s">
        <v>48</v>
      </c>
    </row>
    <row r="52" spans="1:72" customFormat="1" ht="15">
      <c r="A52" s="1">
        <v>46101</v>
      </c>
      <c r="B52" s="16">
        <v>0.52516203703703701</v>
      </c>
      <c r="C52" t="s">
        <v>221</v>
      </c>
      <c r="D52" t="s">
        <v>83</v>
      </c>
      <c r="E52">
        <v>29</v>
      </c>
      <c r="F52" t="s">
        <v>63</v>
      </c>
      <c r="G52">
        <v>1</v>
      </c>
      <c r="H52">
        <v>1</v>
      </c>
      <c r="I52" t="s">
        <v>64</v>
      </c>
      <c r="J52" t="s">
        <v>65</v>
      </c>
      <c r="K52">
        <v>0.105</v>
      </c>
      <c r="L52">
        <v>2.14</v>
      </c>
      <c r="M52">
        <v>26.6</v>
      </c>
      <c r="N52" t="s">
        <v>66</v>
      </c>
      <c r="O52" t="s">
        <v>67</v>
      </c>
      <c r="P52">
        <v>0.498</v>
      </c>
      <c r="Q52">
        <v>6.57</v>
      </c>
      <c r="R52">
        <v>294</v>
      </c>
      <c r="S52" s="4"/>
      <c r="T52" s="4">
        <v>1</v>
      </c>
      <c r="U52" s="4">
        <v>1</v>
      </c>
      <c r="V52" s="4"/>
      <c r="W52" s="13">
        <f t="shared" ref="W52:W56" si="12">M52*H52</f>
        <v>26.6</v>
      </c>
      <c r="X52" s="15">
        <f t="shared" ref="X52:X56" si="13">IF(T52=1,W52,(W52-0))</f>
        <v>26.6</v>
      </c>
      <c r="Y52" s="15">
        <f t="shared" ref="Y52:Y56" si="14">IF(T52=1,W52,(X52*T52))</f>
        <v>26.6</v>
      </c>
      <c r="Z52" s="4"/>
      <c r="AA52" s="4"/>
      <c r="AB52" s="4"/>
      <c r="AC52" s="4"/>
      <c r="AD52" s="4"/>
      <c r="AE52" s="4"/>
      <c r="AF52" s="4">
        <v>1</v>
      </c>
      <c r="AG52" s="4"/>
      <c r="AH52" s="4">
        <f t="shared" ref="AH52:AH56" si="15">R52*H52</f>
        <v>294</v>
      </c>
      <c r="AI52" s="4">
        <f t="shared" ref="AI52:AI56" si="16">IF(T52=1,AH52,(AH52-0))</f>
        <v>294</v>
      </c>
      <c r="AJ52" s="4">
        <f t="shared" ref="AJ52:AJ56" si="17">IF(T52=1,AH52,(AI52*T52))</f>
        <v>294</v>
      </c>
      <c r="AK52" s="15"/>
      <c r="AL52" s="4"/>
      <c r="AM52" s="15"/>
      <c r="AN52" s="4"/>
      <c r="AO52" s="15"/>
      <c r="AP52" s="4"/>
      <c r="AQ52" s="4"/>
      <c r="AR52" s="4">
        <v>47</v>
      </c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</row>
    <row r="53" spans="1:72" customFormat="1" ht="15">
      <c r="A53" s="1">
        <v>46101</v>
      </c>
      <c r="B53" s="16">
        <v>0.52604166666666663</v>
      </c>
      <c r="C53" t="s">
        <v>221</v>
      </c>
      <c r="D53" t="s">
        <v>83</v>
      </c>
      <c r="E53">
        <v>30</v>
      </c>
      <c r="F53" t="s">
        <v>63</v>
      </c>
      <c r="G53">
        <v>1</v>
      </c>
      <c r="H53">
        <v>1</v>
      </c>
      <c r="I53" t="s">
        <v>64</v>
      </c>
      <c r="J53" t="s">
        <v>65</v>
      </c>
      <c r="K53">
        <v>0.1</v>
      </c>
      <c r="L53">
        <v>1.94</v>
      </c>
      <c r="M53">
        <v>20.6</v>
      </c>
      <c r="N53" t="s">
        <v>66</v>
      </c>
      <c r="O53" t="s">
        <v>67</v>
      </c>
      <c r="P53">
        <v>0.54700000000000004</v>
      </c>
      <c r="Q53">
        <v>7.22</v>
      </c>
      <c r="R53">
        <v>337</v>
      </c>
      <c r="S53" s="4"/>
      <c r="T53" s="4">
        <v>1</v>
      </c>
      <c r="U53" s="4">
        <v>1</v>
      </c>
      <c r="V53" s="4"/>
      <c r="W53" s="13">
        <f t="shared" si="12"/>
        <v>20.6</v>
      </c>
      <c r="X53" s="15">
        <f t="shared" si="13"/>
        <v>20.6</v>
      </c>
      <c r="Y53" s="15">
        <f t="shared" si="14"/>
        <v>20.6</v>
      </c>
      <c r="Z53" s="4"/>
      <c r="AA53" s="4"/>
      <c r="AB53" s="4"/>
      <c r="AC53" s="4"/>
      <c r="AD53" s="4"/>
      <c r="AE53" s="4"/>
      <c r="AF53" s="4">
        <v>1</v>
      </c>
      <c r="AG53" s="4"/>
      <c r="AH53" s="4">
        <f t="shared" si="15"/>
        <v>337</v>
      </c>
      <c r="AI53" s="4">
        <f t="shared" si="16"/>
        <v>337</v>
      </c>
      <c r="AJ53" s="4">
        <f t="shared" si="17"/>
        <v>337</v>
      </c>
      <c r="AK53" s="15"/>
      <c r="AL53" s="4"/>
      <c r="AM53" s="15"/>
      <c r="AN53" s="4"/>
      <c r="AO53" s="15"/>
      <c r="AP53" s="4"/>
      <c r="AQ53" s="4"/>
      <c r="AR53" s="4">
        <v>48</v>
      </c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</row>
    <row r="54" spans="1:72" customFormat="1" ht="15">
      <c r="A54" s="1">
        <v>46101</v>
      </c>
      <c r="B54" s="16">
        <v>0.52694444444444444</v>
      </c>
      <c r="C54" t="s">
        <v>221</v>
      </c>
      <c r="D54" t="s">
        <v>83</v>
      </c>
      <c r="E54">
        <v>31</v>
      </c>
      <c r="F54" t="s">
        <v>63</v>
      </c>
      <c r="G54">
        <v>1</v>
      </c>
      <c r="H54">
        <v>1</v>
      </c>
      <c r="I54" t="s">
        <v>64</v>
      </c>
      <c r="J54" t="s">
        <v>65</v>
      </c>
      <c r="K54">
        <v>0.107</v>
      </c>
      <c r="L54">
        <v>2.1</v>
      </c>
      <c r="M54">
        <v>25.4</v>
      </c>
      <c r="N54" t="s">
        <v>66</v>
      </c>
      <c r="O54" t="s">
        <v>67</v>
      </c>
      <c r="P54">
        <v>0.48799999999999999</v>
      </c>
      <c r="Q54">
        <v>6.43</v>
      </c>
      <c r="R54">
        <v>284</v>
      </c>
      <c r="S54" s="4"/>
      <c r="T54" s="4">
        <v>1</v>
      </c>
      <c r="U54" s="4">
        <v>1</v>
      </c>
      <c r="V54" s="4"/>
      <c r="W54" s="13">
        <f t="shared" si="12"/>
        <v>25.4</v>
      </c>
      <c r="X54" s="15">
        <f t="shared" si="13"/>
        <v>25.4</v>
      </c>
      <c r="Y54" s="15">
        <f t="shared" si="14"/>
        <v>25.4</v>
      </c>
      <c r="Z54" s="4"/>
      <c r="AA54" s="4"/>
      <c r="AB54" s="4"/>
      <c r="AC54" s="4"/>
      <c r="AD54" s="4"/>
      <c r="AE54" s="4"/>
      <c r="AF54" s="4">
        <v>1</v>
      </c>
      <c r="AG54" s="4"/>
      <c r="AH54" s="4">
        <f t="shared" si="15"/>
        <v>284</v>
      </c>
      <c r="AI54" s="4">
        <f t="shared" si="16"/>
        <v>284</v>
      </c>
      <c r="AJ54" s="4">
        <f t="shared" si="17"/>
        <v>284</v>
      </c>
      <c r="AK54" s="15"/>
      <c r="AL54" s="4"/>
      <c r="AM54" s="15"/>
      <c r="AN54" s="4"/>
      <c r="AO54" s="15"/>
      <c r="AP54" s="4"/>
      <c r="AQ54" s="4"/>
      <c r="AR54" s="4">
        <v>49</v>
      </c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</row>
    <row r="55" spans="1:72" customFormat="1" ht="15">
      <c r="A55" s="1">
        <v>46101</v>
      </c>
      <c r="B55" s="16">
        <v>0.5278356481481481</v>
      </c>
      <c r="C55" t="s">
        <v>221</v>
      </c>
      <c r="D55" t="s">
        <v>83</v>
      </c>
      <c r="E55">
        <v>32</v>
      </c>
      <c r="F55" t="s">
        <v>63</v>
      </c>
      <c r="G55">
        <v>1</v>
      </c>
      <c r="H55">
        <v>1</v>
      </c>
      <c r="I55" t="s">
        <v>64</v>
      </c>
      <c r="J55" t="s">
        <v>65</v>
      </c>
      <c r="K55">
        <v>0.106</v>
      </c>
      <c r="L55">
        <v>2.09</v>
      </c>
      <c r="M55">
        <v>24.9</v>
      </c>
      <c r="N55" t="s">
        <v>66</v>
      </c>
      <c r="O55" t="s">
        <v>67</v>
      </c>
      <c r="P55">
        <v>0.46600000000000003</v>
      </c>
      <c r="Q55">
        <v>6.16</v>
      </c>
      <c r="R55">
        <v>267</v>
      </c>
      <c r="S55" s="4"/>
      <c r="T55" s="4">
        <v>1</v>
      </c>
      <c r="U55" s="4">
        <v>1</v>
      </c>
      <c r="V55" s="4"/>
      <c r="W55" s="13">
        <f t="shared" si="12"/>
        <v>24.9</v>
      </c>
      <c r="X55" s="15">
        <f t="shared" si="13"/>
        <v>24.9</v>
      </c>
      <c r="Y55" s="15">
        <f t="shared" si="14"/>
        <v>24.9</v>
      </c>
      <c r="Z55" s="4"/>
      <c r="AA55" s="4"/>
      <c r="AB55" s="4"/>
      <c r="AC55" s="4"/>
      <c r="AD55" s="4"/>
      <c r="AE55" s="4"/>
      <c r="AF55" s="4">
        <v>1</v>
      </c>
      <c r="AG55" s="4"/>
      <c r="AH55" s="4">
        <f t="shared" si="15"/>
        <v>267</v>
      </c>
      <c r="AI55" s="4">
        <f t="shared" si="16"/>
        <v>267</v>
      </c>
      <c r="AJ55" s="4">
        <f t="shared" si="17"/>
        <v>267</v>
      </c>
      <c r="AK55" s="15"/>
      <c r="AL55" s="4"/>
      <c r="AM55" s="15"/>
      <c r="AN55" s="4"/>
      <c r="AO55" s="15"/>
      <c r="AP55" s="4"/>
      <c r="AQ55" s="4"/>
      <c r="AR55" s="4">
        <v>50</v>
      </c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</row>
    <row r="56" spans="1:72" customFormat="1" ht="15">
      <c r="A56" s="1">
        <v>46101</v>
      </c>
      <c r="B56" s="16">
        <v>0.52872685185185186</v>
      </c>
      <c r="C56" t="s">
        <v>221</v>
      </c>
      <c r="D56" t="s">
        <v>83</v>
      </c>
      <c r="E56">
        <v>33</v>
      </c>
      <c r="F56" t="s">
        <v>63</v>
      </c>
      <c r="G56">
        <v>1</v>
      </c>
      <c r="H56">
        <v>1</v>
      </c>
      <c r="I56" t="s">
        <v>64</v>
      </c>
      <c r="J56" t="s">
        <v>65</v>
      </c>
      <c r="K56">
        <v>0.10299999999999999</v>
      </c>
      <c r="L56">
        <v>2.06</v>
      </c>
      <c r="M56">
        <v>24.1</v>
      </c>
      <c r="N56" t="s">
        <v>66</v>
      </c>
      <c r="O56" t="s">
        <v>67</v>
      </c>
      <c r="P56">
        <v>0.47399999999999998</v>
      </c>
      <c r="Q56">
        <v>6.3</v>
      </c>
      <c r="R56">
        <v>276</v>
      </c>
      <c r="S56" s="4"/>
      <c r="T56" s="4">
        <v>1</v>
      </c>
      <c r="U56" s="4">
        <v>1</v>
      </c>
      <c r="V56" s="4"/>
      <c r="W56" s="13">
        <f t="shared" si="12"/>
        <v>24.1</v>
      </c>
      <c r="X56" s="15">
        <f t="shared" si="13"/>
        <v>24.1</v>
      </c>
      <c r="Y56" s="15">
        <f t="shared" si="14"/>
        <v>24.1</v>
      </c>
      <c r="Z56" s="4"/>
      <c r="AA56" s="4"/>
      <c r="AB56" s="4"/>
      <c r="AC56" s="4"/>
      <c r="AD56" s="4"/>
      <c r="AE56" s="4"/>
      <c r="AF56" s="4">
        <v>1</v>
      </c>
      <c r="AG56" s="4"/>
      <c r="AH56" s="4">
        <f t="shared" si="15"/>
        <v>276</v>
      </c>
      <c r="AI56" s="4">
        <f t="shared" si="16"/>
        <v>276</v>
      </c>
      <c r="AJ56" s="4">
        <f t="shared" si="17"/>
        <v>276</v>
      </c>
      <c r="AK56" s="15"/>
      <c r="AL56" s="4"/>
      <c r="AM56" s="15"/>
      <c r="AN56" s="4"/>
      <c r="AO56" s="15"/>
      <c r="AP56" s="4"/>
      <c r="AQ56" s="4"/>
      <c r="AR56" s="4">
        <v>51</v>
      </c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</row>
    <row r="57" spans="1:72" customFormat="1" ht="15">
      <c r="A57" s="1"/>
      <c r="S57" s="4"/>
      <c r="T57" s="4"/>
      <c r="U57" s="4"/>
      <c r="V57" s="4"/>
      <c r="W57" s="4"/>
      <c r="X57" s="4"/>
      <c r="Y57" s="4"/>
      <c r="AF57" s="4"/>
      <c r="AG57" s="4"/>
      <c r="AH57" s="13"/>
      <c r="AI57" s="15"/>
      <c r="AJ57" s="15"/>
      <c r="AK57" s="13"/>
      <c r="AQ57" s="4"/>
      <c r="AR57" s="4"/>
    </row>
    <row r="60" spans="1:72" ht="15">
      <c r="A60" s="8"/>
      <c r="B60" s="9"/>
      <c r="C60" s="9"/>
      <c r="D60" s="9"/>
      <c r="E60" s="9"/>
      <c r="F60" s="9"/>
      <c r="G60" s="9"/>
      <c r="H60" s="9"/>
      <c r="I60" s="9"/>
      <c r="J60" s="10"/>
      <c r="K60" s="12"/>
      <c r="L60" s="10" t="s">
        <v>28</v>
      </c>
      <c r="M60" s="12">
        <v>24.39</v>
      </c>
      <c r="N60" s="9"/>
      <c r="O60" s="9"/>
      <c r="P60" s="9"/>
      <c r="Q60" s="10" t="s">
        <v>28</v>
      </c>
      <c r="R60" s="12">
        <v>243.9</v>
      </c>
      <c r="X60" s="10" t="s">
        <v>28</v>
      </c>
      <c r="Y60" s="12">
        <v>24.39</v>
      </c>
      <c r="AI60" s="10" t="s">
        <v>28</v>
      </c>
      <c r="AJ60" s="12">
        <v>243.9</v>
      </c>
    </row>
    <row r="61" spans="1:72" ht="15">
      <c r="A61" s="8"/>
      <c r="B61" s="9"/>
      <c r="C61" s="9"/>
      <c r="D61" s="9"/>
      <c r="E61" s="9"/>
      <c r="F61" s="9"/>
      <c r="G61" s="9"/>
      <c r="H61" s="9"/>
      <c r="I61" s="9"/>
      <c r="J61" s="10"/>
      <c r="K61" s="11"/>
      <c r="L61" s="10" t="s">
        <v>36</v>
      </c>
      <c r="M61" s="11">
        <f>AVERAGE(M52:M56)</f>
        <v>24.32</v>
      </c>
      <c r="N61" s="9"/>
      <c r="O61" s="9"/>
      <c r="P61" s="9"/>
      <c r="Q61" s="10" t="s">
        <v>36</v>
      </c>
      <c r="R61" s="11">
        <f>AVERAGE(R52:R56)</f>
        <v>291.60000000000002</v>
      </c>
      <c r="X61" s="10" t="s">
        <v>36</v>
      </c>
      <c r="Y61" s="11">
        <f>AVERAGE(Y52:Y56)</f>
        <v>24.32</v>
      </c>
      <c r="AI61" s="10" t="s">
        <v>36</v>
      </c>
      <c r="AJ61" s="11">
        <f>AVERAGE(AJ52:AJ56)</f>
        <v>291.60000000000002</v>
      </c>
    </row>
    <row r="62" spans="1:72" ht="15">
      <c r="A62" s="8"/>
      <c r="B62" s="9"/>
      <c r="D62" s="9"/>
      <c r="E62" s="9"/>
      <c r="F62" s="9"/>
      <c r="G62" s="9"/>
      <c r="H62" s="9"/>
      <c r="I62" s="9"/>
      <c r="J62" s="10"/>
      <c r="K62" s="11"/>
      <c r="L62" s="10" t="s">
        <v>37</v>
      </c>
      <c r="M62" s="11">
        <f>_xlfn.STDEV.S(M52:M56)</f>
        <v>2.2687000683210634</v>
      </c>
      <c r="N62" s="9"/>
      <c r="O62" s="9"/>
      <c r="P62" s="9"/>
      <c r="Q62" s="10" t="s">
        <v>37</v>
      </c>
      <c r="R62" s="11">
        <f>_xlfn.STDEV.S(R52:R56)</f>
        <v>27.263528751795867</v>
      </c>
      <c r="X62" s="10" t="s">
        <v>37</v>
      </c>
      <c r="Y62" s="11">
        <f>_xlfn.STDEV.S(Y52:Y56)</f>
        <v>2.2687000683210634</v>
      </c>
      <c r="AI62" s="10" t="s">
        <v>37</v>
      </c>
      <c r="AJ62" s="11">
        <f>_xlfn.STDEV.S(AJ52:AJ56)</f>
        <v>27.263528751795867</v>
      </c>
    </row>
    <row r="63" spans="1:72" ht="15">
      <c r="A63" s="8"/>
      <c r="B63" s="9"/>
      <c r="D63" s="9"/>
      <c r="E63" s="9"/>
      <c r="F63" s="9"/>
      <c r="G63" s="9"/>
      <c r="H63" s="9"/>
      <c r="I63" s="9"/>
      <c r="J63" s="10"/>
      <c r="K63" s="11"/>
      <c r="L63" s="10" t="s">
        <v>38</v>
      </c>
      <c r="M63" s="11">
        <f>100*M62/M61</f>
        <v>9.3285364651359526</v>
      </c>
      <c r="N63" s="9"/>
      <c r="O63" s="9"/>
      <c r="P63" s="9"/>
      <c r="Q63" s="10" t="s">
        <v>38</v>
      </c>
      <c r="R63" s="11">
        <f>100*R62/R61</f>
        <v>9.3496326309313655</v>
      </c>
      <c r="X63" s="10" t="s">
        <v>38</v>
      </c>
      <c r="Y63" s="11">
        <f>100*Y62/Y61</f>
        <v>9.3285364651359526</v>
      </c>
      <c r="AI63" s="10" t="s">
        <v>38</v>
      </c>
      <c r="AJ63" s="11">
        <f>100*AJ62/AJ61</f>
        <v>9.3496326309313655</v>
      </c>
    </row>
    <row r="64" spans="1:72" ht="15">
      <c r="A64" s="8"/>
      <c r="B64" s="9"/>
      <c r="D64" s="9"/>
      <c r="E64" s="9"/>
      <c r="F64" s="9"/>
      <c r="G64" s="9"/>
      <c r="H64" s="9"/>
      <c r="I64" s="9"/>
      <c r="J64" s="10"/>
      <c r="K64" s="11"/>
      <c r="L64" s="10" t="s">
        <v>39</v>
      </c>
      <c r="M64" s="11">
        <f>TINV(0.02,4)</f>
        <v>3.7469473879791968</v>
      </c>
      <c r="N64" s="9"/>
      <c r="O64" s="9"/>
      <c r="P64" s="9"/>
      <c r="Q64" s="10" t="s">
        <v>39</v>
      </c>
      <c r="R64" s="11">
        <f>TINV(0.02,4)</f>
        <v>3.7469473879791968</v>
      </c>
      <c r="X64" s="10" t="s">
        <v>39</v>
      </c>
      <c r="Y64" s="11">
        <f>TINV(0.02,4)</f>
        <v>3.7469473879791968</v>
      </c>
      <c r="AI64" s="10" t="s">
        <v>39</v>
      </c>
      <c r="AJ64" s="11">
        <f>TINV(0.02,4)</f>
        <v>3.7469473879791968</v>
      </c>
    </row>
    <row r="65" spans="1:72" ht="15">
      <c r="A65" s="8"/>
      <c r="B65" s="9"/>
      <c r="D65" s="9"/>
      <c r="E65" s="9"/>
      <c r="F65" s="9"/>
      <c r="G65" s="9"/>
      <c r="H65" s="9"/>
      <c r="I65" s="9"/>
      <c r="J65" s="10"/>
      <c r="K65" s="11"/>
      <c r="L65" s="10" t="s">
        <v>40</v>
      </c>
      <c r="M65" s="11">
        <f>M62*M64</f>
        <v>8.5006997951038343</v>
      </c>
      <c r="N65" s="9"/>
      <c r="O65" s="9"/>
      <c r="P65" s="9"/>
      <c r="Q65" s="10" t="s">
        <v>40</v>
      </c>
      <c r="R65" s="11">
        <f>R62*R64</f>
        <v>102.15500784363725</v>
      </c>
      <c r="X65" s="10" t="s">
        <v>40</v>
      </c>
      <c r="Y65" s="11">
        <f>Y62*Y64</f>
        <v>8.5006997951038343</v>
      </c>
      <c r="AI65" s="10" t="s">
        <v>40</v>
      </c>
      <c r="AJ65" s="11">
        <f>AJ62*AJ64</f>
        <v>102.15500784363725</v>
      </c>
    </row>
    <row r="66" spans="1:72" ht="15">
      <c r="A66" s="8"/>
      <c r="B66" s="9"/>
      <c r="D66" s="9"/>
      <c r="E66" s="9"/>
      <c r="F66" s="9"/>
      <c r="G66" s="9"/>
      <c r="H66" s="9"/>
      <c r="I66" s="9"/>
      <c r="J66" s="10"/>
      <c r="K66" s="11"/>
      <c r="L66" s="10" t="s">
        <v>41</v>
      </c>
      <c r="M66" s="11">
        <f>10*M62</f>
        <v>22.687000683210634</v>
      </c>
      <c r="N66" s="9"/>
      <c r="O66" s="9"/>
      <c r="P66" s="9"/>
      <c r="Q66" s="10" t="s">
        <v>41</v>
      </c>
      <c r="R66" s="11">
        <f>10*R62</f>
        <v>272.63528751795866</v>
      </c>
      <c r="X66" s="10" t="s">
        <v>41</v>
      </c>
      <c r="Y66" s="11">
        <f>10*Y62</f>
        <v>22.687000683210634</v>
      </c>
      <c r="AI66" s="10" t="s">
        <v>41</v>
      </c>
      <c r="AJ66" s="11">
        <f>10*AJ62</f>
        <v>272.63528751795866</v>
      </c>
    </row>
    <row r="67" spans="1:72" ht="15">
      <c r="A67" s="8"/>
      <c r="B67" s="9"/>
      <c r="D67" s="9"/>
      <c r="E67" s="9"/>
      <c r="F67" s="9"/>
      <c r="G67" s="9"/>
      <c r="H67" s="9"/>
      <c r="I67" s="9"/>
      <c r="J67" s="10"/>
      <c r="K67" s="11"/>
      <c r="L67" s="10" t="s">
        <v>42</v>
      </c>
      <c r="M67" s="11">
        <f>100*(M61-M60)/M60</f>
        <v>-0.28700287002870145</v>
      </c>
      <c r="N67" s="9"/>
      <c r="O67" s="9"/>
      <c r="P67" s="9"/>
      <c r="Q67" s="10" t="s">
        <v>42</v>
      </c>
      <c r="R67" s="11">
        <f>100*(R61-R60)/R60</f>
        <v>19.557195571955727</v>
      </c>
      <c r="X67" s="10" t="s">
        <v>42</v>
      </c>
      <c r="Y67" s="11">
        <f>100*(Y61-Y60)/Y60</f>
        <v>-0.28700287002870145</v>
      </c>
      <c r="AI67" s="10" t="s">
        <v>42</v>
      </c>
      <c r="AJ67" s="11">
        <f>100*(AJ61-AJ60)/AJ60</f>
        <v>19.557195571955727</v>
      </c>
    </row>
    <row r="68" spans="1:72" ht="15">
      <c r="A68" s="8"/>
      <c r="B68" s="9"/>
      <c r="D68" s="9"/>
      <c r="E68" s="9"/>
      <c r="F68" s="9"/>
      <c r="G68" s="9"/>
      <c r="H68" s="9"/>
      <c r="I68" s="9"/>
      <c r="J68" s="10"/>
      <c r="K68" s="11"/>
      <c r="L68" s="10" t="s">
        <v>43</v>
      </c>
      <c r="M68" s="11"/>
      <c r="N68" s="9"/>
      <c r="O68" s="9"/>
      <c r="P68" s="9"/>
      <c r="Q68" s="10" t="s">
        <v>43</v>
      </c>
      <c r="R68" s="11"/>
      <c r="X68" s="10" t="s">
        <v>43</v>
      </c>
      <c r="Y68" s="11"/>
      <c r="AI68" s="10" t="s">
        <v>43</v>
      </c>
      <c r="AJ68" s="11"/>
    </row>
    <row r="69" spans="1:72" ht="15">
      <c r="A69" s="8"/>
      <c r="B69" s="9"/>
      <c r="D69" s="9"/>
      <c r="E69" s="9"/>
      <c r="F69" s="9"/>
      <c r="G69" s="9"/>
      <c r="H69" s="9"/>
      <c r="I69" s="9"/>
      <c r="J69" s="10"/>
      <c r="K69" s="11"/>
      <c r="L69" s="10" t="s">
        <v>44</v>
      </c>
      <c r="M69" s="11">
        <f>100*M61/M60</f>
        <v>99.712997129971299</v>
      </c>
      <c r="N69" s="9"/>
      <c r="O69" s="9"/>
      <c r="P69" s="9"/>
      <c r="Q69" s="10" t="s">
        <v>44</v>
      </c>
      <c r="R69" s="11">
        <f>100*R61/R60</f>
        <v>119.55719557195573</v>
      </c>
      <c r="X69" s="10" t="s">
        <v>44</v>
      </c>
      <c r="Y69" s="11"/>
      <c r="AI69" s="10" t="s">
        <v>44</v>
      </c>
      <c r="AJ69" s="11"/>
    </row>
    <row r="70" spans="1:72" ht="15">
      <c r="A70" s="6"/>
      <c r="J70" s="10"/>
      <c r="K70" s="11"/>
      <c r="L70" s="10" t="s">
        <v>45</v>
      </c>
      <c r="M70" s="11">
        <f>M61/M62</f>
        <v>10.719795154763608</v>
      </c>
      <c r="Q70" s="10" t="s">
        <v>45</v>
      </c>
      <c r="R70" s="11">
        <f>R61/R62</f>
        <v>10.695607404848213</v>
      </c>
      <c r="X70" s="10" t="s">
        <v>45</v>
      </c>
      <c r="Y70" s="11">
        <f>Y61/Y62</f>
        <v>10.719795154763608</v>
      </c>
      <c r="AI70" s="10" t="s">
        <v>45</v>
      </c>
      <c r="AJ70" s="11">
        <f>AJ61/AJ62</f>
        <v>10.695607404848213</v>
      </c>
    </row>
    <row r="73" spans="1:72">
      <c r="A73" s="6"/>
    </row>
    <row r="74" spans="1:72" customFormat="1" ht="15">
      <c r="A74" s="1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</row>
    <row r="75" spans="1:72" customFormat="1" ht="15">
      <c r="A75" s="1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</row>
    <row r="76" spans="1:72" customFormat="1" ht="15">
      <c r="A76" s="1"/>
      <c r="T76" s="4"/>
      <c r="U76" s="4"/>
      <c r="V76" s="4"/>
      <c r="W76" s="4"/>
      <c r="X76" s="4"/>
      <c r="Y76" s="4"/>
      <c r="Z76" s="4"/>
      <c r="AA76" s="4"/>
      <c r="AF76" s="4"/>
      <c r="AG76" s="4"/>
      <c r="AH76" s="4"/>
      <c r="AI76" s="4"/>
      <c r="AJ76" s="4"/>
      <c r="AQ76" s="4"/>
      <c r="AR76" s="4"/>
      <c r="AS76" s="4"/>
    </row>
    <row r="77" spans="1:72" customFormat="1" ht="15">
      <c r="A77" s="1"/>
      <c r="T77" s="4"/>
      <c r="U77" s="4"/>
      <c r="V77" s="4"/>
      <c r="W77" s="4"/>
      <c r="X77" s="4"/>
      <c r="Y77" s="4"/>
      <c r="Z77" s="4"/>
      <c r="AA77" s="4"/>
      <c r="AF77" s="4"/>
      <c r="AG77" s="4"/>
      <c r="AH77" s="4"/>
      <c r="AI77" s="4"/>
      <c r="AJ77" s="4"/>
      <c r="AK77" s="4"/>
      <c r="AL77" s="4"/>
      <c r="AQ77" s="4"/>
      <c r="AR77" s="4"/>
      <c r="AS77" s="4"/>
    </row>
    <row r="78" spans="1:72" customFormat="1" ht="15">
      <c r="A78" s="1"/>
      <c r="T78" s="4"/>
      <c r="U78" s="4"/>
      <c r="V78" s="4"/>
      <c r="W78" s="4"/>
      <c r="X78" s="4"/>
      <c r="Y78" s="4"/>
      <c r="Z78" s="4"/>
      <c r="AA78" s="4"/>
      <c r="AF78" s="4"/>
      <c r="AG78" s="4"/>
      <c r="AH78" s="4"/>
      <c r="AI78" s="4"/>
      <c r="AJ78" s="4"/>
      <c r="AK78" s="4"/>
      <c r="AL78" s="4"/>
      <c r="AQ78" s="4"/>
      <c r="AR78" s="4"/>
      <c r="AS78" s="4"/>
    </row>
    <row r="81" spans="1:36" ht="15">
      <c r="A81" s="8"/>
      <c r="B81" s="9"/>
      <c r="C81" s="9"/>
      <c r="D81" s="9"/>
      <c r="E81" s="9"/>
      <c r="F81" s="9"/>
      <c r="G81" s="9"/>
      <c r="H81" s="10"/>
      <c r="I81" s="9"/>
      <c r="J81" s="10"/>
      <c r="K81" s="12"/>
      <c r="L81" s="9"/>
      <c r="M81" s="10"/>
      <c r="N81" s="9"/>
      <c r="O81" s="10"/>
      <c r="P81" s="12"/>
      <c r="Q81" s="12"/>
      <c r="R81" s="12"/>
      <c r="X81" s="10"/>
      <c r="Y81" s="12"/>
      <c r="AI81" s="10"/>
      <c r="AJ81" s="12"/>
    </row>
    <row r="82" spans="1:36" ht="15">
      <c r="A82" s="8"/>
      <c r="B82" s="9"/>
      <c r="C82" s="9"/>
      <c r="D82" s="9"/>
      <c r="E82" s="9"/>
      <c r="F82" s="9"/>
      <c r="G82" s="9"/>
      <c r="H82" s="10"/>
      <c r="I82" s="9"/>
      <c r="J82" s="11"/>
      <c r="K82" s="11"/>
      <c r="L82" s="9"/>
      <c r="M82" s="10"/>
      <c r="N82" s="9"/>
      <c r="O82" s="11"/>
      <c r="P82" s="11"/>
      <c r="Q82" s="11"/>
      <c r="R82" s="11"/>
      <c r="X82" s="10"/>
      <c r="Y82" s="11"/>
      <c r="AI82" s="10"/>
      <c r="AJ82" s="11"/>
    </row>
    <row r="83" spans="1:36" ht="15">
      <c r="A83" s="8"/>
      <c r="B83" s="9"/>
      <c r="D83" s="9"/>
      <c r="E83" s="9"/>
      <c r="F83" s="9"/>
      <c r="G83" s="9"/>
      <c r="H83" s="10"/>
      <c r="I83" s="9"/>
      <c r="J83" s="11"/>
      <c r="K83" s="11"/>
      <c r="L83" s="9"/>
      <c r="M83" s="10"/>
      <c r="N83" s="9"/>
      <c r="O83" s="11"/>
      <c r="P83" s="11"/>
      <c r="Q83" s="11"/>
      <c r="R83" s="11"/>
      <c r="X83" s="10"/>
      <c r="Y83" s="11"/>
      <c r="AI83" s="10"/>
      <c r="AJ83" s="11"/>
    </row>
    <row r="84" spans="1:36" ht="15">
      <c r="A84" s="8"/>
      <c r="B84" s="9"/>
      <c r="D84" s="9"/>
      <c r="E84" s="9"/>
      <c r="F84" s="9"/>
      <c r="G84" s="9"/>
      <c r="H84" s="10"/>
      <c r="I84" s="9"/>
      <c r="J84" s="11"/>
      <c r="K84" s="11"/>
      <c r="L84" s="9"/>
      <c r="M84" s="10"/>
      <c r="N84" s="9"/>
      <c r="O84" s="11"/>
      <c r="P84" s="11"/>
      <c r="Q84" s="11"/>
      <c r="R84" s="11"/>
      <c r="X84" s="10"/>
      <c r="Y84" s="11"/>
      <c r="AI84" s="10"/>
      <c r="AJ84" s="11"/>
    </row>
    <row r="85" spans="1:36" ht="15">
      <c r="A85" s="8"/>
      <c r="B85" s="9"/>
      <c r="D85" s="9"/>
      <c r="E85" s="9"/>
      <c r="F85" s="9"/>
      <c r="G85" s="9"/>
      <c r="H85" s="10"/>
      <c r="I85" s="9"/>
      <c r="J85" s="11"/>
      <c r="K85" s="11"/>
      <c r="L85" s="9"/>
      <c r="M85" s="10"/>
      <c r="N85" s="9"/>
      <c r="O85" s="11"/>
      <c r="P85" s="11"/>
      <c r="Q85" s="11"/>
      <c r="R85" s="11"/>
      <c r="X85" s="10"/>
      <c r="Y85" s="11"/>
      <c r="AI85" s="10"/>
      <c r="AJ85" s="11"/>
    </row>
    <row r="86" spans="1:36" ht="15">
      <c r="A86" s="8"/>
      <c r="B86" s="9"/>
      <c r="D86" s="9"/>
      <c r="E86" s="9"/>
      <c r="F86" s="9"/>
      <c r="G86" s="9"/>
      <c r="H86" s="10"/>
      <c r="I86" s="9"/>
      <c r="J86" s="11"/>
      <c r="K86" s="11"/>
      <c r="L86" s="9"/>
      <c r="M86" s="10"/>
      <c r="N86" s="9"/>
      <c r="O86" s="11"/>
      <c r="P86" s="11"/>
      <c r="Q86" s="11"/>
      <c r="R86" s="11"/>
      <c r="X86" s="10"/>
      <c r="Y86" s="11"/>
      <c r="AI86" s="10"/>
      <c r="AJ86" s="11"/>
    </row>
    <row r="87" spans="1:36" ht="15">
      <c r="A87" s="8"/>
      <c r="B87" s="9"/>
      <c r="D87" s="9"/>
      <c r="E87" s="9"/>
      <c r="F87" s="9"/>
      <c r="G87" s="9"/>
      <c r="H87" s="10"/>
      <c r="I87" s="9"/>
      <c r="J87" s="11"/>
      <c r="K87" s="11"/>
      <c r="L87" s="9"/>
      <c r="M87" s="10"/>
      <c r="N87" s="9"/>
      <c r="O87" s="11"/>
      <c r="P87" s="11"/>
      <c r="Q87" s="11"/>
      <c r="R87" s="11"/>
      <c r="X87" s="10"/>
      <c r="Y87" s="11"/>
      <c r="AI87" s="10"/>
      <c r="AJ87" s="11"/>
    </row>
    <row r="88" spans="1:36" ht="15">
      <c r="A88" s="8"/>
      <c r="B88" s="9"/>
      <c r="D88" s="9"/>
      <c r="E88" s="9"/>
      <c r="F88" s="9"/>
      <c r="G88" s="9"/>
      <c r="H88" s="10"/>
      <c r="I88" s="9"/>
      <c r="J88" s="11"/>
      <c r="K88" s="11"/>
      <c r="L88" s="9"/>
      <c r="M88" s="10"/>
      <c r="N88" s="9"/>
      <c r="O88" s="11"/>
      <c r="P88" s="11"/>
      <c r="Q88" s="11"/>
      <c r="R88" s="11"/>
      <c r="X88" s="10"/>
      <c r="Y88" s="11"/>
      <c r="AI88" s="10"/>
      <c r="AJ88" s="11"/>
    </row>
    <row r="89" spans="1:36" ht="15">
      <c r="A89" s="8"/>
      <c r="B89" s="9"/>
      <c r="D89" s="9"/>
      <c r="E89" s="9"/>
      <c r="F89" s="9"/>
      <c r="G89" s="9"/>
      <c r="H89" s="10"/>
      <c r="I89" s="9"/>
      <c r="J89" s="11"/>
      <c r="K89" s="11"/>
      <c r="L89" s="9"/>
      <c r="M89" s="10"/>
      <c r="N89" s="9"/>
      <c r="O89" s="11"/>
      <c r="P89" s="11"/>
      <c r="Q89" s="11"/>
      <c r="R89" s="11"/>
      <c r="X89" s="10"/>
      <c r="Y89" s="11"/>
      <c r="AI89" s="10"/>
      <c r="AJ89" s="11"/>
    </row>
    <row r="90" spans="1:36" ht="15">
      <c r="A90" s="8"/>
      <c r="B90" s="9"/>
      <c r="D90" s="9"/>
      <c r="E90" s="9"/>
      <c r="F90" s="9"/>
      <c r="G90" s="9"/>
      <c r="H90" s="10"/>
      <c r="I90" s="9"/>
      <c r="J90" s="11"/>
      <c r="K90" s="11"/>
      <c r="L90" s="9"/>
      <c r="M90" s="10"/>
      <c r="N90" s="9"/>
      <c r="O90" s="11"/>
      <c r="P90" s="11"/>
      <c r="Q90" s="11"/>
      <c r="R90" s="11"/>
      <c r="X90" s="10"/>
      <c r="Y90" s="11"/>
      <c r="AI90" s="10"/>
      <c r="AJ90" s="11"/>
    </row>
    <row r="91" spans="1:36" ht="15">
      <c r="A91" s="6"/>
      <c r="H91" s="10"/>
      <c r="J91" s="11"/>
      <c r="K91" s="11"/>
      <c r="M91" s="10"/>
      <c r="O91" s="11"/>
      <c r="P91" s="11"/>
      <c r="Q91" s="11"/>
      <c r="R91" s="11"/>
      <c r="X91" s="10"/>
      <c r="Y91" s="11"/>
      <c r="AI91" s="10"/>
      <c r="AJ91" s="11"/>
    </row>
    <row r="95" spans="1:36">
      <c r="J95" s="14"/>
      <c r="O95" s="14"/>
    </row>
  </sheetData>
  <printOptions gridLines="1"/>
  <pageMargins left="0.75" right="0.75" top="1" bottom="1" header="0.5" footer="0.5"/>
  <pageSetup scale="5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7762F-B8CB-4C1B-8B36-7E1A6425266F}">
  <dimension ref="A1:S234"/>
  <sheetViews>
    <sheetView tabSelected="1" topLeftCell="A189" workbookViewId="0">
      <selection activeCell="E203" sqref="E203"/>
    </sheetView>
  </sheetViews>
  <sheetFormatPr baseColWidth="10" defaultColWidth="8.83203125" defaultRowHeight="15"/>
  <sheetData>
    <row r="1" spans="1:19">
      <c r="A1" t="s">
        <v>0</v>
      </c>
      <c r="B1" t="s">
        <v>59</v>
      </c>
      <c r="C1" t="s">
        <v>1</v>
      </c>
      <c r="D1" t="s">
        <v>2</v>
      </c>
      <c r="E1" t="s">
        <v>264</v>
      </c>
      <c r="F1" t="s">
        <v>3</v>
      </c>
      <c r="G1" t="s">
        <v>60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6</v>
      </c>
      <c r="P1" t="s">
        <v>7</v>
      </c>
      <c r="Q1" t="s">
        <v>8</v>
      </c>
      <c r="R1" t="s">
        <v>9</v>
      </c>
      <c r="S1" t="s">
        <v>10</v>
      </c>
    </row>
    <row r="3" spans="1:19">
      <c r="A3" s="1">
        <v>46101</v>
      </c>
      <c r="B3" s="16">
        <v>0.49055555555555558</v>
      </c>
      <c r="C3" t="s">
        <v>221</v>
      </c>
      <c r="D3" t="s">
        <v>61</v>
      </c>
      <c r="F3" t="s">
        <v>62</v>
      </c>
      <c r="G3" t="s">
        <v>63</v>
      </c>
      <c r="H3">
        <v>1</v>
      </c>
      <c r="I3">
        <v>1</v>
      </c>
      <c r="J3" t="s">
        <v>64</v>
      </c>
      <c r="K3" t="s">
        <v>65</v>
      </c>
      <c r="L3">
        <v>0.14099999999999999</v>
      </c>
      <c r="M3">
        <v>1.78</v>
      </c>
      <c r="N3">
        <v>33.9</v>
      </c>
      <c r="O3" t="s">
        <v>66</v>
      </c>
      <c r="P3" t="s">
        <v>67</v>
      </c>
      <c r="Q3">
        <v>9.11E-3</v>
      </c>
      <c r="R3">
        <v>0.214</v>
      </c>
      <c r="S3">
        <v>-80.900000000000006</v>
      </c>
    </row>
    <row r="4" spans="1:19">
      <c r="A4" s="1">
        <v>46101</v>
      </c>
      <c r="B4" s="16">
        <v>0.49148148148148146</v>
      </c>
      <c r="C4" t="s">
        <v>221</v>
      </c>
      <c r="D4" t="s">
        <v>61</v>
      </c>
      <c r="F4" t="s">
        <v>62</v>
      </c>
      <c r="G4" t="s">
        <v>63</v>
      </c>
      <c r="H4">
        <v>1</v>
      </c>
      <c r="I4">
        <v>1</v>
      </c>
      <c r="J4" t="s">
        <v>64</v>
      </c>
      <c r="K4" t="s">
        <v>65</v>
      </c>
      <c r="L4">
        <v>0.14099999999999999</v>
      </c>
      <c r="M4">
        <v>1.75</v>
      </c>
      <c r="N4">
        <v>33</v>
      </c>
      <c r="O4" t="s">
        <v>66</v>
      </c>
      <c r="P4" t="s">
        <v>67</v>
      </c>
      <c r="Q4">
        <v>1.14E-2</v>
      </c>
      <c r="R4">
        <v>0.26</v>
      </c>
      <c r="S4">
        <v>-76</v>
      </c>
    </row>
    <row r="5" spans="1:19">
      <c r="A5" s="1">
        <v>46101</v>
      </c>
      <c r="B5" s="16">
        <v>0.49234953703703704</v>
      </c>
      <c r="C5" t="s">
        <v>221</v>
      </c>
      <c r="D5" t="s">
        <v>222</v>
      </c>
      <c r="F5" t="s">
        <v>68</v>
      </c>
      <c r="G5" t="s">
        <v>63</v>
      </c>
      <c r="H5">
        <v>1</v>
      </c>
      <c r="I5">
        <v>1</v>
      </c>
      <c r="J5" t="s">
        <v>64</v>
      </c>
      <c r="K5" t="s">
        <v>65</v>
      </c>
      <c r="L5">
        <v>0.14499999999999999</v>
      </c>
      <c r="M5">
        <v>1.79</v>
      </c>
      <c r="N5">
        <v>34.1</v>
      </c>
      <c r="O5" t="s">
        <v>66</v>
      </c>
      <c r="P5" t="s">
        <v>67</v>
      </c>
      <c r="Q5">
        <v>7.95</v>
      </c>
      <c r="R5">
        <v>148</v>
      </c>
      <c r="S5">
        <v>13700</v>
      </c>
    </row>
    <row r="6" spans="1:19">
      <c r="A6" s="1">
        <v>46101</v>
      </c>
      <c r="B6" s="16">
        <v>0.4932523148148148</v>
      </c>
      <c r="C6" t="s">
        <v>221</v>
      </c>
      <c r="D6" t="s">
        <v>223</v>
      </c>
      <c r="F6" t="s">
        <v>69</v>
      </c>
      <c r="G6" t="s">
        <v>63</v>
      </c>
      <c r="H6">
        <v>1</v>
      </c>
      <c r="I6">
        <v>1</v>
      </c>
      <c r="J6" t="s">
        <v>64</v>
      </c>
      <c r="K6" t="s">
        <v>65</v>
      </c>
      <c r="L6">
        <v>0.14000000000000001</v>
      </c>
      <c r="M6">
        <v>1.7</v>
      </c>
      <c r="N6">
        <v>31.4</v>
      </c>
      <c r="O6" t="s">
        <v>66</v>
      </c>
      <c r="P6" t="s">
        <v>67</v>
      </c>
      <c r="Q6">
        <v>7.95</v>
      </c>
      <c r="R6">
        <v>148</v>
      </c>
      <c r="S6">
        <v>13700</v>
      </c>
    </row>
    <row r="7" spans="1:19">
      <c r="A7" s="1">
        <v>46101</v>
      </c>
      <c r="B7" s="16">
        <v>0.49413194444444447</v>
      </c>
      <c r="C7" t="s">
        <v>221</v>
      </c>
      <c r="D7" t="s">
        <v>222</v>
      </c>
      <c r="F7" t="s">
        <v>68</v>
      </c>
      <c r="G7" t="s">
        <v>63</v>
      </c>
      <c r="H7">
        <v>1</v>
      </c>
      <c r="I7">
        <v>1</v>
      </c>
      <c r="J7" t="s">
        <v>64</v>
      </c>
      <c r="K7" t="s">
        <v>65</v>
      </c>
      <c r="L7">
        <v>0.14599999999999999</v>
      </c>
      <c r="M7">
        <v>1.76</v>
      </c>
      <c r="N7">
        <v>33.4</v>
      </c>
      <c r="O7" t="s">
        <v>66</v>
      </c>
      <c r="P7" t="s">
        <v>67</v>
      </c>
      <c r="Q7">
        <v>7.94</v>
      </c>
      <c r="R7">
        <v>148</v>
      </c>
      <c r="S7">
        <v>13700</v>
      </c>
    </row>
    <row r="8" spans="1:19">
      <c r="A8" s="1">
        <v>46101</v>
      </c>
      <c r="B8" s="16">
        <v>0.49501157407407409</v>
      </c>
      <c r="C8" t="s">
        <v>221</v>
      </c>
      <c r="D8" t="s">
        <v>223</v>
      </c>
      <c r="F8" t="s">
        <v>69</v>
      </c>
      <c r="G8" t="s">
        <v>63</v>
      </c>
      <c r="H8">
        <v>1</v>
      </c>
      <c r="I8">
        <v>1</v>
      </c>
      <c r="J8" t="s">
        <v>64</v>
      </c>
      <c r="K8" t="s">
        <v>65</v>
      </c>
      <c r="L8">
        <v>0.14399999999999999</v>
      </c>
      <c r="M8">
        <v>1.76</v>
      </c>
      <c r="N8">
        <v>33.4</v>
      </c>
      <c r="O8" t="s">
        <v>66</v>
      </c>
      <c r="P8" t="s">
        <v>67</v>
      </c>
      <c r="Q8">
        <v>7.95</v>
      </c>
      <c r="R8">
        <v>147</v>
      </c>
      <c r="S8">
        <v>13600</v>
      </c>
    </row>
    <row r="9" spans="1:19">
      <c r="A9" s="1">
        <v>46101</v>
      </c>
      <c r="B9" s="16">
        <v>0.49589120370370371</v>
      </c>
      <c r="C9" t="s">
        <v>221</v>
      </c>
      <c r="D9" t="s">
        <v>222</v>
      </c>
      <c r="F9" t="s">
        <v>68</v>
      </c>
      <c r="G9" t="s">
        <v>63</v>
      </c>
      <c r="H9">
        <v>1</v>
      </c>
      <c r="I9">
        <v>1</v>
      </c>
      <c r="J9" t="s">
        <v>64</v>
      </c>
      <c r="K9" t="s">
        <v>65</v>
      </c>
      <c r="L9">
        <v>0.14499999999999999</v>
      </c>
      <c r="M9">
        <v>1.77</v>
      </c>
      <c r="N9">
        <v>33.5</v>
      </c>
      <c r="O9" t="s">
        <v>66</v>
      </c>
      <c r="P9" t="s">
        <v>67</v>
      </c>
      <c r="Q9">
        <v>7.93</v>
      </c>
      <c r="R9">
        <v>147</v>
      </c>
      <c r="S9">
        <v>13600</v>
      </c>
    </row>
    <row r="10" spans="1:19">
      <c r="A10" s="1">
        <v>46101</v>
      </c>
      <c r="B10" s="16">
        <v>0.49678240740740742</v>
      </c>
      <c r="C10" t="s">
        <v>221</v>
      </c>
      <c r="D10" t="s">
        <v>223</v>
      </c>
      <c r="F10" t="s">
        <v>69</v>
      </c>
      <c r="G10" t="s">
        <v>63</v>
      </c>
      <c r="H10">
        <v>1</v>
      </c>
      <c r="I10">
        <v>1</v>
      </c>
      <c r="J10" t="s">
        <v>64</v>
      </c>
      <c r="K10" t="s">
        <v>65</v>
      </c>
      <c r="L10">
        <v>0.14399999999999999</v>
      </c>
      <c r="M10">
        <v>1.78</v>
      </c>
      <c r="N10">
        <v>33.9</v>
      </c>
      <c r="O10" t="s">
        <v>66</v>
      </c>
      <c r="P10" t="s">
        <v>67</v>
      </c>
      <c r="Q10">
        <v>7.94</v>
      </c>
      <c r="R10">
        <v>147</v>
      </c>
      <c r="S10">
        <v>13600</v>
      </c>
    </row>
    <row r="11" spans="1:19">
      <c r="A11" s="1">
        <v>46101</v>
      </c>
      <c r="B11" s="16">
        <v>0.49767361111111114</v>
      </c>
      <c r="C11" t="s">
        <v>221</v>
      </c>
      <c r="D11" t="s">
        <v>81</v>
      </c>
      <c r="F11" t="s">
        <v>70</v>
      </c>
      <c r="G11" t="s">
        <v>63</v>
      </c>
      <c r="H11">
        <v>1</v>
      </c>
      <c r="I11">
        <v>1</v>
      </c>
      <c r="J11" t="s">
        <v>64</v>
      </c>
      <c r="K11" t="s">
        <v>65</v>
      </c>
      <c r="L11">
        <v>0.14199999999999999</v>
      </c>
      <c r="M11">
        <v>1.72</v>
      </c>
      <c r="N11">
        <v>32.200000000000003</v>
      </c>
      <c r="O11" t="s">
        <v>66</v>
      </c>
      <c r="P11" t="s">
        <v>67</v>
      </c>
      <c r="Q11">
        <v>4.3999999999999997E-2</v>
      </c>
      <c r="R11">
        <v>0.61599999999999999</v>
      </c>
      <c r="S11">
        <v>-38.5</v>
      </c>
    </row>
    <row r="12" spans="1:19">
      <c r="A12" s="1">
        <v>46101</v>
      </c>
      <c r="B12" s="16">
        <v>0.49856481481481479</v>
      </c>
      <c r="C12" t="s">
        <v>221</v>
      </c>
      <c r="D12" t="s">
        <v>81</v>
      </c>
      <c r="F12" t="s">
        <v>70</v>
      </c>
      <c r="G12" t="s">
        <v>63</v>
      </c>
      <c r="H12">
        <v>1</v>
      </c>
      <c r="I12">
        <v>1</v>
      </c>
      <c r="J12" t="s">
        <v>64</v>
      </c>
      <c r="K12" t="s">
        <v>65</v>
      </c>
      <c r="L12">
        <v>0.14199999999999999</v>
      </c>
      <c r="M12">
        <v>1.74</v>
      </c>
      <c r="N12">
        <v>32.700000000000003</v>
      </c>
      <c r="O12" t="s">
        <v>66</v>
      </c>
      <c r="P12" t="s">
        <v>67</v>
      </c>
      <c r="Q12">
        <v>7.8499999999999993E-3</v>
      </c>
      <c r="R12">
        <v>0.17100000000000001</v>
      </c>
      <c r="S12">
        <v>-85.4</v>
      </c>
    </row>
    <row r="13" spans="1:19">
      <c r="A13" s="1">
        <v>46101</v>
      </c>
      <c r="B13" s="16">
        <v>0.49945601851851851</v>
      </c>
      <c r="C13" t="s">
        <v>221</v>
      </c>
      <c r="D13" t="s">
        <v>71</v>
      </c>
      <c r="F13" t="s">
        <v>72</v>
      </c>
      <c r="G13" t="s">
        <v>63</v>
      </c>
      <c r="H13">
        <v>1</v>
      </c>
      <c r="I13">
        <v>1</v>
      </c>
      <c r="J13" t="s">
        <v>64</v>
      </c>
      <c r="K13" t="s">
        <v>65</v>
      </c>
      <c r="L13">
        <v>1.21E-2</v>
      </c>
      <c r="M13">
        <v>0.129</v>
      </c>
      <c r="N13">
        <v>-16</v>
      </c>
      <c r="O13" t="s">
        <v>66</v>
      </c>
      <c r="P13" t="s">
        <v>67</v>
      </c>
      <c r="Q13">
        <v>8.5100000000000002E-3</v>
      </c>
      <c r="R13">
        <v>-6.1699999999999998E-2</v>
      </c>
      <c r="S13">
        <v>-110</v>
      </c>
    </row>
    <row r="14" spans="1:19">
      <c r="A14" s="1">
        <v>46101</v>
      </c>
      <c r="B14" s="16">
        <v>0.50034722222222228</v>
      </c>
      <c r="C14" t="s">
        <v>221</v>
      </c>
      <c r="D14" t="s">
        <v>71</v>
      </c>
      <c r="F14" t="s">
        <v>72</v>
      </c>
      <c r="G14" t="s">
        <v>63</v>
      </c>
      <c r="H14">
        <v>1</v>
      </c>
      <c r="I14">
        <v>1</v>
      </c>
      <c r="J14" t="s">
        <v>64</v>
      </c>
      <c r="K14" t="s">
        <v>65</v>
      </c>
      <c r="L14">
        <v>1.09E-2</v>
      </c>
      <c r="M14">
        <v>0.11799999999999999</v>
      </c>
      <c r="N14">
        <v>-16.3</v>
      </c>
      <c r="O14" t="s">
        <v>66</v>
      </c>
      <c r="P14" t="s">
        <v>67</v>
      </c>
      <c r="Q14">
        <v>-1.7899999999999999E-2</v>
      </c>
      <c r="R14">
        <v>-0.187</v>
      </c>
      <c r="S14">
        <v>-123</v>
      </c>
    </row>
    <row r="15" spans="1:19">
      <c r="A15" s="1">
        <v>46101</v>
      </c>
      <c r="B15" s="16">
        <v>0.50124999999999997</v>
      </c>
      <c r="C15" t="s">
        <v>221</v>
      </c>
      <c r="D15" t="s">
        <v>73</v>
      </c>
      <c r="F15">
        <v>1</v>
      </c>
      <c r="G15" t="s">
        <v>74</v>
      </c>
      <c r="H15">
        <v>1</v>
      </c>
      <c r="I15">
        <v>1</v>
      </c>
      <c r="J15" t="s">
        <v>64</v>
      </c>
      <c r="K15" t="s">
        <v>65</v>
      </c>
      <c r="L15">
        <v>0.34200000000000003</v>
      </c>
      <c r="M15">
        <v>6.36</v>
      </c>
      <c r="N15">
        <v>150</v>
      </c>
      <c r="O15" t="s">
        <v>66</v>
      </c>
      <c r="P15" t="s">
        <v>67</v>
      </c>
      <c r="Q15">
        <v>1.99</v>
      </c>
      <c r="R15">
        <v>25.8</v>
      </c>
      <c r="S15">
        <v>1500</v>
      </c>
    </row>
    <row r="16" spans="1:19">
      <c r="A16" s="1">
        <v>46101</v>
      </c>
      <c r="B16" s="16">
        <v>0.50214120370370374</v>
      </c>
      <c r="C16" t="s">
        <v>221</v>
      </c>
      <c r="D16" t="s">
        <v>73</v>
      </c>
      <c r="F16">
        <v>1</v>
      </c>
      <c r="G16" t="s">
        <v>74</v>
      </c>
      <c r="H16">
        <v>1</v>
      </c>
      <c r="I16">
        <v>1</v>
      </c>
      <c r="J16" t="s">
        <v>64</v>
      </c>
      <c r="K16" t="s">
        <v>65</v>
      </c>
      <c r="L16">
        <v>0.34200000000000003</v>
      </c>
      <c r="M16">
        <v>6.4</v>
      </c>
      <c r="N16">
        <v>150</v>
      </c>
      <c r="O16" t="s">
        <v>66</v>
      </c>
      <c r="P16" t="s">
        <v>67</v>
      </c>
      <c r="Q16">
        <v>1.99</v>
      </c>
      <c r="R16">
        <v>25.8</v>
      </c>
      <c r="S16">
        <v>1500</v>
      </c>
    </row>
    <row r="17" spans="1:19">
      <c r="A17" s="1">
        <v>46101</v>
      </c>
      <c r="B17" s="16">
        <v>0.5030324074074074</v>
      </c>
      <c r="C17" t="s">
        <v>221</v>
      </c>
      <c r="D17" t="s">
        <v>75</v>
      </c>
      <c r="F17">
        <v>3</v>
      </c>
      <c r="G17" t="s">
        <v>74</v>
      </c>
      <c r="H17">
        <v>1</v>
      </c>
      <c r="I17">
        <v>1</v>
      </c>
      <c r="J17" t="s">
        <v>64</v>
      </c>
      <c r="K17" t="s">
        <v>65</v>
      </c>
      <c r="L17">
        <v>0.246</v>
      </c>
      <c r="M17">
        <v>4.67</v>
      </c>
      <c r="N17">
        <v>100</v>
      </c>
      <c r="O17" t="s">
        <v>66</v>
      </c>
      <c r="P17" t="s">
        <v>67</v>
      </c>
      <c r="Q17">
        <v>1.36</v>
      </c>
      <c r="R17">
        <v>17.600000000000001</v>
      </c>
      <c r="S17">
        <v>1000</v>
      </c>
    </row>
    <row r="18" spans="1:19">
      <c r="A18" s="1">
        <v>46101</v>
      </c>
      <c r="B18" s="16">
        <v>0.50392361111111106</v>
      </c>
      <c r="C18" t="s">
        <v>221</v>
      </c>
      <c r="D18" t="s">
        <v>75</v>
      </c>
      <c r="F18">
        <v>3</v>
      </c>
      <c r="G18" t="s">
        <v>74</v>
      </c>
      <c r="H18">
        <v>1</v>
      </c>
      <c r="I18">
        <v>1</v>
      </c>
      <c r="J18" t="s">
        <v>64</v>
      </c>
      <c r="K18" t="s">
        <v>65</v>
      </c>
      <c r="L18">
        <v>0.247</v>
      </c>
      <c r="M18">
        <v>4.6500000000000004</v>
      </c>
      <c r="N18">
        <v>100</v>
      </c>
      <c r="O18" t="s">
        <v>66</v>
      </c>
      <c r="P18" t="s">
        <v>67</v>
      </c>
      <c r="Q18">
        <v>1.43</v>
      </c>
      <c r="R18">
        <v>18.5</v>
      </c>
      <c r="S18">
        <v>1000</v>
      </c>
    </row>
    <row r="19" spans="1:19">
      <c r="A19" s="1">
        <v>46101</v>
      </c>
      <c r="B19" s="16">
        <v>0.50481481481481483</v>
      </c>
      <c r="C19" t="s">
        <v>221</v>
      </c>
      <c r="D19" t="s">
        <v>76</v>
      </c>
      <c r="F19">
        <v>5</v>
      </c>
      <c r="G19" t="s">
        <v>74</v>
      </c>
      <c r="H19">
        <v>1</v>
      </c>
      <c r="I19">
        <v>1</v>
      </c>
      <c r="J19" t="s">
        <v>64</v>
      </c>
      <c r="K19" t="s">
        <v>65</v>
      </c>
      <c r="L19">
        <v>0.14699999999999999</v>
      </c>
      <c r="M19">
        <v>2.87</v>
      </c>
      <c r="N19">
        <v>50</v>
      </c>
      <c r="O19" t="s">
        <v>66</v>
      </c>
      <c r="P19" t="s">
        <v>67</v>
      </c>
      <c r="Q19">
        <v>0.747</v>
      </c>
      <c r="R19">
        <v>9.81</v>
      </c>
      <c r="S19">
        <v>500</v>
      </c>
    </row>
    <row r="20" spans="1:19">
      <c r="A20" s="1">
        <v>46101</v>
      </c>
      <c r="B20" s="16">
        <v>0.50570601851851849</v>
      </c>
      <c r="C20" t="s">
        <v>221</v>
      </c>
      <c r="D20" t="s">
        <v>76</v>
      </c>
      <c r="F20">
        <v>5</v>
      </c>
      <c r="G20" t="s">
        <v>74</v>
      </c>
      <c r="H20">
        <v>1</v>
      </c>
      <c r="I20">
        <v>1</v>
      </c>
      <c r="J20" t="s">
        <v>64</v>
      </c>
      <c r="K20" t="s">
        <v>65</v>
      </c>
      <c r="L20">
        <v>0.14899999999999999</v>
      </c>
      <c r="M20">
        <v>2.93</v>
      </c>
      <c r="N20">
        <v>50</v>
      </c>
      <c r="O20" t="s">
        <v>66</v>
      </c>
      <c r="P20" t="s">
        <v>67</v>
      </c>
      <c r="Q20">
        <v>0.78500000000000003</v>
      </c>
      <c r="R20">
        <v>10.3</v>
      </c>
      <c r="S20">
        <v>500</v>
      </c>
    </row>
    <row r="21" spans="1:19">
      <c r="A21" s="1">
        <v>46101</v>
      </c>
      <c r="B21" s="16">
        <v>0.50657407407407407</v>
      </c>
      <c r="C21" t="s">
        <v>221</v>
      </c>
      <c r="D21" t="s">
        <v>77</v>
      </c>
      <c r="F21">
        <v>7</v>
      </c>
      <c r="G21" t="s">
        <v>74</v>
      </c>
      <c r="H21">
        <v>1</v>
      </c>
      <c r="I21">
        <v>1</v>
      </c>
      <c r="J21" t="s">
        <v>64</v>
      </c>
      <c r="K21" t="s">
        <v>65</v>
      </c>
      <c r="L21">
        <v>0.10199999999999999</v>
      </c>
      <c r="M21">
        <v>2.08</v>
      </c>
      <c r="N21">
        <v>25</v>
      </c>
      <c r="O21" t="s">
        <v>66</v>
      </c>
      <c r="P21" t="s">
        <v>67</v>
      </c>
      <c r="Q21">
        <v>0.38900000000000001</v>
      </c>
      <c r="R21">
        <v>5.23</v>
      </c>
      <c r="S21">
        <v>250</v>
      </c>
    </row>
    <row r="22" spans="1:19">
      <c r="A22" s="1">
        <v>46101</v>
      </c>
      <c r="B22" s="16">
        <v>0.50746527777777772</v>
      </c>
      <c r="C22" t="s">
        <v>221</v>
      </c>
      <c r="D22" t="s">
        <v>77</v>
      </c>
      <c r="F22">
        <v>7</v>
      </c>
      <c r="G22" t="s">
        <v>74</v>
      </c>
      <c r="H22">
        <v>1</v>
      </c>
      <c r="I22">
        <v>1</v>
      </c>
      <c r="J22" t="s">
        <v>64</v>
      </c>
      <c r="K22" t="s">
        <v>65</v>
      </c>
      <c r="L22">
        <v>0.10199999999999999</v>
      </c>
      <c r="M22">
        <v>2.06</v>
      </c>
      <c r="N22">
        <v>25</v>
      </c>
      <c r="O22" t="s">
        <v>66</v>
      </c>
      <c r="P22" t="s">
        <v>67</v>
      </c>
      <c r="Q22">
        <v>0.439</v>
      </c>
      <c r="R22">
        <v>5.84</v>
      </c>
      <c r="S22">
        <v>250</v>
      </c>
    </row>
    <row r="23" spans="1:19">
      <c r="A23" s="1">
        <v>46101</v>
      </c>
      <c r="B23" s="16">
        <v>0.50834490740740745</v>
      </c>
      <c r="C23" t="s">
        <v>221</v>
      </c>
      <c r="D23" t="s">
        <v>78</v>
      </c>
      <c r="F23">
        <v>9</v>
      </c>
      <c r="G23" t="s">
        <v>74</v>
      </c>
      <c r="H23">
        <v>1</v>
      </c>
      <c r="I23">
        <v>1</v>
      </c>
      <c r="J23" t="s">
        <v>64</v>
      </c>
      <c r="K23" t="s">
        <v>65</v>
      </c>
      <c r="L23">
        <v>9.3100000000000002E-2</v>
      </c>
      <c r="M23">
        <v>1.54</v>
      </c>
      <c r="N23">
        <v>10</v>
      </c>
      <c r="O23" t="s">
        <v>66</v>
      </c>
      <c r="P23" t="s">
        <v>67</v>
      </c>
      <c r="Q23">
        <v>0.25600000000000001</v>
      </c>
      <c r="R23">
        <v>3.59</v>
      </c>
      <c r="S23">
        <v>100</v>
      </c>
    </row>
    <row r="24" spans="1:19">
      <c r="A24" s="1">
        <v>46101</v>
      </c>
      <c r="B24" s="16">
        <v>0.50923611111111111</v>
      </c>
      <c r="C24" t="s">
        <v>221</v>
      </c>
      <c r="D24" t="s">
        <v>78</v>
      </c>
      <c r="F24">
        <v>9</v>
      </c>
      <c r="G24" t="s">
        <v>74</v>
      </c>
      <c r="H24">
        <v>1</v>
      </c>
      <c r="I24">
        <v>1</v>
      </c>
      <c r="J24" t="s">
        <v>64</v>
      </c>
      <c r="K24" t="s">
        <v>65</v>
      </c>
      <c r="L24">
        <v>7.1999999999999995E-2</v>
      </c>
      <c r="M24">
        <v>1.45</v>
      </c>
      <c r="N24">
        <v>10</v>
      </c>
      <c r="O24" t="s">
        <v>66</v>
      </c>
      <c r="P24" t="s">
        <v>67</v>
      </c>
      <c r="Q24">
        <v>0.248</v>
      </c>
      <c r="R24">
        <v>3.4</v>
      </c>
      <c r="S24">
        <v>100</v>
      </c>
    </row>
    <row r="25" spans="1:19">
      <c r="A25" s="1">
        <v>46101</v>
      </c>
      <c r="B25" s="16">
        <v>0.51011574074074073</v>
      </c>
      <c r="C25" t="s">
        <v>221</v>
      </c>
      <c r="D25" t="s">
        <v>79</v>
      </c>
      <c r="F25">
        <v>11</v>
      </c>
      <c r="G25" t="s">
        <v>74</v>
      </c>
      <c r="H25">
        <v>1</v>
      </c>
      <c r="I25">
        <v>1</v>
      </c>
      <c r="J25" t="s">
        <v>64</v>
      </c>
      <c r="K25" t="s">
        <v>65</v>
      </c>
      <c r="L25">
        <v>6.5199999999999994E-2</v>
      </c>
      <c r="M25">
        <v>1.39</v>
      </c>
      <c r="N25">
        <v>5</v>
      </c>
      <c r="O25" t="s">
        <v>66</v>
      </c>
      <c r="P25" t="s">
        <v>67</v>
      </c>
      <c r="Q25">
        <v>0.215</v>
      </c>
      <c r="R25">
        <v>2.98</v>
      </c>
      <c r="S25">
        <v>50</v>
      </c>
    </row>
    <row r="26" spans="1:19">
      <c r="A26" s="1">
        <v>46101</v>
      </c>
      <c r="B26" s="16">
        <v>0.5110069444444445</v>
      </c>
      <c r="C26" t="s">
        <v>221</v>
      </c>
      <c r="D26" t="s">
        <v>79</v>
      </c>
      <c r="F26">
        <v>11</v>
      </c>
      <c r="G26" t="s">
        <v>74</v>
      </c>
      <c r="H26">
        <v>1</v>
      </c>
      <c r="I26">
        <v>1</v>
      </c>
      <c r="J26" t="s">
        <v>64</v>
      </c>
      <c r="K26" t="s">
        <v>65</v>
      </c>
      <c r="L26">
        <v>6.6299999999999998E-2</v>
      </c>
      <c r="M26">
        <v>1.44</v>
      </c>
      <c r="N26">
        <v>5</v>
      </c>
      <c r="O26" t="s">
        <v>66</v>
      </c>
      <c r="P26" t="s">
        <v>67</v>
      </c>
      <c r="Q26">
        <v>0.21099999999999999</v>
      </c>
      <c r="R26">
        <v>2.9</v>
      </c>
      <c r="S26">
        <v>50</v>
      </c>
    </row>
    <row r="27" spans="1:19">
      <c r="A27" s="1">
        <v>46101</v>
      </c>
      <c r="B27" s="16">
        <v>0.51187499999999997</v>
      </c>
      <c r="C27" t="s">
        <v>221</v>
      </c>
      <c r="D27" t="s">
        <v>80</v>
      </c>
      <c r="F27">
        <v>13</v>
      </c>
      <c r="G27" t="s">
        <v>74</v>
      </c>
      <c r="H27">
        <v>1</v>
      </c>
      <c r="I27">
        <v>1</v>
      </c>
      <c r="J27" t="s">
        <v>64</v>
      </c>
      <c r="K27" t="s">
        <v>65</v>
      </c>
      <c r="L27">
        <v>7.5700000000000003E-2</v>
      </c>
      <c r="M27">
        <v>1.42</v>
      </c>
      <c r="N27">
        <v>0</v>
      </c>
      <c r="O27" t="s">
        <v>66</v>
      </c>
      <c r="P27" t="s">
        <v>67</v>
      </c>
      <c r="Q27">
        <v>0.153</v>
      </c>
      <c r="R27">
        <v>2.09</v>
      </c>
      <c r="S27">
        <v>0</v>
      </c>
    </row>
    <row r="28" spans="1:19">
      <c r="A28" s="1">
        <v>46101</v>
      </c>
      <c r="B28" s="16">
        <v>0.51276620370370374</v>
      </c>
      <c r="C28" t="s">
        <v>221</v>
      </c>
      <c r="D28" t="s">
        <v>80</v>
      </c>
      <c r="F28">
        <v>13</v>
      </c>
      <c r="G28" t="s">
        <v>74</v>
      </c>
      <c r="H28">
        <v>1</v>
      </c>
      <c r="I28">
        <v>1</v>
      </c>
      <c r="J28" t="s">
        <v>64</v>
      </c>
      <c r="K28" t="s">
        <v>65</v>
      </c>
      <c r="L28">
        <v>5.5399999999999998E-2</v>
      </c>
      <c r="M28">
        <v>1.2</v>
      </c>
      <c r="N28">
        <v>0</v>
      </c>
      <c r="O28" t="s">
        <v>66</v>
      </c>
      <c r="P28" t="s">
        <v>67</v>
      </c>
      <c r="Q28">
        <v>0.17899999999999999</v>
      </c>
      <c r="R28">
        <v>2.41</v>
      </c>
      <c r="S28">
        <v>0</v>
      </c>
    </row>
    <row r="29" spans="1:19">
      <c r="A29" s="1">
        <v>46101</v>
      </c>
      <c r="B29" s="16">
        <v>0.51364583333333336</v>
      </c>
      <c r="C29" t="s">
        <v>221</v>
      </c>
      <c r="D29" t="s">
        <v>222</v>
      </c>
      <c r="F29" t="s">
        <v>68</v>
      </c>
      <c r="G29" t="s">
        <v>63</v>
      </c>
      <c r="H29">
        <v>1</v>
      </c>
      <c r="I29">
        <v>1</v>
      </c>
      <c r="J29" t="s">
        <v>64</v>
      </c>
      <c r="K29" t="s">
        <v>65</v>
      </c>
      <c r="L29">
        <v>0.14899999999999999</v>
      </c>
      <c r="M29">
        <v>1.87</v>
      </c>
      <c r="N29">
        <v>18.3</v>
      </c>
      <c r="O29" t="s">
        <v>66</v>
      </c>
      <c r="P29" t="s">
        <v>67</v>
      </c>
      <c r="Q29">
        <v>7.94</v>
      </c>
      <c r="R29">
        <v>149</v>
      </c>
      <c r="S29">
        <v>5300</v>
      </c>
    </row>
    <row r="30" spans="1:19">
      <c r="A30" s="1">
        <v>46101</v>
      </c>
      <c r="B30" s="16">
        <v>0.51453703703703701</v>
      </c>
      <c r="C30" t="s">
        <v>221</v>
      </c>
      <c r="D30" t="s">
        <v>223</v>
      </c>
      <c r="F30" t="s">
        <v>69</v>
      </c>
      <c r="G30" t="s">
        <v>63</v>
      </c>
      <c r="H30">
        <v>1</v>
      </c>
      <c r="I30">
        <v>1</v>
      </c>
      <c r="J30" t="s">
        <v>64</v>
      </c>
      <c r="K30" t="s">
        <v>65</v>
      </c>
      <c r="L30">
        <v>0.14599999999999999</v>
      </c>
      <c r="M30">
        <v>1.86</v>
      </c>
      <c r="N30">
        <v>18.100000000000001</v>
      </c>
      <c r="O30" t="s">
        <v>66</v>
      </c>
      <c r="P30" t="s">
        <v>67</v>
      </c>
      <c r="Q30">
        <v>7.95</v>
      </c>
      <c r="R30">
        <v>147</v>
      </c>
      <c r="S30">
        <v>5290</v>
      </c>
    </row>
    <row r="31" spans="1:19">
      <c r="A31" s="1">
        <v>46101</v>
      </c>
      <c r="B31" s="16">
        <v>0.51542824074074078</v>
      </c>
      <c r="C31" t="s">
        <v>221</v>
      </c>
      <c r="D31" t="s">
        <v>224</v>
      </c>
      <c r="F31" t="s">
        <v>70</v>
      </c>
      <c r="G31" t="s">
        <v>63</v>
      </c>
      <c r="H31">
        <v>1</v>
      </c>
      <c r="I31">
        <v>1</v>
      </c>
      <c r="J31" t="s">
        <v>64</v>
      </c>
      <c r="K31" t="s">
        <v>65</v>
      </c>
      <c r="L31">
        <v>0.14699999999999999</v>
      </c>
      <c r="M31">
        <v>1.81</v>
      </c>
      <c r="N31">
        <v>16.7</v>
      </c>
      <c r="O31" t="s">
        <v>66</v>
      </c>
      <c r="P31" t="s">
        <v>67</v>
      </c>
      <c r="Q31">
        <v>3.2199999999999999E-2</v>
      </c>
      <c r="R31">
        <v>0.47699999999999998</v>
      </c>
      <c r="S31">
        <v>-115</v>
      </c>
    </row>
    <row r="32" spans="1:19">
      <c r="A32" s="1">
        <v>46101</v>
      </c>
      <c r="B32" s="16">
        <v>0.5163078703703704</v>
      </c>
      <c r="C32" t="s">
        <v>221</v>
      </c>
      <c r="D32" t="s">
        <v>81</v>
      </c>
      <c r="F32">
        <v>19</v>
      </c>
      <c r="G32" t="s">
        <v>63</v>
      </c>
      <c r="H32">
        <v>1</v>
      </c>
      <c r="I32">
        <v>1</v>
      </c>
      <c r="J32" t="s">
        <v>64</v>
      </c>
      <c r="K32" t="s">
        <v>65</v>
      </c>
      <c r="L32">
        <v>9.1899999999999996E-2</v>
      </c>
      <c r="M32">
        <v>1.17</v>
      </c>
      <c r="N32">
        <v>-2.4</v>
      </c>
      <c r="O32" t="s">
        <v>66</v>
      </c>
      <c r="P32" t="s">
        <v>67</v>
      </c>
      <c r="Q32">
        <v>0.18</v>
      </c>
      <c r="R32">
        <v>2.44</v>
      </c>
      <c r="S32">
        <v>18.5</v>
      </c>
    </row>
    <row r="33" spans="1:19">
      <c r="A33" s="1">
        <v>46101</v>
      </c>
      <c r="B33" s="16">
        <v>0.5172106481481481</v>
      </c>
      <c r="C33" t="s">
        <v>221</v>
      </c>
      <c r="D33" t="s">
        <v>81</v>
      </c>
      <c r="F33">
        <v>20</v>
      </c>
      <c r="G33" t="s">
        <v>63</v>
      </c>
      <c r="H33">
        <v>1</v>
      </c>
      <c r="I33">
        <v>1</v>
      </c>
      <c r="J33" t="s">
        <v>64</v>
      </c>
      <c r="K33" t="s">
        <v>65</v>
      </c>
      <c r="L33">
        <v>5.0099999999999999E-2</v>
      </c>
      <c r="M33">
        <v>1.04</v>
      </c>
      <c r="N33">
        <v>-6.39</v>
      </c>
      <c r="O33" t="s">
        <v>66</v>
      </c>
      <c r="P33" t="s">
        <v>67</v>
      </c>
      <c r="Q33">
        <v>0.182</v>
      </c>
      <c r="R33">
        <v>2.46</v>
      </c>
      <c r="S33">
        <v>19.899999999999999</v>
      </c>
    </row>
    <row r="34" spans="1:19">
      <c r="A34" s="1">
        <v>46101</v>
      </c>
      <c r="B34" s="16">
        <v>0.51810185185185187</v>
      </c>
      <c r="C34" t="s">
        <v>221</v>
      </c>
      <c r="D34" t="s">
        <v>81</v>
      </c>
      <c r="F34">
        <v>21</v>
      </c>
      <c r="G34" t="s">
        <v>63</v>
      </c>
      <c r="H34">
        <v>1</v>
      </c>
      <c r="I34">
        <v>1</v>
      </c>
      <c r="J34" t="s">
        <v>64</v>
      </c>
      <c r="K34" t="s">
        <v>65</v>
      </c>
      <c r="L34">
        <v>5.3999999999999999E-2</v>
      </c>
      <c r="M34">
        <v>1.1499999999999999</v>
      </c>
      <c r="N34">
        <v>-3.23</v>
      </c>
      <c r="O34" t="s">
        <v>66</v>
      </c>
      <c r="P34" t="s">
        <v>67</v>
      </c>
      <c r="Q34">
        <v>0.183</v>
      </c>
      <c r="R34">
        <v>2.48</v>
      </c>
      <c r="S34">
        <v>21</v>
      </c>
    </row>
    <row r="35" spans="1:19">
      <c r="A35" s="1">
        <v>46101</v>
      </c>
      <c r="B35" s="16">
        <v>0.51899305555555553</v>
      </c>
      <c r="C35" t="s">
        <v>221</v>
      </c>
      <c r="D35" t="s">
        <v>81</v>
      </c>
      <c r="F35">
        <v>22</v>
      </c>
      <c r="G35" t="s">
        <v>63</v>
      </c>
      <c r="H35">
        <v>1</v>
      </c>
      <c r="I35">
        <v>1</v>
      </c>
      <c r="J35" t="s">
        <v>64</v>
      </c>
      <c r="K35" t="s">
        <v>65</v>
      </c>
      <c r="L35">
        <v>5.4800000000000001E-2</v>
      </c>
      <c r="M35">
        <v>1.1599999999999999</v>
      </c>
      <c r="N35">
        <v>-2.7</v>
      </c>
      <c r="O35" t="s">
        <v>66</v>
      </c>
      <c r="P35" t="s">
        <v>67</v>
      </c>
      <c r="Q35">
        <v>0.17599999999999999</v>
      </c>
      <c r="R35">
        <v>2.37</v>
      </c>
      <c r="S35">
        <v>14</v>
      </c>
    </row>
    <row r="36" spans="1:19">
      <c r="A36" s="1">
        <v>46101</v>
      </c>
      <c r="B36" s="16">
        <v>0.51987268518518515</v>
      </c>
      <c r="C36" t="s">
        <v>221</v>
      </c>
      <c r="D36" t="s">
        <v>81</v>
      </c>
      <c r="F36">
        <v>23</v>
      </c>
      <c r="G36" t="s">
        <v>63</v>
      </c>
      <c r="H36">
        <v>1</v>
      </c>
      <c r="I36">
        <v>1</v>
      </c>
      <c r="J36" t="s">
        <v>64</v>
      </c>
      <c r="K36" t="s">
        <v>65</v>
      </c>
      <c r="L36">
        <v>5.4800000000000001E-2</v>
      </c>
      <c r="M36">
        <v>1.19</v>
      </c>
      <c r="N36">
        <v>-2.0099999999999998</v>
      </c>
      <c r="O36" t="s">
        <v>66</v>
      </c>
      <c r="P36" t="s">
        <v>67</v>
      </c>
      <c r="Q36">
        <v>0.182</v>
      </c>
      <c r="R36">
        <v>2.48</v>
      </c>
      <c r="S36">
        <v>20.8</v>
      </c>
    </row>
    <row r="37" spans="1:19">
      <c r="A37" s="1">
        <v>46101</v>
      </c>
      <c r="B37" s="16">
        <v>0.52075231481481477</v>
      </c>
      <c r="C37" t="s">
        <v>221</v>
      </c>
      <c r="D37" t="s">
        <v>82</v>
      </c>
      <c r="F37">
        <v>24</v>
      </c>
      <c r="G37" t="s">
        <v>63</v>
      </c>
      <c r="H37">
        <v>1</v>
      </c>
      <c r="I37">
        <v>1</v>
      </c>
      <c r="J37" t="s">
        <v>64</v>
      </c>
      <c r="K37" t="s">
        <v>65</v>
      </c>
      <c r="L37">
        <v>0.13500000000000001</v>
      </c>
      <c r="M37">
        <v>2.67</v>
      </c>
      <c r="N37">
        <v>42.3</v>
      </c>
      <c r="O37" t="s">
        <v>66</v>
      </c>
      <c r="P37" t="s">
        <v>67</v>
      </c>
      <c r="Q37">
        <v>0.66100000000000003</v>
      </c>
      <c r="R37">
        <v>8.68</v>
      </c>
      <c r="S37">
        <v>432</v>
      </c>
    </row>
    <row r="38" spans="1:19">
      <c r="A38" s="1">
        <v>46101</v>
      </c>
      <c r="B38" s="16">
        <v>0.52164351851851853</v>
      </c>
      <c r="C38" t="s">
        <v>221</v>
      </c>
      <c r="D38" t="s">
        <v>82</v>
      </c>
      <c r="F38">
        <v>25</v>
      </c>
      <c r="G38" t="s">
        <v>63</v>
      </c>
      <c r="H38">
        <v>1</v>
      </c>
      <c r="I38">
        <v>1</v>
      </c>
      <c r="J38" t="s">
        <v>64</v>
      </c>
      <c r="K38" t="s">
        <v>65</v>
      </c>
      <c r="L38">
        <v>0.13100000000000001</v>
      </c>
      <c r="M38">
        <v>2.63</v>
      </c>
      <c r="N38">
        <v>41.2</v>
      </c>
      <c r="O38" t="s">
        <v>66</v>
      </c>
      <c r="P38" t="s">
        <v>67</v>
      </c>
      <c r="Q38">
        <v>0.68300000000000005</v>
      </c>
      <c r="R38">
        <v>8.94</v>
      </c>
      <c r="S38">
        <v>449</v>
      </c>
    </row>
    <row r="39" spans="1:19">
      <c r="A39" s="1">
        <v>46101</v>
      </c>
      <c r="B39" s="16">
        <v>0.52252314814814815</v>
      </c>
      <c r="C39" t="s">
        <v>221</v>
      </c>
      <c r="D39" t="s">
        <v>82</v>
      </c>
      <c r="F39">
        <v>26</v>
      </c>
      <c r="G39" t="s">
        <v>63</v>
      </c>
      <c r="H39">
        <v>1</v>
      </c>
      <c r="I39">
        <v>1</v>
      </c>
      <c r="J39" t="s">
        <v>64</v>
      </c>
      <c r="K39" t="s">
        <v>65</v>
      </c>
      <c r="L39">
        <v>0.13</v>
      </c>
      <c r="M39">
        <v>2.6</v>
      </c>
      <c r="N39">
        <v>40.200000000000003</v>
      </c>
      <c r="O39" t="s">
        <v>66</v>
      </c>
      <c r="P39" t="s">
        <v>67</v>
      </c>
      <c r="Q39">
        <v>0.63800000000000001</v>
      </c>
      <c r="R39">
        <v>8.39</v>
      </c>
      <c r="S39">
        <v>413</v>
      </c>
    </row>
    <row r="40" spans="1:19">
      <c r="A40" s="1">
        <v>46101</v>
      </c>
      <c r="B40" s="16">
        <v>0.52340277777777777</v>
      </c>
      <c r="C40" t="s">
        <v>221</v>
      </c>
      <c r="D40" t="s">
        <v>82</v>
      </c>
      <c r="F40">
        <v>27</v>
      </c>
      <c r="G40" t="s">
        <v>63</v>
      </c>
      <c r="H40">
        <v>1</v>
      </c>
      <c r="I40">
        <v>1</v>
      </c>
      <c r="J40" t="s">
        <v>64</v>
      </c>
      <c r="K40" t="s">
        <v>65</v>
      </c>
      <c r="L40">
        <v>0.13100000000000001</v>
      </c>
      <c r="M40">
        <v>2.71</v>
      </c>
      <c r="N40">
        <v>43.6</v>
      </c>
      <c r="O40" t="s">
        <v>66</v>
      </c>
      <c r="P40" t="s">
        <v>67</v>
      </c>
      <c r="Q40">
        <v>0.67400000000000004</v>
      </c>
      <c r="R40">
        <v>8.8000000000000007</v>
      </c>
      <c r="S40">
        <v>440</v>
      </c>
    </row>
    <row r="41" spans="1:19">
      <c r="A41" s="1">
        <v>46101</v>
      </c>
      <c r="B41" s="16">
        <v>0.52428240740740739</v>
      </c>
      <c r="C41" t="s">
        <v>221</v>
      </c>
      <c r="D41" t="s">
        <v>82</v>
      </c>
      <c r="F41">
        <v>28</v>
      </c>
      <c r="G41" t="s">
        <v>63</v>
      </c>
      <c r="H41">
        <v>1</v>
      </c>
      <c r="I41">
        <v>1</v>
      </c>
      <c r="J41" t="s">
        <v>64</v>
      </c>
      <c r="K41" t="s">
        <v>65</v>
      </c>
      <c r="L41">
        <v>0.13400000000000001</v>
      </c>
      <c r="M41">
        <v>2.67</v>
      </c>
      <c r="N41">
        <v>42.1</v>
      </c>
      <c r="O41" t="s">
        <v>66</v>
      </c>
      <c r="P41" t="s">
        <v>67</v>
      </c>
      <c r="Q41">
        <v>0.754</v>
      </c>
      <c r="R41">
        <v>7.74</v>
      </c>
      <c r="S41">
        <v>371</v>
      </c>
    </row>
    <row r="42" spans="1:19">
      <c r="A42" s="1">
        <v>46101</v>
      </c>
      <c r="B42" s="16">
        <v>0.52516203703703701</v>
      </c>
      <c r="C42" t="s">
        <v>221</v>
      </c>
      <c r="D42" t="s">
        <v>83</v>
      </c>
      <c r="F42">
        <v>29</v>
      </c>
      <c r="G42" t="s">
        <v>63</v>
      </c>
      <c r="H42">
        <v>1</v>
      </c>
      <c r="I42">
        <v>1</v>
      </c>
      <c r="J42" t="s">
        <v>64</v>
      </c>
      <c r="K42" t="s">
        <v>65</v>
      </c>
      <c r="L42">
        <v>0.105</v>
      </c>
      <c r="M42">
        <v>2.14</v>
      </c>
      <c r="N42">
        <v>26.6</v>
      </c>
      <c r="O42" t="s">
        <v>66</v>
      </c>
      <c r="P42" t="s">
        <v>67</v>
      </c>
      <c r="Q42">
        <v>0.498</v>
      </c>
      <c r="R42">
        <v>6.57</v>
      </c>
      <c r="S42">
        <v>294</v>
      </c>
    </row>
    <row r="43" spans="1:19">
      <c r="A43" s="1">
        <v>46101</v>
      </c>
      <c r="B43" s="16">
        <v>0.52604166666666663</v>
      </c>
      <c r="C43" t="s">
        <v>221</v>
      </c>
      <c r="D43" t="s">
        <v>83</v>
      </c>
      <c r="F43">
        <v>30</v>
      </c>
      <c r="G43" t="s">
        <v>63</v>
      </c>
      <c r="H43">
        <v>1</v>
      </c>
      <c r="I43">
        <v>1</v>
      </c>
      <c r="J43" t="s">
        <v>64</v>
      </c>
      <c r="K43" t="s">
        <v>65</v>
      </c>
      <c r="L43">
        <v>0.1</v>
      </c>
      <c r="M43">
        <v>1.94</v>
      </c>
      <c r="N43">
        <v>20.6</v>
      </c>
      <c r="O43" t="s">
        <v>66</v>
      </c>
      <c r="P43" t="s">
        <v>67</v>
      </c>
      <c r="Q43">
        <v>0.54700000000000004</v>
      </c>
      <c r="R43">
        <v>7.22</v>
      </c>
      <c r="S43">
        <v>337</v>
      </c>
    </row>
    <row r="44" spans="1:19">
      <c r="A44" s="1">
        <v>46101</v>
      </c>
      <c r="B44" s="16">
        <v>0.52694444444444444</v>
      </c>
      <c r="C44" t="s">
        <v>221</v>
      </c>
      <c r="D44" t="s">
        <v>83</v>
      </c>
      <c r="F44">
        <v>31</v>
      </c>
      <c r="G44" t="s">
        <v>63</v>
      </c>
      <c r="H44">
        <v>1</v>
      </c>
      <c r="I44">
        <v>1</v>
      </c>
      <c r="J44" t="s">
        <v>64</v>
      </c>
      <c r="K44" t="s">
        <v>65</v>
      </c>
      <c r="L44">
        <v>0.107</v>
      </c>
      <c r="M44">
        <v>2.1</v>
      </c>
      <c r="N44">
        <v>25.4</v>
      </c>
      <c r="O44" t="s">
        <v>66</v>
      </c>
      <c r="P44" t="s">
        <v>67</v>
      </c>
      <c r="Q44">
        <v>0.48799999999999999</v>
      </c>
      <c r="R44">
        <v>6.43</v>
      </c>
      <c r="S44">
        <v>284</v>
      </c>
    </row>
    <row r="45" spans="1:19">
      <c r="A45" s="1">
        <v>46101</v>
      </c>
      <c r="B45" s="16">
        <v>0.5278356481481481</v>
      </c>
      <c r="C45" t="s">
        <v>221</v>
      </c>
      <c r="D45" t="s">
        <v>83</v>
      </c>
      <c r="F45">
        <v>32</v>
      </c>
      <c r="G45" t="s">
        <v>63</v>
      </c>
      <c r="H45">
        <v>1</v>
      </c>
      <c r="I45">
        <v>1</v>
      </c>
      <c r="J45" t="s">
        <v>64</v>
      </c>
      <c r="K45" t="s">
        <v>65</v>
      </c>
      <c r="L45">
        <v>0.106</v>
      </c>
      <c r="M45">
        <v>2.09</v>
      </c>
      <c r="N45">
        <v>24.9</v>
      </c>
      <c r="O45" t="s">
        <v>66</v>
      </c>
      <c r="P45" t="s">
        <v>67</v>
      </c>
      <c r="Q45">
        <v>0.46600000000000003</v>
      </c>
      <c r="R45">
        <v>6.16</v>
      </c>
      <c r="S45">
        <v>267</v>
      </c>
    </row>
    <row r="46" spans="1:19">
      <c r="A46" s="1">
        <v>46101</v>
      </c>
      <c r="B46" s="16">
        <v>0.52872685185185186</v>
      </c>
      <c r="C46" t="s">
        <v>221</v>
      </c>
      <c r="D46" t="s">
        <v>83</v>
      </c>
      <c r="F46">
        <v>33</v>
      </c>
      <c r="G46" t="s">
        <v>63</v>
      </c>
      <c r="H46">
        <v>1</v>
      </c>
      <c r="I46">
        <v>1</v>
      </c>
      <c r="J46" t="s">
        <v>64</v>
      </c>
      <c r="K46" t="s">
        <v>65</v>
      </c>
      <c r="L46">
        <v>0.10299999999999999</v>
      </c>
      <c r="M46">
        <v>2.06</v>
      </c>
      <c r="N46">
        <v>24.1</v>
      </c>
      <c r="O46" t="s">
        <v>66</v>
      </c>
      <c r="P46" t="s">
        <v>67</v>
      </c>
      <c r="Q46">
        <v>0.47399999999999998</v>
      </c>
      <c r="R46">
        <v>6.3</v>
      </c>
      <c r="S46">
        <v>276</v>
      </c>
    </row>
    <row r="47" spans="1:19">
      <c r="A47" s="1">
        <v>46101</v>
      </c>
      <c r="B47" s="16">
        <v>0.52961805555555552</v>
      </c>
      <c r="C47" t="s">
        <v>221</v>
      </c>
      <c r="D47" t="s">
        <v>68</v>
      </c>
      <c r="F47">
        <v>34</v>
      </c>
      <c r="G47" t="s">
        <v>63</v>
      </c>
      <c r="H47">
        <v>1</v>
      </c>
      <c r="I47">
        <v>1</v>
      </c>
      <c r="J47" t="s">
        <v>64</v>
      </c>
      <c r="K47" t="s">
        <v>65</v>
      </c>
      <c r="L47">
        <v>6.9199999999999998E-2</v>
      </c>
      <c r="M47">
        <v>1.51</v>
      </c>
      <c r="N47">
        <v>7.55</v>
      </c>
      <c r="O47" t="s">
        <v>66</v>
      </c>
      <c r="P47" t="s">
        <v>67</v>
      </c>
      <c r="Q47">
        <v>0.753</v>
      </c>
      <c r="R47">
        <v>9.92</v>
      </c>
      <c r="S47">
        <v>512</v>
      </c>
    </row>
    <row r="48" spans="1:19">
      <c r="A48" s="1">
        <v>46101</v>
      </c>
      <c r="B48" s="16">
        <v>0.53050925925925929</v>
      </c>
      <c r="C48" t="s">
        <v>221</v>
      </c>
      <c r="D48" t="s">
        <v>69</v>
      </c>
      <c r="F48">
        <v>35</v>
      </c>
      <c r="G48" t="s">
        <v>63</v>
      </c>
      <c r="H48">
        <v>1</v>
      </c>
      <c r="I48">
        <v>1</v>
      </c>
      <c r="J48" t="s">
        <v>64</v>
      </c>
      <c r="K48" t="s">
        <v>65</v>
      </c>
      <c r="L48">
        <v>0.16</v>
      </c>
      <c r="M48">
        <v>3.13</v>
      </c>
      <c r="N48">
        <v>55.8</v>
      </c>
      <c r="O48" t="s">
        <v>66</v>
      </c>
      <c r="P48" t="s">
        <v>67</v>
      </c>
      <c r="Q48">
        <v>0.94699999999999995</v>
      </c>
      <c r="R48">
        <v>12.3</v>
      </c>
      <c r="S48">
        <v>665</v>
      </c>
    </row>
    <row r="49" spans="1:19">
      <c r="A49" s="1">
        <v>46101</v>
      </c>
      <c r="B49" s="16">
        <v>0.53140046296296295</v>
      </c>
      <c r="C49" t="s">
        <v>221</v>
      </c>
      <c r="D49" t="s">
        <v>70</v>
      </c>
      <c r="F49">
        <v>36</v>
      </c>
      <c r="G49" t="s">
        <v>63</v>
      </c>
      <c r="H49">
        <v>1</v>
      </c>
      <c r="I49">
        <v>1</v>
      </c>
      <c r="J49" t="s">
        <v>64</v>
      </c>
      <c r="K49" t="s">
        <v>65</v>
      </c>
      <c r="L49">
        <v>1.1499999999999999</v>
      </c>
      <c r="M49">
        <v>21</v>
      </c>
      <c r="N49">
        <v>533</v>
      </c>
      <c r="O49" t="s">
        <v>66</v>
      </c>
      <c r="P49" t="s">
        <v>67</v>
      </c>
      <c r="Q49">
        <v>6.55</v>
      </c>
      <c r="R49">
        <v>91.7</v>
      </c>
      <c r="S49">
        <v>4330</v>
      </c>
    </row>
    <row r="50" spans="1:19">
      <c r="A50" s="1">
        <v>46101</v>
      </c>
      <c r="B50" s="16">
        <v>0.53226851851851853</v>
      </c>
      <c r="C50" t="s">
        <v>221</v>
      </c>
      <c r="D50" t="s">
        <v>72</v>
      </c>
      <c r="F50">
        <v>37</v>
      </c>
      <c r="G50" t="s">
        <v>63</v>
      </c>
      <c r="H50">
        <v>1</v>
      </c>
      <c r="I50">
        <v>1</v>
      </c>
      <c r="J50" t="s">
        <v>64</v>
      </c>
      <c r="K50" t="s">
        <v>65</v>
      </c>
      <c r="L50">
        <v>7.5700000000000003E-2</v>
      </c>
      <c r="M50">
        <v>1.6</v>
      </c>
      <c r="N50">
        <v>10.4</v>
      </c>
      <c r="O50" t="s">
        <v>66</v>
      </c>
      <c r="P50" t="s">
        <v>67</v>
      </c>
      <c r="Q50">
        <v>1.81</v>
      </c>
      <c r="R50">
        <v>23.5</v>
      </c>
      <c r="S50">
        <v>1350</v>
      </c>
    </row>
    <row r="51" spans="1:19">
      <c r="A51" s="1">
        <v>46101</v>
      </c>
      <c r="B51" s="16">
        <v>0.53317129629629634</v>
      </c>
      <c r="C51" t="s">
        <v>221</v>
      </c>
      <c r="D51" t="s">
        <v>84</v>
      </c>
      <c r="F51">
        <v>38</v>
      </c>
      <c r="G51" t="s">
        <v>85</v>
      </c>
      <c r="H51">
        <v>1</v>
      </c>
      <c r="I51">
        <v>1</v>
      </c>
      <c r="J51" t="s">
        <v>64</v>
      </c>
      <c r="K51" t="s">
        <v>65</v>
      </c>
      <c r="L51">
        <v>0.124</v>
      </c>
      <c r="M51">
        <v>2.56</v>
      </c>
      <c r="N51">
        <v>39.1</v>
      </c>
      <c r="O51" t="s">
        <v>66</v>
      </c>
      <c r="P51" t="s">
        <v>67</v>
      </c>
      <c r="Q51">
        <v>0.79400000000000004</v>
      </c>
      <c r="R51">
        <v>10.4</v>
      </c>
      <c r="S51">
        <v>542</v>
      </c>
    </row>
    <row r="52" spans="1:19">
      <c r="A52" s="1">
        <v>46101</v>
      </c>
      <c r="B52" s="16">
        <v>0.53405092592592596</v>
      </c>
      <c r="C52" t="s">
        <v>221</v>
      </c>
      <c r="D52" t="s">
        <v>185</v>
      </c>
      <c r="F52">
        <v>44</v>
      </c>
      <c r="G52" t="s">
        <v>85</v>
      </c>
      <c r="H52">
        <v>1</v>
      </c>
      <c r="I52">
        <v>1</v>
      </c>
      <c r="J52" t="s">
        <v>64</v>
      </c>
      <c r="K52" t="s">
        <v>65</v>
      </c>
      <c r="L52">
        <v>0.128</v>
      </c>
      <c r="M52">
        <v>2.58</v>
      </c>
      <c r="N52">
        <v>39.5</v>
      </c>
      <c r="O52" t="s">
        <v>66</v>
      </c>
      <c r="P52" t="s">
        <v>67</v>
      </c>
      <c r="Q52">
        <v>0.90400000000000003</v>
      </c>
      <c r="R52">
        <v>11.8</v>
      </c>
      <c r="S52">
        <v>630</v>
      </c>
    </row>
    <row r="53" spans="1:19">
      <c r="A53" s="1">
        <v>46101</v>
      </c>
      <c r="B53" s="16">
        <v>0.53493055555555558</v>
      </c>
      <c r="C53" t="s">
        <v>221</v>
      </c>
      <c r="D53" t="s">
        <v>86</v>
      </c>
      <c r="F53">
        <v>39</v>
      </c>
      <c r="G53" t="s">
        <v>63</v>
      </c>
      <c r="H53">
        <v>1</v>
      </c>
      <c r="I53">
        <v>1</v>
      </c>
      <c r="J53" t="s">
        <v>64</v>
      </c>
      <c r="K53" t="s">
        <v>65</v>
      </c>
      <c r="L53">
        <v>7.1999999999999995E-2</v>
      </c>
      <c r="M53">
        <v>1.55</v>
      </c>
      <c r="N53">
        <v>8.9600000000000009</v>
      </c>
      <c r="O53" t="s">
        <v>66</v>
      </c>
      <c r="P53" t="s">
        <v>67</v>
      </c>
      <c r="Q53">
        <v>0.70499999999999996</v>
      </c>
      <c r="R53">
        <v>9.2799999999999994</v>
      </c>
      <c r="S53">
        <v>471</v>
      </c>
    </row>
    <row r="54" spans="1:19">
      <c r="A54" s="1">
        <v>46101</v>
      </c>
      <c r="B54" s="16">
        <v>0.53582175925925923</v>
      </c>
      <c r="C54" t="s">
        <v>221</v>
      </c>
      <c r="D54" t="s">
        <v>87</v>
      </c>
      <c r="F54">
        <v>40</v>
      </c>
      <c r="G54" t="s">
        <v>63</v>
      </c>
      <c r="H54">
        <v>1</v>
      </c>
      <c r="I54">
        <v>1</v>
      </c>
      <c r="J54" t="s">
        <v>64</v>
      </c>
      <c r="K54" t="s">
        <v>65</v>
      </c>
      <c r="L54">
        <v>5.8900000000000001E-2</v>
      </c>
      <c r="M54">
        <v>1.29</v>
      </c>
      <c r="N54">
        <v>1.21</v>
      </c>
      <c r="O54" t="s">
        <v>66</v>
      </c>
      <c r="P54" t="s">
        <v>67</v>
      </c>
      <c r="Q54">
        <v>0.24399999999999999</v>
      </c>
      <c r="R54">
        <v>3.37</v>
      </c>
      <c r="S54">
        <v>81.3</v>
      </c>
    </row>
    <row r="55" spans="1:19">
      <c r="A55" s="1">
        <v>46101</v>
      </c>
      <c r="B55" s="16">
        <v>0.53670138888888885</v>
      </c>
      <c r="C55" t="s">
        <v>221</v>
      </c>
      <c r="D55" t="s">
        <v>88</v>
      </c>
      <c r="F55">
        <v>41</v>
      </c>
      <c r="G55" t="s">
        <v>63</v>
      </c>
      <c r="H55">
        <v>1</v>
      </c>
      <c r="I55">
        <v>1</v>
      </c>
      <c r="J55" t="s">
        <v>64</v>
      </c>
      <c r="K55" t="s">
        <v>65</v>
      </c>
      <c r="L55">
        <v>7.3200000000000001E-2</v>
      </c>
      <c r="M55">
        <v>1.65</v>
      </c>
      <c r="N55">
        <v>11.9</v>
      </c>
      <c r="O55" t="s">
        <v>66</v>
      </c>
      <c r="P55" t="s">
        <v>67</v>
      </c>
      <c r="Q55">
        <v>1.35</v>
      </c>
      <c r="R55">
        <v>17.600000000000001</v>
      </c>
      <c r="S55">
        <v>991</v>
      </c>
    </row>
    <row r="56" spans="1:19">
      <c r="A56" s="1">
        <v>46101</v>
      </c>
      <c r="B56" s="16">
        <v>0.53755787037037039</v>
      </c>
      <c r="C56" t="s">
        <v>221</v>
      </c>
      <c r="D56" t="s">
        <v>89</v>
      </c>
      <c r="F56">
        <v>42</v>
      </c>
      <c r="G56" t="s">
        <v>63</v>
      </c>
      <c r="H56">
        <v>1</v>
      </c>
      <c r="I56">
        <v>1</v>
      </c>
      <c r="J56" t="s">
        <v>64</v>
      </c>
      <c r="K56" t="s">
        <v>65</v>
      </c>
      <c r="L56">
        <v>8.1799999999999998E-2</v>
      </c>
      <c r="M56">
        <v>1.77</v>
      </c>
      <c r="N56">
        <v>15.4</v>
      </c>
      <c r="O56" t="s">
        <v>66</v>
      </c>
      <c r="P56" t="s">
        <v>67</v>
      </c>
      <c r="Q56">
        <v>1.78</v>
      </c>
      <c r="R56">
        <v>23.2</v>
      </c>
      <c r="S56">
        <v>1330</v>
      </c>
    </row>
    <row r="57" spans="1:19">
      <c r="A57" s="1">
        <v>46101</v>
      </c>
      <c r="B57" s="16">
        <v>0.5384606481481482</v>
      </c>
      <c r="C57" t="s">
        <v>221</v>
      </c>
      <c r="D57" t="s">
        <v>90</v>
      </c>
      <c r="F57">
        <v>43</v>
      </c>
      <c r="G57" t="s">
        <v>91</v>
      </c>
      <c r="H57">
        <v>1</v>
      </c>
      <c r="I57">
        <v>1</v>
      </c>
      <c r="J57" t="s">
        <v>64</v>
      </c>
      <c r="K57" t="s">
        <v>65</v>
      </c>
      <c r="L57">
        <v>5.3800000000000001E-2</v>
      </c>
      <c r="M57">
        <v>1.24</v>
      </c>
      <c r="N57">
        <v>-0.47099999999999997</v>
      </c>
      <c r="O57" t="s">
        <v>66</v>
      </c>
      <c r="P57" t="s">
        <v>67</v>
      </c>
      <c r="Q57">
        <v>2.06</v>
      </c>
      <c r="R57">
        <v>26.7</v>
      </c>
      <c r="S57">
        <v>1530</v>
      </c>
    </row>
    <row r="58" spans="1:19">
      <c r="A58" s="1">
        <v>46101</v>
      </c>
      <c r="B58" s="16">
        <v>0.53934027777777782</v>
      </c>
      <c r="C58" t="s">
        <v>221</v>
      </c>
      <c r="D58" t="s">
        <v>225</v>
      </c>
      <c r="F58">
        <v>45</v>
      </c>
      <c r="G58" t="s">
        <v>91</v>
      </c>
      <c r="H58">
        <v>1</v>
      </c>
      <c r="I58">
        <v>1</v>
      </c>
      <c r="J58" t="s">
        <v>64</v>
      </c>
      <c r="K58" t="s">
        <v>65</v>
      </c>
      <c r="L58">
        <v>0.104</v>
      </c>
      <c r="M58">
        <v>2.16</v>
      </c>
      <c r="N58">
        <v>27</v>
      </c>
      <c r="O58" t="s">
        <v>66</v>
      </c>
      <c r="P58" t="s">
        <v>67</v>
      </c>
      <c r="Q58">
        <v>2.4500000000000002</v>
      </c>
      <c r="R58">
        <v>31.6</v>
      </c>
      <c r="S58">
        <v>1810</v>
      </c>
    </row>
    <row r="59" spans="1:19">
      <c r="A59" s="1">
        <v>46101</v>
      </c>
      <c r="B59" s="16">
        <v>0.54023148148148148</v>
      </c>
      <c r="C59" t="s">
        <v>221</v>
      </c>
      <c r="D59" t="s">
        <v>226</v>
      </c>
      <c r="F59" t="s">
        <v>70</v>
      </c>
      <c r="G59" t="s">
        <v>92</v>
      </c>
      <c r="H59">
        <v>1</v>
      </c>
      <c r="I59">
        <v>1</v>
      </c>
      <c r="J59" t="s">
        <v>64</v>
      </c>
      <c r="K59" t="s">
        <v>65</v>
      </c>
      <c r="L59">
        <v>0.14199999999999999</v>
      </c>
      <c r="M59">
        <v>1.71</v>
      </c>
      <c r="N59">
        <v>13.8</v>
      </c>
      <c r="O59" t="s">
        <v>66</v>
      </c>
      <c r="P59" t="s">
        <v>67</v>
      </c>
      <c r="Q59">
        <v>6.4799999999999996E-3</v>
      </c>
      <c r="R59">
        <v>0.13700000000000001</v>
      </c>
      <c r="S59">
        <v>-138</v>
      </c>
    </row>
    <row r="60" spans="1:19">
      <c r="A60" s="1">
        <v>46101</v>
      </c>
      <c r="B60" s="16">
        <v>0.5411111111111111</v>
      </c>
      <c r="C60" t="s">
        <v>221</v>
      </c>
      <c r="D60" t="s">
        <v>196</v>
      </c>
      <c r="F60">
        <v>15</v>
      </c>
      <c r="G60" t="s">
        <v>92</v>
      </c>
      <c r="H60">
        <v>1</v>
      </c>
      <c r="I60">
        <v>1</v>
      </c>
      <c r="J60" t="s">
        <v>64</v>
      </c>
      <c r="K60" t="s">
        <v>65</v>
      </c>
      <c r="L60">
        <v>0.10199999999999999</v>
      </c>
      <c r="M60">
        <v>2.06</v>
      </c>
      <c r="N60">
        <v>24.1</v>
      </c>
      <c r="O60" t="s">
        <v>66</v>
      </c>
      <c r="P60" t="s">
        <v>67</v>
      </c>
      <c r="Q60">
        <v>0.497</v>
      </c>
      <c r="R60">
        <v>6.59</v>
      </c>
      <c r="S60">
        <v>295</v>
      </c>
    </row>
    <row r="61" spans="1:19">
      <c r="A61" s="1">
        <v>46101</v>
      </c>
      <c r="B61" s="16">
        <v>0.54200231481481487</v>
      </c>
      <c r="C61" t="s">
        <v>221</v>
      </c>
      <c r="D61" t="s">
        <v>197</v>
      </c>
      <c r="F61">
        <v>46</v>
      </c>
      <c r="G61" t="s">
        <v>63</v>
      </c>
      <c r="H61">
        <v>1</v>
      </c>
      <c r="I61">
        <v>1</v>
      </c>
      <c r="J61" t="s">
        <v>64</v>
      </c>
      <c r="K61" t="s">
        <v>65</v>
      </c>
      <c r="L61">
        <v>8.4000000000000005E-2</v>
      </c>
      <c r="M61">
        <v>1.78</v>
      </c>
      <c r="N61">
        <v>15.8</v>
      </c>
      <c r="O61" t="s">
        <v>66</v>
      </c>
      <c r="P61" t="s">
        <v>67</v>
      </c>
      <c r="Q61">
        <v>0.43</v>
      </c>
      <c r="R61">
        <v>5.7</v>
      </c>
      <c r="S61">
        <v>237</v>
      </c>
    </row>
    <row r="62" spans="1:19">
      <c r="A62" s="1">
        <v>46101</v>
      </c>
      <c r="B62" s="16">
        <v>0.54289351851851853</v>
      </c>
      <c r="C62" t="s">
        <v>221</v>
      </c>
      <c r="D62" t="s">
        <v>93</v>
      </c>
      <c r="F62">
        <v>47</v>
      </c>
      <c r="G62" t="s">
        <v>63</v>
      </c>
      <c r="H62">
        <v>1</v>
      </c>
      <c r="I62">
        <v>1</v>
      </c>
      <c r="J62" t="s">
        <v>64</v>
      </c>
      <c r="K62" t="s">
        <v>65</v>
      </c>
      <c r="L62">
        <v>8.8900000000000007E-2</v>
      </c>
      <c r="M62">
        <v>1.4</v>
      </c>
      <c r="N62">
        <v>4.4800000000000004</v>
      </c>
      <c r="O62" t="s">
        <v>66</v>
      </c>
      <c r="P62" t="s">
        <v>67</v>
      </c>
      <c r="Q62">
        <v>3.69</v>
      </c>
      <c r="R62">
        <v>48.2</v>
      </c>
      <c r="S62">
        <v>2660</v>
      </c>
    </row>
    <row r="63" spans="1:19">
      <c r="A63" s="1">
        <v>46101</v>
      </c>
      <c r="B63" s="16">
        <v>0.54378472222222218</v>
      </c>
      <c r="C63" t="s">
        <v>221</v>
      </c>
      <c r="D63" t="s">
        <v>94</v>
      </c>
      <c r="F63">
        <v>48</v>
      </c>
      <c r="G63" t="s">
        <v>63</v>
      </c>
      <c r="H63">
        <v>1</v>
      </c>
      <c r="I63">
        <v>1</v>
      </c>
      <c r="J63" t="s">
        <v>64</v>
      </c>
      <c r="K63" t="s">
        <v>65</v>
      </c>
      <c r="L63">
        <v>5.9299999999999999E-2</v>
      </c>
      <c r="M63">
        <v>1.33</v>
      </c>
      <c r="N63">
        <v>2.23</v>
      </c>
      <c r="O63" t="s">
        <v>66</v>
      </c>
      <c r="P63" t="s">
        <v>67</v>
      </c>
      <c r="Q63">
        <v>1.67</v>
      </c>
      <c r="R63">
        <v>21.7</v>
      </c>
      <c r="S63">
        <v>1240</v>
      </c>
    </row>
    <row r="64" spans="1:19">
      <c r="A64" s="1">
        <v>46101</v>
      </c>
      <c r="B64" s="16">
        <v>0.54467592592592595</v>
      </c>
      <c r="C64" t="s">
        <v>221</v>
      </c>
      <c r="D64" t="s">
        <v>95</v>
      </c>
      <c r="F64">
        <v>49</v>
      </c>
      <c r="G64" t="s">
        <v>63</v>
      </c>
      <c r="H64">
        <v>1</v>
      </c>
      <c r="I64">
        <v>1</v>
      </c>
      <c r="J64" t="s">
        <v>64</v>
      </c>
      <c r="K64" t="s">
        <v>65</v>
      </c>
      <c r="L64">
        <v>0.10199999999999999</v>
      </c>
      <c r="M64">
        <v>2.13</v>
      </c>
      <c r="N64">
        <v>26.3</v>
      </c>
      <c r="O64" t="s">
        <v>66</v>
      </c>
      <c r="P64" t="s">
        <v>67</v>
      </c>
      <c r="Q64">
        <v>0.75700000000000001</v>
      </c>
      <c r="R64">
        <v>10.1</v>
      </c>
      <c r="S64">
        <v>522</v>
      </c>
    </row>
    <row r="65" spans="1:19">
      <c r="A65" s="1">
        <v>46101</v>
      </c>
      <c r="B65" s="16">
        <v>0.54556712962962961</v>
      </c>
      <c r="C65" t="s">
        <v>221</v>
      </c>
      <c r="D65" t="s">
        <v>96</v>
      </c>
      <c r="F65">
        <v>50</v>
      </c>
      <c r="G65" t="s">
        <v>85</v>
      </c>
      <c r="H65">
        <v>1</v>
      </c>
      <c r="I65">
        <v>1</v>
      </c>
      <c r="J65" t="s">
        <v>64</v>
      </c>
      <c r="K65" t="s">
        <v>65</v>
      </c>
      <c r="L65">
        <v>0.78100000000000003</v>
      </c>
      <c r="M65">
        <v>14.1</v>
      </c>
      <c r="N65">
        <v>361</v>
      </c>
      <c r="O65" t="s">
        <v>66</v>
      </c>
      <c r="P65" t="s">
        <v>67</v>
      </c>
      <c r="Q65">
        <v>7.59</v>
      </c>
      <c r="R65">
        <v>94.3</v>
      </c>
      <c r="S65">
        <v>4410</v>
      </c>
    </row>
    <row r="66" spans="1:19">
      <c r="A66" s="1">
        <v>46101</v>
      </c>
      <c r="B66" s="16">
        <v>0.54645833333333338</v>
      </c>
      <c r="C66" t="s">
        <v>221</v>
      </c>
      <c r="D66" t="s">
        <v>198</v>
      </c>
      <c r="F66">
        <v>56</v>
      </c>
      <c r="G66" t="s">
        <v>85</v>
      </c>
      <c r="H66">
        <v>1</v>
      </c>
      <c r="I66">
        <v>1</v>
      </c>
      <c r="J66" t="s">
        <v>64</v>
      </c>
      <c r="K66" t="s">
        <v>65</v>
      </c>
      <c r="L66">
        <v>0.78100000000000003</v>
      </c>
      <c r="M66">
        <v>14.2</v>
      </c>
      <c r="N66">
        <v>363</v>
      </c>
      <c r="O66" t="s">
        <v>66</v>
      </c>
      <c r="P66" t="s">
        <v>67</v>
      </c>
      <c r="Q66">
        <v>7.28</v>
      </c>
      <c r="R66">
        <v>108</v>
      </c>
      <c r="S66">
        <v>4750</v>
      </c>
    </row>
    <row r="67" spans="1:19">
      <c r="A67" s="1">
        <v>46101</v>
      </c>
      <c r="B67" s="16">
        <v>0.547337962962963</v>
      </c>
      <c r="C67" t="s">
        <v>221</v>
      </c>
      <c r="D67" t="s">
        <v>62</v>
      </c>
      <c r="F67">
        <v>51</v>
      </c>
      <c r="G67" t="s">
        <v>63</v>
      </c>
      <c r="H67">
        <v>1</v>
      </c>
      <c r="I67">
        <v>1</v>
      </c>
      <c r="J67" t="s">
        <v>64</v>
      </c>
      <c r="K67" t="s">
        <v>65</v>
      </c>
      <c r="L67">
        <v>0.40500000000000003</v>
      </c>
      <c r="M67">
        <v>7.53</v>
      </c>
      <c r="N67">
        <v>182</v>
      </c>
      <c r="O67" t="s">
        <v>66</v>
      </c>
      <c r="P67" t="s">
        <v>67</v>
      </c>
      <c r="Q67">
        <v>1.99</v>
      </c>
      <c r="R67">
        <v>25.8</v>
      </c>
      <c r="S67">
        <v>1480</v>
      </c>
    </row>
    <row r="68" spans="1:19">
      <c r="A68" s="1">
        <v>46101</v>
      </c>
      <c r="B68" s="16">
        <v>0.54822916666666666</v>
      </c>
      <c r="C68" t="s">
        <v>221</v>
      </c>
      <c r="D68" t="s">
        <v>97</v>
      </c>
      <c r="F68">
        <v>52</v>
      </c>
      <c r="G68" t="s">
        <v>63</v>
      </c>
      <c r="H68">
        <v>1</v>
      </c>
      <c r="I68">
        <v>1</v>
      </c>
      <c r="J68" t="s">
        <v>64</v>
      </c>
      <c r="K68" t="s">
        <v>65</v>
      </c>
      <c r="L68">
        <v>0.54200000000000004</v>
      </c>
      <c r="M68">
        <v>9.98</v>
      </c>
      <c r="N68">
        <v>250</v>
      </c>
      <c r="O68" t="s">
        <v>66</v>
      </c>
      <c r="P68" t="s">
        <v>67</v>
      </c>
      <c r="Q68">
        <v>3.3</v>
      </c>
      <c r="R68">
        <v>43.1</v>
      </c>
      <c r="S68">
        <v>2410</v>
      </c>
    </row>
    <row r="69" spans="1:19">
      <c r="A69" s="1">
        <v>46101</v>
      </c>
      <c r="B69" s="16">
        <v>0.54912037037037043</v>
      </c>
      <c r="C69" t="s">
        <v>221</v>
      </c>
      <c r="D69" t="s">
        <v>98</v>
      </c>
      <c r="F69">
        <v>53</v>
      </c>
      <c r="G69" t="s">
        <v>63</v>
      </c>
      <c r="H69">
        <v>1</v>
      </c>
      <c r="I69">
        <v>1</v>
      </c>
      <c r="J69" t="s">
        <v>64</v>
      </c>
      <c r="K69" t="s">
        <v>65</v>
      </c>
      <c r="L69">
        <v>6.4899999999999999E-2</v>
      </c>
      <c r="M69">
        <v>1.41</v>
      </c>
      <c r="N69">
        <v>4.67</v>
      </c>
      <c r="O69" t="s">
        <v>66</v>
      </c>
      <c r="P69" t="s">
        <v>67</v>
      </c>
      <c r="Q69">
        <v>0.36199999999999999</v>
      </c>
      <c r="R69">
        <v>4.87</v>
      </c>
      <c r="S69">
        <v>181</v>
      </c>
    </row>
    <row r="70" spans="1:19">
      <c r="A70" s="1">
        <v>46101</v>
      </c>
      <c r="B70" s="16">
        <v>0.55000000000000004</v>
      </c>
      <c r="C70" t="s">
        <v>221</v>
      </c>
      <c r="D70" t="s">
        <v>99</v>
      </c>
      <c r="F70">
        <v>54</v>
      </c>
      <c r="G70" t="s">
        <v>63</v>
      </c>
      <c r="H70">
        <v>1</v>
      </c>
      <c r="I70">
        <v>1</v>
      </c>
      <c r="J70" t="s">
        <v>64</v>
      </c>
      <c r="K70" t="s">
        <v>65</v>
      </c>
      <c r="L70">
        <v>7.17E-2</v>
      </c>
      <c r="M70">
        <v>1.57</v>
      </c>
      <c r="N70">
        <v>9.41</v>
      </c>
      <c r="O70" t="s">
        <v>66</v>
      </c>
      <c r="P70" t="s">
        <v>67</v>
      </c>
      <c r="Q70">
        <v>0.34</v>
      </c>
      <c r="R70">
        <v>4.5599999999999996</v>
      </c>
      <c r="S70">
        <v>161</v>
      </c>
    </row>
    <row r="71" spans="1:19">
      <c r="A71" s="1">
        <v>46101</v>
      </c>
      <c r="B71" s="16">
        <v>0.55087962962962966</v>
      </c>
      <c r="C71" t="s">
        <v>221</v>
      </c>
      <c r="D71" t="s">
        <v>100</v>
      </c>
      <c r="F71">
        <v>55</v>
      </c>
      <c r="G71" t="s">
        <v>91</v>
      </c>
      <c r="H71">
        <v>1</v>
      </c>
      <c r="I71">
        <v>1</v>
      </c>
      <c r="J71" t="s">
        <v>64</v>
      </c>
      <c r="K71" t="s">
        <v>65</v>
      </c>
      <c r="L71">
        <v>0.28499999999999998</v>
      </c>
      <c r="M71">
        <v>5.4</v>
      </c>
      <c r="N71">
        <v>122</v>
      </c>
      <c r="O71" t="s">
        <v>66</v>
      </c>
      <c r="P71" t="s">
        <v>67</v>
      </c>
      <c r="Q71">
        <v>1.73</v>
      </c>
      <c r="R71">
        <v>22.4</v>
      </c>
      <c r="S71">
        <v>1280</v>
      </c>
    </row>
    <row r="72" spans="1:19">
      <c r="A72" s="1">
        <v>46101</v>
      </c>
      <c r="B72" s="16">
        <v>0.55175925925925928</v>
      </c>
      <c r="C72" t="s">
        <v>221</v>
      </c>
      <c r="D72" t="s">
        <v>199</v>
      </c>
      <c r="F72">
        <v>57</v>
      </c>
      <c r="G72" t="s">
        <v>91</v>
      </c>
      <c r="H72">
        <v>1</v>
      </c>
      <c r="I72">
        <v>1</v>
      </c>
      <c r="J72" t="s">
        <v>64</v>
      </c>
      <c r="K72" t="s">
        <v>65</v>
      </c>
      <c r="L72">
        <v>0.33600000000000002</v>
      </c>
      <c r="M72">
        <v>6.36</v>
      </c>
      <c r="N72">
        <v>149</v>
      </c>
      <c r="O72" t="s">
        <v>66</v>
      </c>
      <c r="P72" t="s">
        <v>67</v>
      </c>
      <c r="Q72">
        <v>2.1</v>
      </c>
      <c r="R72">
        <v>27.2</v>
      </c>
      <c r="S72">
        <v>1560</v>
      </c>
    </row>
    <row r="73" spans="1:19">
      <c r="A73" s="1">
        <v>46101</v>
      </c>
      <c r="B73" s="16">
        <v>0.55265046296296294</v>
      </c>
      <c r="C73" t="s">
        <v>221</v>
      </c>
      <c r="D73" t="s">
        <v>186</v>
      </c>
      <c r="F73" t="s">
        <v>72</v>
      </c>
      <c r="G73" t="s">
        <v>92</v>
      </c>
      <c r="H73">
        <v>1</v>
      </c>
      <c r="I73">
        <v>1</v>
      </c>
      <c r="J73" t="s">
        <v>64</v>
      </c>
      <c r="K73" t="s">
        <v>65</v>
      </c>
      <c r="L73">
        <v>1.17E-2</v>
      </c>
      <c r="M73">
        <v>0.124</v>
      </c>
      <c r="N73">
        <v>-34.1</v>
      </c>
      <c r="O73" t="s">
        <v>66</v>
      </c>
      <c r="P73" t="s">
        <v>67</v>
      </c>
      <c r="Q73">
        <v>2.0199999999999999E-2</v>
      </c>
      <c r="R73">
        <v>0.41</v>
      </c>
      <c r="S73">
        <v>-120</v>
      </c>
    </row>
    <row r="74" spans="1:19">
      <c r="A74" s="1">
        <v>46101</v>
      </c>
      <c r="B74" s="16">
        <v>0.55353009259259256</v>
      </c>
      <c r="C74" t="s">
        <v>221</v>
      </c>
      <c r="D74" t="s">
        <v>196</v>
      </c>
      <c r="F74">
        <v>15</v>
      </c>
      <c r="G74" t="s">
        <v>92</v>
      </c>
      <c r="H74">
        <v>1</v>
      </c>
      <c r="I74">
        <v>1</v>
      </c>
      <c r="J74" t="s">
        <v>64</v>
      </c>
      <c r="K74" t="s">
        <v>65</v>
      </c>
      <c r="L74">
        <v>0.10100000000000001</v>
      </c>
      <c r="M74">
        <v>2.0699999999999998</v>
      </c>
      <c r="N74">
        <v>24.3</v>
      </c>
      <c r="O74" t="s">
        <v>66</v>
      </c>
      <c r="P74" t="s">
        <v>67</v>
      </c>
      <c r="Q74">
        <v>0.47399999999999998</v>
      </c>
      <c r="R74">
        <v>6.32</v>
      </c>
      <c r="S74">
        <v>277</v>
      </c>
    </row>
    <row r="75" spans="1:19">
      <c r="A75" s="1">
        <v>46101</v>
      </c>
      <c r="B75" s="16">
        <v>0.55440972222222218</v>
      </c>
      <c r="C75" t="s">
        <v>221</v>
      </c>
      <c r="D75" t="s">
        <v>194</v>
      </c>
      <c r="F75" t="s">
        <v>68</v>
      </c>
      <c r="G75" t="s">
        <v>63</v>
      </c>
      <c r="H75">
        <v>1</v>
      </c>
      <c r="I75">
        <v>1</v>
      </c>
      <c r="J75" t="s">
        <v>64</v>
      </c>
      <c r="K75" t="s">
        <v>65</v>
      </c>
      <c r="L75">
        <v>0.14599999999999999</v>
      </c>
      <c r="M75">
        <v>1.79</v>
      </c>
      <c r="N75">
        <v>16</v>
      </c>
      <c r="O75" t="s">
        <v>66</v>
      </c>
      <c r="P75" t="s">
        <v>67</v>
      </c>
      <c r="Q75">
        <v>7.95</v>
      </c>
      <c r="R75">
        <v>150</v>
      </c>
      <c r="S75">
        <v>5300</v>
      </c>
    </row>
    <row r="76" spans="1:19">
      <c r="A76" s="1">
        <v>46101</v>
      </c>
      <c r="B76" s="16">
        <v>0.55530092592592595</v>
      </c>
      <c r="C76" t="s">
        <v>221</v>
      </c>
      <c r="D76" t="s">
        <v>195</v>
      </c>
      <c r="F76" t="s">
        <v>69</v>
      </c>
      <c r="G76" t="s">
        <v>63</v>
      </c>
      <c r="H76">
        <v>1</v>
      </c>
      <c r="I76">
        <v>1</v>
      </c>
      <c r="J76" t="s">
        <v>64</v>
      </c>
      <c r="K76" t="s">
        <v>65</v>
      </c>
      <c r="L76">
        <v>0.14399999999999999</v>
      </c>
      <c r="M76">
        <v>1.75</v>
      </c>
      <c r="N76">
        <v>14.8</v>
      </c>
      <c r="O76" t="s">
        <v>66</v>
      </c>
      <c r="P76" t="s">
        <v>67</v>
      </c>
      <c r="Q76">
        <v>7.94</v>
      </c>
      <c r="R76">
        <v>147</v>
      </c>
      <c r="S76">
        <v>5290</v>
      </c>
    </row>
    <row r="77" spans="1:19">
      <c r="A77" s="1">
        <v>46101</v>
      </c>
      <c r="B77" s="16">
        <v>0.55615740740740738</v>
      </c>
      <c r="C77" t="s">
        <v>221</v>
      </c>
      <c r="D77" t="s">
        <v>102</v>
      </c>
      <c r="F77">
        <v>58</v>
      </c>
      <c r="G77" t="s">
        <v>63</v>
      </c>
      <c r="H77">
        <v>1</v>
      </c>
      <c r="I77">
        <v>1</v>
      </c>
      <c r="J77" t="s">
        <v>64</v>
      </c>
      <c r="K77" t="s">
        <v>65</v>
      </c>
      <c r="L77">
        <v>0.17299999999999999</v>
      </c>
      <c r="M77">
        <v>3.3</v>
      </c>
      <c r="N77">
        <v>60.8</v>
      </c>
      <c r="O77" t="s">
        <v>66</v>
      </c>
      <c r="P77" t="s">
        <v>67</v>
      </c>
      <c r="Q77">
        <v>0.77</v>
      </c>
      <c r="R77">
        <v>10.1</v>
      </c>
      <c r="S77">
        <v>523</v>
      </c>
    </row>
    <row r="78" spans="1:19">
      <c r="A78" s="1">
        <v>46101</v>
      </c>
      <c r="B78" s="16">
        <v>0.557037037037037</v>
      </c>
      <c r="C78" t="s">
        <v>221</v>
      </c>
      <c r="D78" t="s">
        <v>103</v>
      </c>
      <c r="F78">
        <v>59</v>
      </c>
      <c r="G78" t="s">
        <v>63</v>
      </c>
      <c r="H78">
        <v>1</v>
      </c>
      <c r="I78">
        <v>1</v>
      </c>
      <c r="J78" t="s">
        <v>64</v>
      </c>
      <c r="K78" t="s">
        <v>65</v>
      </c>
      <c r="L78">
        <v>7.1499999999999994E-2</v>
      </c>
      <c r="M78">
        <v>1.5</v>
      </c>
      <c r="N78">
        <v>7.52</v>
      </c>
      <c r="O78" t="s">
        <v>66</v>
      </c>
      <c r="P78" t="s">
        <v>67</v>
      </c>
      <c r="Q78">
        <v>1.1000000000000001</v>
      </c>
      <c r="R78">
        <v>14.4</v>
      </c>
      <c r="S78">
        <v>793</v>
      </c>
    </row>
    <row r="79" spans="1:19">
      <c r="A79" s="1">
        <v>46101</v>
      </c>
      <c r="B79" s="16">
        <v>0.55791666666666662</v>
      </c>
      <c r="C79" t="s">
        <v>221</v>
      </c>
      <c r="D79" t="s">
        <v>104</v>
      </c>
      <c r="F79">
        <v>60</v>
      </c>
      <c r="G79" t="s">
        <v>63</v>
      </c>
      <c r="H79">
        <v>1</v>
      </c>
      <c r="I79">
        <v>1</v>
      </c>
      <c r="J79" t="s">
        <v>64</v>
      </c>
      <c r="K79" t="s">
        <v>65</v>
      </c>
      <c r="L79">
        <v>5.91E-2</v>
      </c>
      <c r="M79">
        <v>1.29</v>
      </c>
      <c r="N79">
        <v>1.05</v>
      </c>
      <c r="O79" t="s">
        <v>66</v>
      </c>
      <c r="P79" t="s">
        <v>67</v>
      </c>
      <c r="Q79">
        <v>3.29</v>
      </c>
      <c r="R79">
        <v>43</v>
      </c>
      <c r="S79">
        <v>2400</v>
      </c>
    </row>
    <row r="80" spans="1:19">
      <c r="A80" s="1">
        <v>46101</v>
      </c>
      <c r="B80" s="16">
        <v>0.55883101851851846</v>
      </c>
      <c r="C80" t="s">
        <v>221</v>
      </c>
      <c r="D80" t="s">
        <v>105</v>
      </c>
      <c r="F80">
        <v>61</v>
      </c>
      <c r="G80" t="s">
        <v>63</v>
      </c>
      <c r="H80">
        <v>1</v>
      </c>
      <c r="I80">
        <v>1</v>
      </c>
      <c r="J80" t="s">
        <v>64</v>
      </c>
      <c r="K80" t="s">
        <v>65</v>
      </c>
      <c r="L80">
        <v>6.4299999999999996E-2</v>
      </c>
      <c r="M80">
        <v>1.4</v>
      </c>
      <c r="N80">
        <v>4.29</v>
      </c>
      <c r="O80" t="s">
        <v>66</v>
      </c>
      <c r="P80" t="s">
        <v>67</v>
      </c>
      <c r="Q80">
        <v>2.0299999999999998</v>
      </c>
      <c r="R80">
        <v>26.5</v>
      </c>
      <c r="S80">
        <v>1520</v>
      </c>
    </row>
    <row r="81" spans="1:19">
      <c r="A81" s="1">
        <v>46101</v>
      </c>
      <c r="B81" s="16">
        <v>0.55972222222222223</v>
      </c>
      <c r="C81" t="s">
        <v>221</v>
      </c>
      <c r="D81" t="s">
        <v>106</v>
      </c>
      <c r="F81">
        <v>62</v>
      </c>
      <c r="G81" t="s">
        <v>85</v>
      </c>
      <c r="H81">
        <v>1</v>
      </c>
      <c r="I81">
        <v>1</v>
      </c>
      <c r="J81" t="s">
        <v>64</v>
      </c>
      <c r="K81" t="s">
        <v>65</v>
      </c>
      <c r="L81">
        <v>5.7799999999999997E-2</v>
      </c>
      <c r="M81">
        <v>1.27</v>
      </c>
      <c r="N81">
        <v>0.36399999999999999</v>
      </c>
      <c r="O81" t="s">
        <v>66</v>
      </c>
      <c r="P81" t="s">
        <v>67</v>
      </c>
      <c r="Q81">
        <v>1.19</v>
      </c>
      <c r="R81">
        <v>15.5</v>
      </c>
      <c r="S81">
        <v>862</v>
      </c>
    </row>
    <row r="82" spans="1:19">
      <c r="A82" s="1">
        <v>46101</v>
      </c>
      <c r="B82" s="16">
        <v>0.56061342592592589</v>
      </c>
      <c r="C82" t="s">
        <v>221</v>
      </c>
      <c r="D82" t="s">
        <v>200</v>
      </c>
      <c r="F82">
        <v>68</v>
      </c>
      <c r="G82" t="s">
        <v>85</v>
      </c>
      <c r="H82">
        <v>1</v>
      </c>
      <c r="I82">
        <v>1</v>
      </c>
      <c r="J82" t="s">
        <v>64</v>
      </c>
      <c r="K82" t="s">
        <v>65</v>
      </c>
      <c r="L82">
        <v>5.8099999999999999E-2</v>
      </c>
      <c r="M82">
        <v>1.33</v>
      </c>
      <c r="N82">
        <v>2.2200000000000002</v>
      </c>
      <c r="O82" t="s">
        <v>66</v>
      </c>
      <c r="P82" t="s">
        <v>67</v>
      </c>
      <c r="Q82">
        <v>1.24</v>
      </c>
      <c r="R82">
        <v>16.100000000000001</v>
      </c>
      <c r="S82">
        <v>900</v>
      </c>
    </row>
    <row r="83" spans="1:19">
      <c r="A83" s="1">
        <v>46101</v>
      </c>
      <c r="B83" s="16">
        <v>0.56150462962962966</v>
      </c>
      <c r="C83" t="s">
        <v>221</v>
      </c>
      <c r="D83" t="s">
        <v>107</v>
      </c>
      <c r="F83">
        <v>63</v>
      </c>
      <c r="G83" t="s">
        <v>63</v>
      </c>
      <c r="H83">
        <v>1</v>
      </c>
      <c r="I83">
        <v>1</v>
      </c>
      <c r="J83" t="s">
        <v>64</v>
      </c>
      <c r="K83" t="s">
        <v>65</v>
      </c>
      <c r="L83">
        <v>0.495</v>
      </c>
      <c r="M83">
        <v>9.19</v>
      </c>
      <c r="N83">
        <v>229</v>
      </c>
      <c r="O83" t="s">
        <v>66</v>
      </c>
      <c r="P83" t="s">
        <v>67</v>
      </c>
      <c r="Q83">
        <v>2.62</v>
      </c>
      <c r="R83">
        <v>34.200000000000003</v>
      </c>
      <c r="S83">
        <v>1950</v>
      </c>
    </row>
    <row r="84" spans="1:19">
      <c r="A84" s="1">
        <v>46101</v>
      </c>
      <c r="B84" s="16">
        <v>0.56239583333333332</v>
      </c>
      <c r="C84" t="s">
        <v>221</v>
      </c>
      <c r="D84" t="s">
        <v>108</v>
      </c>
      <c r="F84">
        <v>64</v>
      </c>
      <c r="G84" t="s">
        <v>63</v>
      </c>
      <c r="H84">
        <v>1</v>
      </c>
      <c r="I84">
        <v>1</v>
      </c>
      <c r="J84" t="s">
        <v>64</v>
      </c>
      <c r="K84" t="s">
        <v>65</v>
      </c>
      <c r="L84">
        <v>8.6300000000000002E-2</v>
      </c>
      <c r="M84">
        <v>1.84</v>
      </c>
      <c r="N84">
        <v>17.600000000000001</v>
      </c>
      <c r="O84" t="s">
        <v>66</v>
      </c>
      <c r="P84" t="s">
        <v>67</v>
      </c>
      <c r="Q84">
        <v>0.91</v>
      </c>
      <c r="R84">
        <v>9.48</v>
      </c>
      <c r="S84">
        <v>484</v>
      </c>
    </row>
    <row r="85" spans="1:19">
      <c r="A85" s="1">
        <v>46101</v>
      </c>
      <c r="B85" s="16">
        <v>0.56328703703703709</v>
      </c>
      <c r="C85" t="s">
        <v>221</v>
      </c>
      <c r="D85" t="s">
        <v>109</v>
      </c>
      <c r="F85">
        <v>65</v>
      </c>
      <c r="G85" t="s">
        <v>63</v>
      </c>
      <c r="H85">
        <v>1</v>
      </c>
      <c r="I85">
        <v>1</v>
      </c>
      <c r="J85" t="s">
        <v>64</v>
      </c>
      <c r="K85" t="s">
        <v>65</v>
      </c>
      <c r="L85">
        <v>0.26600000000000001</v>
      </c>
      <c r="M85">
        <v>5.04</v>
      </c>
      <c r="N85">
        <v>112</v>
      </c>
      <c r="O85" t="s">
        <v>66</v>
      </c>
      <c r="P85" t="s">
        <v>67</v>
      </c>
      <c r="Q85">
        <v>3.33</v>
      </c>
      <c r="R85">
        <v>43.4</v>
      </c>
      <c r="S85">
        <v>2420</v>
      </c>
    </row>
    <row r="86" spans="1:19">
      <c r="A86" s="1">
        <v>46101</v>
      </c>
      <c r="B86" s="16">
        <v>0.56417824074074074</v>
      </c>
      <c r="C86" t="s">
        <v>221</v>
      </c>
      <c r="D86" t="s">
        <v>184</v>
      </c>
      <c r="F86">
        <v>66</v>
      </c>
      <c r="G86" t="s">
        <v>63</v>
      </c>
      <c r="H86">
        <v>1</v>
      </c>
      <c r="I86">
        <v>1</v>
      </c>
      <c r="J86" t="s">
        <v>64</v>
      </c>
      <c r="K86" t="s">
        <v>65</v>
      </c>
      <c r="L86">
        <v>0.36899999999999999</v>
      </c>
      <c r="M86">
        <v>6.95</v>
      </c>
      <c r="N86">
        <v>166</v>
      </c>
      <c r="O86" t="s">
        <v>66</v>
      </c>
      <c r="P86" t="s">
        <v>67</v>
      </c>
      <c r="Q86">
        <v>7.16</v>
      </c>
      <c r="R86">
        <v>105</v>
      </c>
      <c r="S86">
        <v>4680</v>
      </c>
    </row>
    <row r="87" spans="1:19">
      <c r="A87" s="1">
        <v>46101</v>
      </c>
      <c r="B87" s="16">
        <v>0.56505787037037036</v>
      </c>
      <c r="C87" t="s">
        <v>221</v>
      </c>
      <c r="D87" t="s">
        <v>110</v>
      </c>
      <c r="F87">
        <v>67</v>
      </c>
      <c r="G87" t="s">
        <v>91</v>
      </c>
      <c r="H87">
        <v>1</v>
      </c>
      <c r="I87">
        <v>1</v>
      </c>
      <c r="J87" t="s">
        <v>64</v>
      </c>
      <c r="K87" t="s">
        <v>65</v>
      </c>
      <c r="L87">
        <v>0.20799999999999999</v>
      </c>
      <c r="M87">
        <v>4.1100000000000003</v>
      </c>
      <c r="N87">
        <v>84.6</v>
      </c>
      <c r="O87" t="s">
        <v>66</v>
      </c>
      <c r="P87" t="s">
        <v>67</v>
      </c>
      <c r="Q87">
        <v>1.0900000000000001</v>
      </c>
      <c r="R87">
        <v>14.4</v>
      </c>
      <c r="S87">
        <v>793</v>
      </c>
    </row>
    <row r="88" spans="1:19">
      <c r="A88" s="1">
        <v>46101</v>
      </c>
      <c r="B88" s="16">
        <v>0.56594907407407402</v>
      </c>
      <c r="C88" t="s">
        <v>221</v>
      </c>
      <c r="D88" t="s">
        <v>201</v>
      </c>
      <c r="F88">
        <v>69</v>
      </c>
      <c r="G88" t="s">
        <v>91</v>
      </c>
      <c r="H88">
        <v>1</v>
      </c>
      <c r="I88">
        <v>1</v>
      </c>
      <c r="J88" t="s">
        <v>64</v>
      </c>
      <c r="K88" t="s">
        <v>65</v>
      </c>
      <c r="L88">
        <v>0.25900000000000001</v>
      </c>
      <c r="M88">
        <v>5.0199999999999996</v>
      </c>
      <c r="N88">
        <v>111</v>
      </c>
      <c r="O88" t="s">
        <v>66</v>
      </c>
      <c r="P88" t="s">
        <v>67</v>
      </c>
      <c r="Q88">
        <v>1.39</v>
      </c>
      <c r="R88">
        <v>18.2</v>
      </c>
      <c r="S88">
        <v>1030</v>
      </c>
    </row>
    <row r="89" spans="1:19">
      <c r="A89" s="1">
        <v>46101</v>
      </c>
      <c r="B89" s="16">
        <v>0.56684027777777779</v>
      </c>
      <c r="C89" t="s">
        <v>221</v>
      </c>
      <c r="D89" t="s">
        <v>226</v>
      </c>
      <c r="F89" t="s">
        <v>70</v>
      </c>
      <c r="G89" t="s">
        <v>92</v>
      </c>
      <c r="H89">
        <v>1</v>
      </c>
      <c r="I89">
        <v>1</v>
      </c>
      <c r="J89" t="s">
        <v>64</v>
      </c>
      <c r="K89" t="s">
        <v>65</v>
      </c>
      <c r="L89">
        <v>0.14699999999999999</v>
      </c>
      <c r="M89">
        <v>1.83</v>
      </c>
      <c r="N89">
        <v>17.2</v>
      </c>
      <c r="O89" t="s">
        <v>66</v>
      </c>
      <c r="P89" t="s">
        <v>67</v>
      </c>
      <c r="Q89">
        <v>4.3299999999999996E-3</v>
      </c>
      <c r="R89">
        <v>2.5000000000000001E-3</v>
      </c>
      <c r="S89">
        <v>-148</v>
      </c>
    </row>
    <row r="90" spans="1:19">
      <c r="A90" s="1">
        <v>46101</v>
      </c>
      <c r="B90" s="16">
        <v>0.56771990740740741</v>
      </c>
      <c r="C90" t="s">
        <v>221</v>
      </c>
      <c r="D90" t="s">
        <v>196</v>
      </c>
      <c r="F90">
        <v>15</v>
      </c>
      <c r="G90" t="s">
        <v>92</v>
      </c>
      <c r="H90">
        <v>1</v>
      </c>
      <c r="I90">
        <v>1</v>
      </c>
      <c r="J90" t="s">
        <v>64</v>
      </c>
      <c r="K90" t="s">
        <v>65</v>
      </c>
      <c r="L90">
        <v>0.10199999999999999</v>
      </c>
      <c r="M90">
        <v>2.0299999999999998</v>
      </c>
      <c r="N90">
        <v>23.2</v>
      </c>
      <c r="O90" t="s">
        <v>66</v>
      </c>
      <c r="P90" t="s">
        <v>67</v>
      </c>
      <c r="Q90">
        <v>0.47499999999999998</v>
      </c>
      <c r="R90">
        <v>6.31</v>
      </c>
      <c r="S90">
        <v>277</v>
      </c>
    </row>
    <row r="91" spans="1:19">
      <c r="A91" s="1">
        <v>46101</v>
      </c>
      <c r="B91" s="16">
        <v>0.56859953703703703</v>
      </c>
      <c r="C91" t="s">
        <v>221</v>
      </c>
      <c r="D91" t="s">
        <v>111</v>
      </c>
      <c r="F91">
        <v>70</v>
      </c>
      <c r="G91" t="s">
        <v>63</v>
      </c>
      <c r="H91">
        <v>1</v>
      </c>
      <c r="I91">
        <v>1</v>
      </c>
      <c r="J91" t="s">
        <v>64</v>
      </c>
      <c r="K91" t="s">
        <v>65</v>
      </c>
      <c r="L91">
        <v>6.6799999999999998E-2</v>
      </c>
      <c r="M91">
        <v>1.43</v>
      </c>
      <c r="N91">
        <v>5.16</v>
      </c>
      <c r="O91" t="s">
        <v>66</v>
      </c>
      <c r="P91" t="s">
        <v>67</v>
      </c>
      <c r="Q91">
        <v>0.52800000000000002</v>
      </c>
      <c r="R91">
        <v>7.03</v>
      </c>
      <c r="S91">
        <v>324</v>
      </c>
    </row>
    <row r="92" spans="1:19">
      <c r="A92" s="1">
        <v>46101</v>
      </c>
      <c r="B92" s="16">
        <v>0.56949074074074069</v>
      </c>
      <c r="C92" t="s">
        <v>221</v>
      </c>
      <c r="D92" t="s">
        <v>112</v>
      </c>
      <c r="F92">
        <v>71</v>
      </c>
      <c r="G92" t="s">
        <v>63</v>
      </c>
      <c r="H92">
        <v>1</v>
      </c>
      <c r="I92">
        <v>1</v>
      </c>
      <c r="J92" t="s">
        <v>64</v>
      </c>
      <c r="K92" t="s">
        <v>65</v>
      </c>
      <c r="L92">
        <v>8.3000000000000004E-2</v>
      </c>
      <c r="M92">
        <v>1.75</v>
      </c>
      <c r="N92">
        <v>14.8</v>
      </c>
      <c r="O92" t="s">
        <v>66</v>
      </c>
      <c r="P92" t="s">
        <v>67</v>
      </c>
      <c r="Q92">
        <v>0.95599999999999996</v>
      </c>
      <c r="R92">
        <v>12.6</v>
      </c>
      <c r="S92">
        <v>683</v>
      </c>
    </row>
    <row r="93" spans="1:19">
      <c r="A93" s="1">
        <v>46101</v>
      </c>
      <c r="B93" s="16">
        <v>0.57037037037037042</v>
      </c>
      <c r="C93" t="s">
        <v>221</v>
      </c>
      <c r="D93" t="s">
        <v>113</v>
      </c>
      <c r="F93">
        <v>72</v>
      </c>
      <c r="G93" t="s">
        <v>63</v>
      </c>
      <c r="H93">
        <v>1</v>
      </c>
      <c r="I93">
        <v>1</v>
      </c>
      <c r="J93" t="s">
        <v>64</v>
      </c>
      <c r="K93" t="s">
        <v>65</v>
      </c>
      <c r="L93">
        <v>6.4799999999999996E-2</v>
      </c>
      <c r="M93">
        <v>1.43</v>
      </c>
      <c r="N93">
        <v>5.24</v>
      </c>
      <c r="O93" t="s">
        <v>66</v>
      </c>
      <c r="P93" t="s">
        <v>67</v>
      </c>
      <c r="Q93">
        <v>2.64</v>
      </c>
      <c r="R93">
        <v>34.5</v>
      </c>
      <c r="S93">
        <v>1960</v>
      </c>
    </row>
    <row r="94" spans="1:19">
      <c r="A94" s="1">
        <v>46101</v>
      </c>
      <c r="B94" s="16">
        <v>0.57123842592592589</v>
      </c>
      <c r="C94" t="s">
        <v>221</v>
      </c>
      <c r="D94" t="s">
        <v>114</v>
      </c>
      <c r="F94">
        <v>73</v>
      </c>
      <c r="G94" t="s">
        <v>63</v>
      </c>
      <c r="H94">
        <v>1</v>
      </c>
      <c r="I94">
        <v>1</v>
      </c>
      <c r="J94" t="s">
        <v>64</v>
      </c>
      <c r="K94" t="s">
        <v>65</v>
      </c>
      <c r="L94">
        <v>6.2300000000000001E-2</v>
      </c>
      <c r="M94">
        <v>1.35</v>
      </c>
      <c r="N94">
        <v>2.84</v>
      </c>
      <c r="O94" t="s">
        <v>66</v>
      </c>
      <c r="P94" t="s">
        <v>67</v>
      </c>
      <c r="Q94">
        <v>1.4</v>
      </c>
      <c r="R94">
        <v>18.2</v>
      </c>
      <c r="S94">
        <v>1030</v>
      </c>
    </row>
    <row r="95" spans="1:19">
      <c r="A95" s="1">
        <v>46101</v>
      </c>
      <c r="B95" s="16">
        <v>0.57214120370370369</v>
      </c>
      <c r="C95" t="s">
        <v>221</v>
      </c>
      <c r="D95" t="s">
        <v>115</v>
      </c>
      <c r="F95">
        <v>74</v>
      </c>
      <c r="G95" t="s">
        <v>85</v>
      </c>
      <c r="H95">
        <v>1</v>
      </c>
      <c r="I95">
        <v>1</v>
      </c>
      <c r="J95" t="s">
        <v>64</v>
      </c>
      <c r="K95" t="s">
        <v>65</v>
      </c>
      <c r="L95">
        <v>7.6499999999999999E-2</v>
      </c>
      <c r="M95">
        <v>1.63</v>
      </c>
      <c r="N95">
        <v>11.4</v>
      </c>
      <c r="O95" t="s">
        <v>66</v>
      </c>
      <c r="P95" t="s">
        <v>67</v>
      </c>
      <c r="Q95">
        <v>1.82</v>
      </c>
      <c r="R95">
        <v>23.6</v>
      </c>
      <c r="S95">
        <v>1350</v>
      </c>
    </row>
    <row r="96" spans="1:19">
      <c r="A96" s="1">
        <v>46101</v>
      </c>
      <c r="B96" s="16">
        <v>0.57303240740740746</v>
      </c>
      <c r="C96" t="s">
        <v>221</v>
      </c>
      <c r="D96" t="s">
        <v>202</v>
      </c>
      <c r="F96">
        <v>80</v>
      </c>
      <c r="G96" t="s">
        <v>85</v>
      </c>
      <c r="H96">
        <v>1</v>
      </c>
      <c r="I96">
        <v>1</v>
      </c>
      <c r="J96" t="s">
        <v>64</v>
      </c>
      <c r="K96" t="s">
        <v>65</v>
      </c>
      <c r="L96">
        <v>7.8700000000000006E-2</v>
      </c>
      <c r="M96">
        <v>1.7</v>
      </c>
      <c r="N96">
        <v>13.3</v>
      </c>
      <c r="O96" t="s">
        <v>66</v>
      </c>
      <c r="P96" t="s">
        <v>67</v>
      </c>
      <c r="Q96">
        <v>1.76</v>
      </c>
      <c r="R96">
        <v>22.7</v>
      </c>
      <c r="S96">
        <v>1300</v>
      </c>
    </row>
    <row r="97" spans="1:19">
      <c r="A97" s="1">
        <v>46101</v>
      </c>
      <c r="B97" s="16">
        <v>0.57391203703703708</v>
      </c>
      <c r="C97" t="s">
        <v>221</v>
      </c>
      <c r="D97" t="s">
        <v>116</v>
      </c>
      <c r="F97">
        <v>75</v>
      </c>
      <c r="G97" t="s">
        <v>63</v>
      </c>
      <c r="H97">
        <v>1</v>
      </c>
      <c r="I97">
        <v>1</v>
      </c>
      <c r="J97" t="s">
        <v>64</v>
      </c>
      <c r="K97" t="s">
        <v>65</v>
      </c>
      <c r="L97">
        <v>0.161</v>
      </c>
      <c r="M97">
        <v>3.24</v>
      </c>
      <c r="N97">
        <v>59.1</v>
      </c>
      <c r="O97" t="s">
        <v>66</v>
      </c>
      <c r="P97" t="s">
        <v>67</v>
      </c>
      <c r="Q97">
        <v>6.18</v>
      </c>
      <c r="R97">
        <v>85.3</v>
      </c>
      <c r="S97">
        <v>4140</v>
      </c>
    </row>
    <row r="98" spans="1:19">
      <c r="A98" s="1">
        <v>46101</v>
      </c>
      <c r="B98" s="16">
        <v>0.57481481481481478</v>
      </c>
      <c r="C98" t="s">
        <v>221</v>
      </c>
      <c r="D98" t="s">
        <v>117</v>
      </c>
      <c r="F98">
        <v>76</v>
      </c>
      <c r="G98" t="s">
        <v>63</v>
      </c>
      <c r="H98">
        <v>1</v>
      </c>
      <c r="I98">
        <v>1</v>
      </c>
      <c r="J98" t="s">
        <v>64</v>
      </c>
      <c r="K98" t="s">
        <v>65</v>
      </c>
      <c r="L98">
        <v>0.24299999999999999</v>
      </c>
      <c r="M98">
        <v>4.6399999999999997</v>
      </c>
      <c r="N98">
        <v>100</v>
      </c>
      <c r="O98" t="s">
        <v>66</v>
      </c>
      <c r="P98" t="s">
        <v>67</v>
      </c>
      <c r="Q98">
        <v>3</v>
      </c>
      <c r="R98">
        <v>37.9</v>
      </c>
      <c r="S98">
        <v>2140</v>
      </c>
    </row>
    <row r="99" spans="1:19">
      <c r="A99" s="1">
        <v>46101</v>
      </c>
      <c r="B99" s="16">
        <v>0.57570601851851855</v>
      </c>
      <c r="C99" t="s">
        <v>221</v>
      </c>
      <c r="D99" t="s">
        <v>118</v>
      </c>
      <c r="F99">
        <v>77</v>
      </c>
      <c r="G99" t="s">
        <v>63</v>
      </c>
      <c r="H99">
        <v>1</v>
      </c>
      <c r="I99">
        <v>1</v>
      </c>
      <c r="J99" t="s">
        <v>64</v>
      </c>
      <c r="K99" t="s">
        <v>65</v>
      </c>
      <c r="L99">
        <v>6.7500000000000004E-2</v>
      </c>
      <c r="M99">
        <v>1.44</v>
      </c>
      <c r="N99">
        <v>5.52</v>
      </c>
      <c r="O99" t="s">
        <v>66</v>
      </c>
      <c r="P99" t="s">
        <v>67</v>
      </c>
      <c r="Q99">
        <v>0.94799999999999995</v>
      </c>
      <c r="R99">
        <v>12.4</v>
      </c>
      <c r="S99">
        <v>672</v>
      </c>
    </row>
    <row r="100" spans="1:19">
      <c r="A100" s="1">
        <v>46101</v>
      </c>
      <c r="B100" s="16">
        <v>0.57659722222222221</v>
      </c>
      <c r="C100" t="s">
        <v>221</v>
      </c>
      <c r="D100" t="s">
        <v>119</v>
      </c>
      <c r="F100">
        <v>78</v>
      </c>
      <c r="G100" t="s">
        <v>63</v>
      </c>
      <c r="H100">
        <v>1</v>
      </c>
      <c r="I100">
        <v>1</v>
      </c>
      <c r="J100" t="s">
        <v>64</v>
      </c>
      <c r="K100" t="s">
        <v>65</v>
      </c>
      <c r="L100">
        <v>7.3899999999999993E-2</v>
      </c>
      <c r="M100">
        <v>1.61</v>
      </c>
      <c r="N100">
        <v>10.6</v>
      </c>
      <c r="O100" t="s">
        <v>66</v>
      </c>
      <c r="P100" t="s">
        <v>67</v>
      </c>
      <c r="Q100">
        <v>0.628</v>
      </c>
      <c r="R100">
        <v>8.23</v>
      </c>
      <c r="S100">
        <v>403</v>
      </c>
    </row>
    <row r="101" spans="1:19">
      <c r="A101" s="1">
        <v>46101</v>
      </c>
      <c r="B101" s="16">
        <v>0.57748842592592597</v>
      </c>
      <c r="C101" t="s">
        <v>221</v>
      </c>
      <c r="D101" t="s">
        <v>120</v>
      </c>
      <c r="F101">
        <v>79</v>
      </c>
      <c r="G101" t="s">
        <v>91</v>
      </c>
      <c r="H101">
        <v>1</v>
      </c>
      <c r="I101">
        <v>1</v>
      </c>
      <c r="J101" t="s">
        <v>64</v>
      </c>
      <c r="K101" t="s">
        <v>65</v>
      </c>
      <c r="L101">
        <v>7.3999999999999996E-2</v>
      </c>
      <c r="M101">
        <v>1.6</v>
      </c>
      <c r="N101">
        <v>10.4</v>
      </c>
      <c r="O101" t="s">
        <v>66</v>
      </c>
      <c r="P101" t="s">
        <v>67</v>
      </c>
      <c r="Q101">
        <v>0.82299999999999995</v>
      </c>
      <c r="R101">
        <v>10.8</v>
      </c>
      <c r="S101">
        <v>570</v>
      </c>
    </row>
    <row r="102" spans="1:19">
      <c r="A102" s="1">
        <v>46101</v>
      </c>
      <c r="B102" s="16">
        <v>0.57837962962962963</v>
      </c>
      <c r="C102" t="s">
        <v>221</v>
      </c>
      <c r="D102" t="s">
        <v>203</v>
      </c>
      <c r="F102">
        <v>81</v>
      </c>
      <c r="G102" t="s">
        <v>91</v>
      </c>
      <c r="H102">
        <v>1</v>
      </c>
      <c r="I102">
        <v>1</v>
      </c>
      <c r="J102" t="s">
        <v>64</v>
      </c>
      <c r="K102" t="s">
        <v>65</v>
      </c>
      <c r="L102">
        <v>0.125</v>
      </c>
      <c r="M102">
        <v>2.5099999999999998</v>
      </c>
      <c r="N102">
        <v>37.4</v>
      </c>
      <c r="O102" t="s">
        <v>66</v>
      </c>
      <c r="P102" t="s">
        <v>67</v>
      </c>
      <c r="Q102">
        <v>1.1599999999999999</v>
      </c>
      <c r="R102">
        <v>15.1</v>
      </c>
      <c r="S102">
        <v>839</v>
      </c>
    </row>
    <row r="103" spans="1:19">
      <c r="A103" s="1">
        <v>46101</v>
      </c>
      <c r="B103" s="16">
        <v>0.57928240740740744</v>
      </c>
      <c r="C103" t="s">
        <v>221</v>
      </c>
      <c r="D103" t="s">
        <v>101</v>
      </c>
      <c r="F103">
        <v>16</v>
      </c>
      <c r="G103" t="s">
        <v>92</v>
      </c>
      <c r="H103">
        <v>1</v>
      </c>
      <c r="I103">
        <v>1</v>
      </c>
      <c r="J103" t="s">
        <v>64</v>
      </c>
      <c r="K103" t="s">
        <v>65</v>
      </c>
      <c r="L103">
        <v>0.10100000000000001</v>
      </c>
      <c r="M103">
        <v>2.0699999999999998</v>
      </c>
      <c r="N103">
        <v>24.4</v>
      </c>
      <c r="O103" t="s">
        <v>66</v>
      </c>
      <c r="P103" t="s">
        <v>67</v>
      </c>
      <c r="Q103">
        <v>0.46800000000000003</v>
      </c>
      <c r="R103">
        <v>6.27</v>
      </c>
      <c r="S103">
        <v>274</v>
      </c>
    </row>
    <row r="104" spans="1:19">
      <c r="A104" s="1">
        <v>46101</v>
      </c>
      <c r="B104" s="16">
        <v>0.58016203703703706</v>
      </c>
      <c r="C104" t="s">
        <v>221</v>
      </c>
      <c r="D104" t="s">
        <v>194</v>
      </c>
      <c r="F104" t="s">
        <v>68</v>
      </c>
      <c r="G104" t="s">
        <v>63</v>
      </c>
      <c r="H104">
        <v>1</v>
      </c>
      <c r="I104">
        <v>1</v>
      </c>
      <c r="J104" t="s">
        <v>64</v>
      </c>
      <c r="K104" t="s">
        <v>65</v>
      </c>
      <c r="L104">
        <v>0.14899999999999999</v>
      </c>
      <c r="M104">
        <v>1.87</v>
      </c>
      <c r="N104">
        <v>18.3</v>
      </c>
      <c r="O104" t="s">
        <v>66</v>
      </c>
      <c r="P104" t="s">
        <v>67</v>
      </c>
      <c r="Q104">
        <v>7.94</v>
      </c>
      <c r="R104">
        <v>147</v>
      </c>
      <c r="S104">
        <v>5290</v>
      </c>
    </row>
    <row r="105" spans="1:19">
      <c r="A105" s="1">
        <v>46101</v>
      </c>
      <c r="B105" s="16">
        <v>0.58104166666666668</v>
      </c>
      <c r="C105" t="s">
        <v>221</v>
      </c>
      <c r="D105" t="s">
        <v>195</v>
      </c>
      <c r="F105" t="s">
        <v>69</v>
      </c>
      <c r="G105" t="s">
        <v>63</v>
      </c>
      <c r="H105">
        <v>1</v>
      </c>
      <c r="I105">
        <v>1</v>
      </c>
      <c r="J105" t="s">
        <v>64</v>
      </c>
      <c r="K105" t="s">
        <v>65</v>
      </c>
      <c r="L105">
        <v>0.14299999999999999</v>
      </c>
      <c r="M105">
        <v>1.74</v>
      </c>
      <c r="N105">
        <v>14.5</v>
      </c>
      <c r="O105" t="s">
        <v>66</v>
      </c>
      <c r="P105" t="s">
        <v>67</v>
      </c>
      <c r="Q105">
        <v>7.95</v>
      </c>
      <c r="R105">
        <v>147</v>
      </c>
      <c r="S105">
        <v>5290</v>
      </c>
    </row>
    <row r="106" spans="1:19">
      <c r="A106" s="1">
        <v>46101</v>
      </c>
      <c r="B106" s="16">
        <v>0.58193287037037034</v>
      </c>
      <c r="C106" t="s">
        <v>221</v>
      </c>
      <c r="D106" t="s">
        <v>186</v>
      </c>
      <c r="F106" t="s">
        <v>72</v>
      </c>
      <c r="G106" t="s">
        <v>63</v>
      </c>
      <c r="H106">
        <v>1</v>
      </c>
      <c r="I106">
        <v>1</v>
      </c>
      <c r="J106" t="s">
        <v>64</v>
      </c>
      <c r="K106" t="s">
        <v>65</v>
      </c>
      <c r="L106">
        <v>1.37E-2</v>
      </c>
      <c r="M106">
        <v>0.14799999999999999</v>
      </c>
      <c r="N106">
        <v>-33.4</v>
      </c>
      <c r="O106" t="s">
        <v>66</v>
      </c>
      <c r="P106" t="s">
        <v>67</v>
      </c>
      <c r="Q106">
        <v>4.9099999999999998E-2</v>
      </c>
      <c r="R106">
        <v>0.81599999999999995</v>
      </c>
      <c r="S106">
        <v>-91.8</v>
      </c>
    </row>
    <row r="107" spans="1:19">
      <c r="A107" s="1">
        <v>46101</v>
      </c>
      <c r="B107" s="16">
        <v>0.58282407407407411</v>
      </c>
      <c r="C107" t="s">
        <v>221</v>
      </c>
      <c r="D107" t="s">
        <v>121</v>
      </c>
      <c r="F107">
        <v>82</v>
      </c>
      <c r="G107" t="s">
        <v>63</v>
      </c>
      <c r="H107">
        <v>1</v>
      </c>
      <c r="I107">
        <v>1</v>
      </c>
      <c r="J107" t="s">
        <v>64</v>
      </c>
      <c r="K107" t="s">
        <v>65</v>
      </c>
      <c r="L107">
        <v>7.9699999999999993E-2</v>
      </c>
      <c r="M107">
        <v>1.7</v>
      </c>
      <c r="N107">
        <v>13.3</v>
      </c>
      <c r="O107" t="s">
        <v>66</v>
      </c>
      <c r="P107" t="s">
        <v>67</v>
      </c>
      <c r="Q107">
        <v>4.7</v>
      </c>
      <c r="R107">
        <v>62.8</v>
      </c>
      <c r="S107">
        <v>3310</v>
      </c>
    </row>
    <row r="108" spans="1:19">
      <c r="A108" s="1">
        <v>46101</v>
      </c>
      <c r="B108" s="16">
        <v>0.58370370370370372</v>
      </c>
      <c r="C108" t="s">
        <v>221</v>
      </c>
      <c r="D108" t="s">
        <v>122</v>
      </c>
      <c r="F108">
        <v>83</v>
      </c>
      <c r="G108" t="s">
        <v>63</v>
      </c>
      <c r="H108">
        <v>1</v>
      </c>
      <c r="I108">
        <v>1</v>
      </c>
      <c r="J108" t="s">
        <v>64</v>
      </c>
      <c r="K108" t="s">
        <v>65</v>
      </c>
      <c r="L108">
        <v>0.33700000000000002</v>
      </c>
      <c r="M108">
        <v>6.46</v>
      </c>
      <c r="N108">
        <v>152</v>
      </c>
      <c r="O108" t="s">
        <v>66</v>
      </c>
      <c r="P108" t="s">
        <v>67</v>
      </c>
      <c r="Q108">
        <v>1.63</v>
      </c>
      <c r="R108">
        <v>21.4</v>
      </c>
      <c r="S108">
        <v>1220</v>
      </c>
    </row>
    <row r="109" spans="1:19">
      <c r="A109" s="1">
        <v>46101</v>
      </c>
      <c r="B109" s="16">
        <v>0.58458333333333334</v>
      </c>
      <c r="C109" t="s">
        <v>221</v>
      </c>
      <c r="D109" t="s">
        <v>123</v>
      </c>
      <c r="F109">
        <v>84</v>
      </c>
      <c r="G109" t="s">
        <v>63</v>
      </c>
      <c r="H109">
        <v>1</v>
      </c>
      <c r="I109">
        <v>1</v>
      </c>
      <c r="J109" t="s">
        <v>64</v>
      </c>
      <c r="K109" t="s">
        <v>65</v>
      </c>
      <c r="L109">
        <v>6.9900000000000004E-2</v>
      </c>
      <c r="M109">
        <v>1.49</v>
      </c>
      <c r="N109">
        <v>7.2</v>
      </c>
      <c r="O109" t="s">
        <v>66</v>
      </c>
      <c r="P109" t="s">
        <v>67</v>
      </c>
      <c r="Q109">
        <v>0.42599999999999999</v>
      </c>
      <c r="R109">
        <v>5.79</v>
      </c>
      <c r="S109">
        <v>242</v>
      </c>
    </row>
    <row r="110" spans="1:19">
      <c r="A110" s="1">
        <v>46101</v>
      </c>
      <c r="B110" s="16">
        <v>0.585474537037037</v>
      </c>
      <c r="C110" t="s">
        <v>221</v>
      </c>
      <c r="D110" t="s">
        <v>124</v>
      </c>
      <c r="F110">
        <v>85</v>
      </c>
      <c r="G110" t="s">
        <v>63</v>
      </c>
      <c r="H110">
        <v>1</v>
      </c>
      <c r="I110">
        <v>1</v>
      </c>
      <c r="J110" t="s">
        <v>64</v>
      </c>
      <c r="K110" t="s">
        <v>65</v>
      </c>
      <c r="L110">
        <v>6.9699999999999998E-2</v>
      </c>
      <c r="M110">
        <v>1.49</v>
      </c>
      <c r="N110">
        <v>7.23</v>
      </c>
      <c r="O110" t="s">
        <v>66</v>
      </c>
      <c r="P110" t="s">
        <v>67</v>
      </c>
      <c r="Q110">
        <v>0.24399999999999999</v>
      </c>
      <c r="R110">
        <v>3.34</v>
      </c>
      <c r="S110">
        <v>79.3</v>
      </c>
    </row>
    <row r="111" spans="1:19">
      <c r="A111" s="1">
        <v>46101</v>
      </c>
      <c r="B111" s="16">
        <v>0.58635416666666662</v>
      </c>
      <c r="C111" t="s">
        <v>221</v>
      </c>
      <c r="D111" t="s">
        <v>125</v>
      </c>
      <c r="F111">
        <v>86</v>
      </c>
      <c r="G111" t="s">
        <v>85</v>
      </c>
      <c r="H111">
        <v>1</v>
      </c>
      <c r="I111">
        <v>1</v>
      </c>
      <c r="J111" t="s">
        <v>64</v>
      </c>
      <c r="K111" t="s">
        <v>65</v>
      </c>
      <c r="L111">
        <v>5.0099999999999999E-2</v>
      </c>
      <c r="M111">
        <v>1.17</v>
      </c>
      <c r="N111">
        <v>-2.59</v>
      </c>
      <c r="O111" t="s">
        <v>66</v>
      </c>
      <c r="P111" t="s">
        <v>67</v>
      </c>
      <c r="Q111">
        <v>1.69</v>
      </c>
      <c r="R111">
        <v>22</v>
      </c>
      <c r="S111">
        <v>1260</v>
      </c>
    </row>
    <row r="112" spans="1:19">
      <c r="A112" s="1">
        <v>46101</v>
      </c>
      <c r="B112" s="16">
        <v>0.58725694444444443</v>
      </c>
      <c r="C112" t="s">
        <v>221</v>
      </c>
      <c r="D112" t="s">
        <v>204</v>
      </c>
      <c r="F112">
        <v>92</v>
      </c>
      <c r="G112" t="s">
        <v>85</v>
      </c>
      <c r="H112">
        <v>1</v>
      </c>
      <c r="I112">
        <v>1</v>
      </c>
      <c r="J112" t="s">
        <v>64</v>
      </c>
      <c r="K112" t="s">
        <v>65</v>
      </c>
      <c r="L112">
        <v>5.2900000000000003E-2</v>
      </c>
      <c r="M112">
        <v>1.27</v>
      </c>
      <c r="N112">
        <v>0.41199999999999998</v>
      </c>
      <c r="O112" t="s">
        <v>66</v>
      </c>
      <c r="P112" t="s">
        <v>67</v>
      </c>
      <c r="Q112">
        <v>1.69</v>
      </c>
      <c r="R112">
        <v>22.1</v>
      </c>
      <c r="S112">
        <v>1260</v>
      </c>
    </row>
    <row r="113" spans="1:19">
      <c r="A113" s="1">
        <v>46101</v>
      </c>
      <c r="B113" s="16">
        <v>0.58812500000000001</v>
      </c>
      <c r="C113" t="s">
        <v>221</v>
      </c>
      <c r="D113" t="s">
        <v>126</v>
      </c>
      <c r="E113" t="s">
        <v>265</v>
      </c>
      <c r="F113">
        <v>87</v>
      </c>
      <c r="G113" t="s">
        <v>63</v>
      </c>
      <c r="H113">
        <v>1</v>
      </c>
      <c r="I113">
        <v>1</v>
      </c>
      <c r="J113" t="s">
        <v>64</v>
      </c>
      <c r="K113" t="s">
        <v>65</v>
      </c>
      <c r="L113">
        <v>0.11</v>
      </c>
      <c r="M113">
        <v>2.2400000000000002</v>
      </c>
      <c r="N113">
        <v>29.6</v>
      </c>
      <c r="O113" t="s">
        <v>66</v>
      </c>
      <c r="P113" t="s">
        <v>67</v>
      </c>
      <c r="Q113">
        <v>0.35199999999999998</v>
      </c>
      <c r="R113">
        <v>4.79</v>
      </c>
      <c r="S113">
        <v>176</v>
      </c>
    </row>
    <row r="114" spans="1:19">
      <c r="A114" s="1">
        <v>46101</v>
      </c>
      <c r="B114" s="16">
        <v>0.58902777777777782</v>
      </c>
      <c r="C114" t="s">
        <v>221</v>
      </c>
      <c r="D114" t="s">
        <v>127</v>
      </c>
      <c r="E114" t="s">
        <v>266</v>
      </c>
      <c r="F114">
        <v>88</v>
      </c>
      <c r="G114" t="s">
        <v>63</v>
      </c>
      <c r="H114">
        <v>1</v>
      </c>
      <c r="I114">
        <v>1</v>
      </c>
      <c r="J114" t="s">
        <v>64</v>
      </c>
      <c r="K114" t="s">
        <v>65</v>
      </c>
      <c r="L114">
        <v>8.4900000000000003E-2</v>
      </c>
      <c r="M114">
        <v>1.73</v>
      </c>
      <c r="N114">
        <v>14.3</v>
      </c>
      <c r="O114" t="s">
        <v>66</v>
      </c>
      <c r="P114" t="s">
        <v>67</v>
      </c>
      <c r="Q114">
        <v>0.52800000000000002</v>
      </c>
      <c r="R114">
        <v>7.08</v>
      </c>
      <c r="S114">
        <v>327</v>
      </c>
    </row>
    <row r="115" spans="1:19">
      <c r="A115" s="1">
        <v>46101</v>
      </c>
      <c r="B115" s="16">
        <v>0.58990740740740744</v>
      </c>
      <c r="C115" t="s">
        <v>221</v>
      </c>
      <c r="D115" t="s">
        <v>128</v>
      </c>
      <c r="E115" t="s">
        <v>267</v>
      </c>
      <c r="F115">
        <v>89</v>
      </c>
      <c r="G115" t="s">
        <v>63</v>
      </c>
      <c r="H115">
        <v>1</v>
      </c>
      <c r="I115">
        <v>1</v>
      </c>
      <c r="J115" t="s">
        <v>64</v>
      </c>
      <c r="K115" t="s">
        <v>65</v>
      </c>
      <c r="L115">
        <v>0.151</v>
      </c>
      <c r="M115">
        <v>3</v>
      </c>
      <c r="N115">
        <v>51.9</v>
      </c>
      <c r="O115" t="s">
        <v>66</v>
      </c>
      <c r="P115" t="s">
        <v>67</v>
      </c>
      <c r="Q115">
        <v>0.89400000000000002</v>
      </c>
      <c r="R115">
        <v>11.7</v>
      </c>
      <c r="S115">
        <v>628</v>
      </c>
    </row>
    <row r="116" spans="1:19">
      <c r="A116" s="1">
        <v>46101</v>
      </c>
      <c r="B116" s="16">
        <v>0.59079861111111109</v>
      </c>
      <c r="C116" t="s">
        <v>221</v>
      </c>
      <c r="D116" t="s">
        <v>129</v>
      </c>
      <c r="E116" t="s">
        <v>268</v>
      </c>
      <c r="F116">
        <v>90</v>
      </c>
      <c r="G116" t="s">
        <v>63</v>
      </c>
      <c r="H116">
        <v>1</v>
      </c>
      <c r="I116">
        <v>1</v>
      </c>
      <c r="J116" t="s">
        <v>64</v>
      </c>
      <c r="K116" t="s">
        <v>65</v>
      </c>
      <c r="L116">
        <v>0.22900000000000001</v>
      </c>
      <c r="M116">
        <v>4.4800000000000004</v>
      </c>
      <c r="N116">
        <v>95.4</v>
      </c>
      <c r="O116" t="s">
        <v>66</v>
      </c>
      <c r="P116" t="s">
        <v>67</v>
      </c>
      <c r="Q116">
        <v>1.18</v>
      </c>
      <c r="R116">
        <v>15.4</v>
      </c>
      <c r="S116">
        <v>857</v>
      </c>
    </row>
    <row r="117" spans="1:19">
      <c r="A117" s="1">
        <v>46101</v>
      </c>
      <c r="B117" s="16">
        <v>0.59168981481481486</v>
      </c>
      <c r="C117" t="s">
        <v>221</v>
      </c>
      <c r="D117" t="s">
        <v>130</v>
      </c>
      <c r="E117" t="s">
        <v>269</v>
      </c>
      <c r="F117">
        <v>91</v>
      </c>
      <c r="G117" t="s">
        <v>63</v>
      </c>
      <c r="H117">
        <v>1</v>
      </c>
      <c r="I117">
        <v>1</v>
      </c>
      <c r="J117" t="s">
        <v>64</v>
      </c>
      <c r="K117" t="s">
        <v>65</v>
      </c>
      <c r="L117">
        <v>9.0800000000000006E-2</v>
      </c>
      <c r="M117">
        <v>1.94</v>
      </c>
      <c r="N117">
        <v>20.6</v>
      </c>
      <c r="O117" t="s">
        <v>66</v>
      </c>
      <c r="P117" t="s">
        <v>67</v>
      </c>
      <c r="Q117">
        <v>0.54600000000000004</v>
      </c>
      <c r="R117">
        <v>7.27</v>
      </c>
      <c r="S117">
        <v>340</v>
      </c>
    </row>
    <row r="118" spans="1:19">
      <c r="A118" s="1">
        <v>46101</v>
      </c>
      <c r="B118" s="16">
        <v>0.59258101851851852</v>
      </c>
      <c r="C118" t="s">
        <v>221</v>
      </c>
      <c r="D118" t="s">
        <v>208</v>
      </c>
      <c r="F118">
        <v>2</v>
      </c>
      <c r="G118" t="s">
        <v>92</v>
      </c>
      <c r="H118">
        <v>1</v>
      </c>
      <c r="I118">
        <v>1</v>
      </c>
      <c r="J118" t="s">
        <v>64</v>
      </c>
      <c r="K118" t="s">
        <v>65</v>
      </c>
      <c r="L118">
        <v>0.34</v>
      </c>
      <c r="M118">
        <v>6.37</v>
      </c>
      <c r="N118">
        <v>150</v>
      </c>
      <c r="O118" t="s">
        <v>66</v>
      </c>
      <c r="P118" t="s">
        <v>67</v>
      </c>
      <c r="Q118">
        <v>1.99</v>
      </c>
      <c r="R118">
        <v>25.9</v>
      </c>
      <c r="S118">
        <v>1490</v>
      </c>
    </row>
    <row r="119" spans="1:19">
      <c r="A119" s="1">
        <v>46101</v>
      </c>
      <c r="B119" s="16">
        <v>0.59347222222222218</v>
      </c>
      <c r="C119" t="s">
        <v>221</v>
      </c>
      <c r="D119" t="s">
        <v>209</v>
      </c>
      <c r="F119">
        <v>4</v>
      </c>
      <c r="G119" t="s">
        <v>92</v>
      </c>
      <c r="H119">
        <v>1</v>
      </c>
      <c r="I119">
        <v>1</v>
      </c>
      <c r="J119" t="s">
        <v>64</v>
      </c>
      <c r="K119" t="s">
        <v>65</v>
      </c>
      <c r="L119">
        <v>0.246</v>
      </c>
      <c r="M119">
        <v>4.68</v>
      </c>
      <c r="N119">
        <v>101</v>
      </c>
      <c r="O119" t="s">
        <v>66</v>
      </c>
      <c r="P119" t="s">
        <v>67</v>
      </c>
      <c r="Q119">
        <v>1.38</v>
      </c>
      <c r="R119">
        <v>18.100000000000001</v>
      </c>
      <c r="S119">
        <v>1020</v>
      </c>
    </row>
    <row r="120" spans="1:19">
      <c r="A120" s="1">
        <v>46101</v>
      </c>
      <c r="B120" s="16">
        <v>0.5943518518518518</v>
      </c>
      <c r="C120" t="s">
        <v>221</v>
      </c>
      <c r="D120" t="s">
        <v>210</v>
      </c>
      <c r="F120">
        <v>6</v>
      </c>
      <c r="G120" t="s">
        <v>92</v>
      </c>
      <c r="H120">
        <v>1</v>
      </c>
      <c r="I120">
        <v>1</v>
      </c>
      <c r="J120" t="s">
        <v>64</v>
      </c>
      <c r="K120" t="s">
        <v>65</v>
      </c>
      <c r="L120">
        <v>0.14699999999999999</v>
      </c>
      <c r="M120">
        <v>2.89</v>
      </c>
      <c r="N120">
        <v>48.9</v>
      </c>
      <c r="O120" t="s">
        <v>66</v>
      </c>
      <c r="P120" t="s">
        <v>67</v>
      </c>
      <c r="Q120">
        <v>0.63200000000000001</v>
      </c>
      <c r="R120">
        <v>8.52</v>
      </c>
      <c r="S120">
        <v>421</v>
      </c>
    </row>
    <row r="121" spans="1:19">
      <c r="A121" s="1">
        <v>46101</v>
      </c>
      <c r="B121" s="16">
        <v>0.59525462962962961</v>
      </c>
      <c r="C121" t="s">
        <v>221</v>
      </c>
      <c r="D121" t="s">
        <v>101</v>
      </c>
      <c r="F121">
        <v>8</v>
      </c>
      <c r="G121" t="s">
        <v>92</v>
      </c>
      <c r="H121">
        <v>1</v>
      </c>
      <c r="I121">
        <v>1</v>
      </c>
      <c r="J121" t="s">
        <v>64</v>
      </c>
      <c r="K121" t="s">
        <v>65</v>
      </c>
      <c r="L121">
        <v>0.10299999999999999</v>
      </c>
      <c r="M121">
        <v>2.1</v>
      </c>
      <c r="N121">
        <v>25.2</v>
      </c>
      <c r="O121" t="s">
        <v>66</v>
      </c>
      <c r="P121" t="s">
        <v>67</v>
      </c>
      <c r="Q121">
        <v>0.49099999999999999</v>
      </c>
      <c r="R121">
        <v>6.58</v>
      </c>
      <c r="S121">
        <v>294</v>
      </c>
    </row>
    <row r="122" spans="1:19">
      <c r="A122" s="1">
        <v>46101</v>
      </c>
      <c r="B122" s="16">
        <v>0.59613425925925922</v>
      </c>
      <c r="C122" t="s">
        <v>221</v>
      </c>
      <c r="D122" t="s">
        <v>211</v>
      </c>
      <c r="F122">
        <v>10</v>
      </c>
      <c r="G122" t="s">
        <v>92</v>
      </c>
      <c r="H122">
        <v>1</v>
      </c>
      <c r="I122">
        <v>1</v>
      </c>
      <c r="J122" t="s">
        <v>64</v>
      </c>
      <c r="K122" t="s">
        <v>65</v>
      </c>
      <c r="L122">
        <v>7.17E-2</v>
      </c>
      <c r="M122">
        <v>1.52</v>
      </c>
      <c r="N122">
        <v>7.92</v>
      </c>
      <c r="O122" t="s">
        <v>66</v>
      </c>
      <c r="P122" t="s">
        <v>67</v>
      </c>
      <c r="Q122">
        <v>0.30199999999999999</v>
      </c>
      <c r="R122">
        <v>4.13</v>
      </c>
      <c r="S122">
        <v>132</v>
      </c>
    </row>
    <row r="123" spans="1:19">
      <c r="A123" s="1">
        <v>46101</v>
      </c>
      <c r="B123" s="16">
        <v>0.59701388888888884</v>
      </c>
      <c r="C123" t="s">
        <v>221</v>
      </c>
      <c r="D123" t="s">
        <v>212</v>
      </c>
      <c r="F123">
        <v>12</v>
      </c>
      <c r="G123" t="s">
        <v>92</v>
      </c>
      <c r="H123">
        <v>1</v>
      </c>
      <c r="I123">
        <v>1</v>
      </c>
      <c r="J123" t="s">
        <v>64</v>
      </c>
      <c r="K123" t="s">
        <v>65</v>
      </c>
      <c r="L123">
        <v>6.3E-2</v>
      </c>
      <c r="M123">
        <v>1.33</v>
      </c>
      <c r="N123">
        <v>2.25</v>
      </c>
      <c r="O123" t="s">
        <v>66</v>
      </c>
      <c r="P123" t="s">
        <v>67</v>
      </c>
      <c r="Q123">
        <v>0.253</v>
      </c>
      <c r="R123">
        <v>3.51</v>
      </c>
      <c r="S123">
        <v>90.2</v>
      </c>
    </row>
    <row r="124" spans="1:19">
      <c r="A124" s="1">
        <v>46101</v>
      </c>
      <c r="B124" s="16">
        <v>0.59789351851851846</v>
      </c>
      <c r="C124" t="s">
        <v>221</v>
      </c>
      <c r="D124" t="s">
        <v>213</v>
      </c>
      <c r="F124">
        <v>14</v>
      </c>
      <c r="G124" t="s">
        <v>92</v>
      </c>
      <c r="H124">
        <v>1</v>
      </c>
      <c r="I124">
        <v>1</v>
      </c>
      <c r="J124" t="s">
        <v>64</v>
      </c>
      <c r="K124" t="s">
        <v>65</v>
      </c>
      <c r="L124">
        <v>5.3499999999999999E-2</v>
      </c>
      <c r="M124">
        <v>1.21</v>
      </c>
      <c r="N124">
        <v>-1.18</v>
      </c>
      <c r="O124" t="s">
        <v>66</v>
      </c>
      <c r="P124" t="s">
        <v>67</v>
      </c>
      <c r="Q124">
        <v>0.17699999999999999</v>
      </c>
      <c r="R124">
        <v>2.56</v>
      </c>
      <c r="S124">
        <v>26.5</v>
      </c>
    </row>
    <row r="125" spans="1:19">
      <c r="A125" s="1">
        <v>46101</v>
      </c>
      <c r="B125" s="16">
        <v>0.59878472222222223</v>
      </c>
      <c r="C125" t="s">
        <v>221</v>
      </c>
      <c r="D125" t="s">
        <v>131</v>
      </c>
      <c r="E125" t="s">
        <v>270</v>
      </c>
      <c r="F125">
        <v>94</v>
      </c>
      <c r="G125" t="s">
        <v>63</v>
      </c>
      <c r="H125">
        <v>1</v>
      </c>
      <c r="I125">
        <v>1</v>
      </c>
      <c r="J125" t="s">
        <v>64</v>
      </c>
      <c r="K125" t="s">
        <v>65</v>
      </c>
      <c r="L125">
        <v>0.121</v>
      </c>
      <c r="M125">
        <v>2.5499999999999998</v>
      </c>
      <c r="N125">
        <v>38.700000000000003</v>
      </c>
      <c r="O125" t="s">
        <v>66</v>
      </c>
      <c r="P125" t="s">
        <v>67</v>
      </c>
      <c r="Q125">
        <v>0.69899999999999995</v>
      </c>
      <c r="R125">
        <v>9.15</v>
      </c>
      <c r="S125">
        <v>462</v>
      </c>
    </row>
    <row r="126" spans="1:19">
      <c r="A126" s="1">
        <v>46101</v>
      </c>
      <c r="B126" s="16">
        <v>0.59967592592592589</v>
      </c>
      <c r="C126" t="s">
        <v>221</v>
      </c>
      <c r="D126" t="s">
        <v>132</v>
      </c>
      <c r="E126" t="s">
        <v>271</v>
      </c>
      <c r="F126">
        <v>95</v>
      </c>
      <c r="G126" t="s">
        <v>63</v>
      </c>
      <c r="H126">
        <v>1</v>
      </c>
      <c r="I126">
        <v>1</v>
      </c>
      <c r="J126" t="s">
        <v>64</v>
      </c>
      <c r="K126" t="s">
        <v>65</v>
      </c>
      <c r="L126">
        <v>0.27900000000000003</v>
      </c>
      <c r="M126">
        <v>5.29</v>
      </c>
      <c r="N126">
        <v>119</v>
      </c>
      <c r="O126" t="s">
        <v>66</v>
      </c>
      <c r="P126" t="s">
        <v>67</v>
      </c>
      <c r="Q126">
        <v>1.35</v>
      </c>
      <c r="R126">
        <v>17.7</v>
      </c>
      <c r="S126">
        <v>1000</v>
      </c>
    </row>
    <row r="127" spans="1:19">
      <c r="A127" s="1">
        <v>46101</v>
      </c>
      <c r="B127" s="16">
        <v>0.60056712962962966</v>
      </c>
      <c r="C127" t="s">
        <v>221</v>
      </c>
      <c r="D127" t="s">
        <v>133</v>
      </c>
      <c r="E127" t="s">
        <v>272</v>
      </c>
      <c r="F127">
        <v>96</v>
      </c>
      <c r="G127" t="s">
        <v>63</v>
      </c>
      <c r="H127">
        <v>1</v>
      </c>
      <c r="I127">
        <v>1</v>
      </c>
      <c r="J127" t="s">
        <v>64</v>
      </c>
      <c r="K127" t="s">
        <v>65</v>
      </c>
      <c r="L127">
        <v>0.23300000000000001</v>
      </c>
      <c r="M127">
        <v>4.45</v>
      </c>
      <c r="N127">
        <v>94.4</v>
      </c>
      <c r="O127" t="s">
        <v>66</v>
      </c>
      <c r="P127" t="s">
        <v>67</v>
      </c>
      <c r="Q127">
        <v>1.21</v>
      </c>
      <c r="R127">
        <v>15.8</v>
      </c>
      <c r="S127">
        <v>881</v>
      </c>
    </row>
    <row r="128" spans="1:19">
      <c r="A128" s="1">
        <v>46101</v>
      </c>
      <c r="B128" s="16">
        <v>0.60145833333333332</v>
      </c>
      <c r="C128" t="s">
        <v>221</v>
      </c>
      <c r="D128" t="s">
        <v>134</v>
      </c>
      <c r="E128" t="s">
        <v>273</v>
      </c>
      <c r="F128">
        <v>97</v>
      </c>
      <c r="G128" t="s">
        <v>63</v>
      </c>
      <c r="H128">
        <v>1</v>
      </c>
      <c r="I128">
        <v>1</v>
      </c>
      <c r="J128" t="s">
        <v>64</v>
      </c>
      <c r="K128" t="s">
        <v>65</v>
      </c>
      <c r="L128">
        <v>0.109</v>
      </c>
      <c r="M128">
        <v>2.2799999999999998</v>
      </c>
      <c r="N128">
        <v>30.6</v>
      </c>
      <c r="O128" t="s">
        <v>66</v>
      </c>
      <c r="P128" t="s">
        <v>67</v>
      </c>
      <c r="Q128">
        <v>0.66900000000000004</v>
      </c>
      <c r="R128">
        <v>8.81</v>
      </c>
      <c r="S128">
        <v>440</v>
      </c>
    </row>
    <row r="129" spans="1:19">
      <c r="A129" s="1">
        <v>46101</v>
      </c>
      <c r="B129" s="16">
        <v>0.60233796296296294</v>
      </c>
      <c r="C129" t="s">
        <v>221</v>
      </c>
      <c r="D129" t="s">
        <v>135</v>
      </c>
      <c r="E129" t="s">
        <v>274</v>
      </c>
      <c r="F129">
        <v>98</v>
      </c>
      <c r="G129" t="s">
        <v>85</v>
      </c>
      <c r="H129">
        <v>1</v>
      </c>
      <c r="I129">
        <v>1</v>
      </c>
      <c r="J129" t="s">
        <v>64</v>
      </c>
      <c r="K129" t="s">
        <v>65</v>
      </c>
      <c r="L129">
        <v>0.191</v>
      </c>
      <c r="M129">
        <v>3.74</v>
      </c>
      <c r="N129">
        <v>73.8</v>
      </c>
      <c r="O129" t="s">
        <v>66</v>
      </c>
      <c r="P129" t="s">
        <v>67</v>
      </c>
      <c r="Q129">
        <v>0.94</v>
      </c>
      <c r="R129">
        <v>12.3</v>
      </c>
      <c r="S129">
        <v>664</v>
      </c>
    </row>
    <row r="130" spans="1:19">
      <c r="A130" s="1">
        <v>46101</v>
      </c>
      <c r="B130" s="16">
        <v>0.60322916666666671</v>
      </c>
      <c r="C130" t="s">
        <v>221</v>
      </c>
      <c r="D130" t="s">
        <v>206</v>
      </c>
      <c r="F130">
        <v>104</v>
      </c>
      <c r="G130" t="s">
        <v>85</v>
      </c>
      <c r="H130">
        <v>1</v>
      </c>
      <c r="I130">
        <v>1</v>
      </c>
      <c r="J130" t="s">
        <v>64</v>
      </c>
      <c r="K130" t="s">
        <v>65</v>
      </c>
      <c r="L130">
        <v>0.19</v>
      </c>
      <c r="M130">
        <v>3.72</v>
      </c>
      <c r="N130">
        <v>73.099999999999994</v>
      </c>
      <c r="O130" t="s">
        <v>66</v>
      </c>
      <c r="P130" t="s">
        <v>67</v>
      </c>
      <c r="Q130">
        <v>0.95899999999999996</v>
      </c>
      <c r="R130">
        <v>12.5</v>
      </c>
      <c r="S130">
        <v>679</v>
      </c>
    </row>
    <row r="131" spans="1:19">
      <c r="A131" s="1">
        <v>46101</v>
      </c>
      <c r="B131" s="16">
        <v>0.60410879629629632</v>
      </c>
      <c r="C131" t="s">
        <v>221</v>
      </c>
      <c r="D131" t="s">
        <v>136</v>
      </c>
      <c r="E131" t="s">
        <v>275</v>
      </c>
      <c r="F131">
        <v>99</v>
      </c>
      <c r="G131" t="s">
        <v>63</v>
      </c>
      <c r="H131">
        <v>1</v>
      </c>
      <c r="I131">
        <v>1</v>
      </c>
      <c r="J131" t="s">
        <v>64</v>
      </c>
      <c r="K131" t="s">
        <v>65</v>
      </c>
      <c r="L131">
        <v>0.13700000000000001</v>
      </c>
      <c r="M131">
        <v>2.68</v>
      </c>
      <c r="N131">
        <v>42.6</v>
      </c>
      <c r="O131" t="s">
        <v>66</v>
      </c>
      <c r="P131" t="s">
        <v>67</v>
      </c>
      <c r="Q131">
        <v>0.82899999999999996</v>
      </c>
      <c r="R131">
        <v>10.9</v>
      </c>
      <c r="S131">
        <v>576</v>
      </c>
    </row>
    <row r="132" spans="1:19">
      <c r="A132" s="1">
        <v>46101</v>
      </c>
      <c r="B132" s="16">
        <v>0.60499999999999998</v>
      </c>
      <c r="C132" t="s">
        <v>221</v>
      </c>
      <c r="D132" t="s">
        <v>137</v>
      </c>
      <c r="E132" t="s">
        <v>276</v>
      </c>
      <c r="F132">
        <v>100</v>
      </c>
      <c r="G132" t="s">
        <v>63</v>
      </c>
      <c r="H132">
        <v>1</v>
      </c>
      <c r="I132">
        <v>1</v>
      </c>
      <c r="J132" t="s">
        <v>64</v>
      </c>
      <c r="K132" t="s">
        <v>65</v>
      </c>
      <c r="L132">
        <v>0.17799999999999999</v>
      </c>
      <c r="M132">
        <v>3.46</v>
      </c>
      <c r="N132">
        <v>65.7</v>
      </c>
      <c r="O132" t="s">
        <v>66</v>
      </c>
      <c r="P132" t="s">
        <v>67</v>
      </c>
      <c r="Q132">
        <v>0.78300000000000003</v>
      </c>
      <c r="R132">
        <v>10.3</v>
      </c>
      <c r="S132">
        <v>535</v>
      </c>
    </row>
    <row r="133" spans="1:19">
      <c r="A133" s="1">
        <v>46101</v>
      </c>
      <c r="B133" s="16">
        <v>0.6058796296296296</v>
      </c>
      <c r="C133" t="s">
        <v>221</v>
      </c>
      <c r="D133" t="s">
        <v>138</v>
      </c>
      <c r="E133" t="s">
        <v>277</v>
      </c>
      <c r="F133">
        <v>101</v>
      </c>
      <c r="G133" t="s">
        <v>63</v>
      </c>
      <c r="H133">
        <v>1</v>
      </c>
      <c r="I133">
        <v>1</v>
      </c>
      <c r="J133" t="s">
        <v>64</v>
      </c>
      <c r="K133" t="s">
        <v>65</v>
      </c>
      <c r="L133">
        <v>0.13100000000000001</v>
      </c>
      <c r="M133">
        <v>2.62</v>
      </c>
      <c r="N133">
        <v>40.799999999999997</v>
      </c>
      <c r="O133" t="s">
        <v>66</v>
      </c>
      <c r="P133" t="s">
        <v>67</v>
      </c>
      <c r="Q133">
        <v>0.46600000000000003</v>
      </c>
      <c r="R133">
        <v>6.18</v>
      </c>
      <c r="S133">
        <v>268</v>
      </c>
    </row>
    <row r="134" spans="1:19">
      <c r="A134" s="1">
        <v>46101</v>
      </c>
      <c r="B134" s="16">
        <v>0.60675925925925922</v>
      </c>
      <c r="C134" t="s">
        <v>221</v>
      </c>
      <c r="D134" t="s">
        <v>139</v>
      </c>
      <c r="E134" t="s">
        <v>278</v>
      </c>
      <c r="F134">
        <v>102</v>
      </c>
      <c r="G134" t="s">
        <v>63</v>
      </c>
      <c r="H134">
        <v>1</v>
      </c>
      <c r="I134">
        <v>1</v>
      </c>
      <c r="J134" t="s">
        <v>64</v>
      </c>
      <c r="K134" t="s">
        <v>65</v>
      </c>
      <c r="L134">
        <v>0.17</v>
      </c>
      <c r="M134">
        <v>3.38</v>
      </c>
      <c r="N134">
        <v>63.2</v>
      </c>
      <c r="O134" t="s">
        <v>66</v>
      </c>
      <c r="P134" t="s">
        <v>67</v>
      </c>
      <c r="Q134">
        <v>0.83299999999999996</v>
      </c>
      <c r="R134">
        <v>10.7</v>
      </c>
      <c r="S134">
        <v>564</v>
      </c>
    </row>
    <row r="135" spans="1:19">
      <c r="A135" s="1">
        <v>46101</v>
      </c>
      <c r="B135" s="16">
        <v>0.60765046296296299</v>
      </c>
      <c r="C135" t="s">
        <v>221</v>
      </c>
      <c r="D135" t="s">
        <v>140</v>
      </c>
      <c r="E135" t="s">
        <v>279</v>
      </c>
      <c r="F135">
        <v>103</v>
      </c>
      <c r="G135" t="s">
        <v>63</v>
      </c>
      <c r="H135">
        <v>1</v>
      </c>
      <c r="I135">
        <v>1</v>
      </c>
      <c r="J135" t="s">
        <v>64</v>
      </c>
      <c r="K135" t="s">
        <v>65</v>
      </c>
      <c r="L135">
        <v>0.53600000000000003</v>
      </c>
      <c r="M135">
        <v>9.89</v>
      </c>
      <c r="N135">
        <v>248</v>
      </c>
      <c r="O135" t="s">
        <v>66</v>
      </c>
      <c r="P135" t="s">
        <v>67</v>
      </c>
      <c r="Q135">
        <v>1.69</v>
      </c>
      <c r="R135">
        <v>22.1</v>
      </c>
      <c r="S135">
        <v>1260</v>
      </c>
    </row>
    <row r="136" spans="1:19">
      <c r="A136" s="1">
        <v>46101</v>
      </c>
      <c r="B136" s="16">
        <v>0.60855324074074069</v>
      </c>
      <c r="C136" t="s">
        <v>221</v>
      </c>
      <c r="D136" t="s">
        <v>101</v>
      </c>
      <c r="F136">
        <v>16</v>
      </c>
      <c r="G136" t="s">
        <v>92</v>
      </c>
      <c r="H136">
        <v>1</v>
      </c>
      <c r="I136">
        <v>1</v>
      </c>
      <c r="J136" t="s">
        <v>64</v>
      </c>
      <c r="K136" t="s">
        <v>65</v>
      </c>
      <c r="L136">
        <v>0.10299999999999999</v>
      </c>
      <c r="M136">
        <v>2.08</v>
      </c>
      <c r="N136">
        <v>24.7</v>
      </c>
      <c r="O136" t="s">
        <v>66</v>
      </c>
      <c r="P136" t="s">
        <v>67</v>
      </c>
      <c r="Q136">
        <v>0.46600000000000003</v>
      </c>
      <c r="R136">
        <v>6.22</v>
      </c>
      <c r="S136">
        <v>270</v>
      </c>
    </row>
    <row r="137" spans="1:19">
      <c r="A137" s="1">
        <v>46101</v>
      </c>
      <c r="B137" s="16">
        <v>0.60943287037037042</v>
      </c>
      <c r="C137" t="s">
        <v>221</v>
      </c>
      <c r="D137" t="s">
        <v>194</v>
      </c>
      <c r="F137" t="s">
        <v>68</v>
      </c>
      <c r="G137" t="s">
        <v>63</v>
      </c>
      <c r="H137">
        <v>1</v>
      </c>
      <c r="I137">
        <v>1</v>
      </c>
      <c r="J137" t="s">
        <v>64</v>
      </c>
      <c r="K137" t="s">
        <v>65</v>
      </c>
      <c r="L137">
        <v>0.14599999999999999</v>
      </c>
      <c r="M137">
        <v>1.79</v>
      </c>
      <c r="N137">
        <v>15.9</v>
      </c>
      <c r="O137" t="s">
        <v>66</v>
      </c>
      <c r="P137" t="s">
        <v>67</v>
      </c>
      <c r="Q137">
        <v>7.94</v>
      </c>
      <c r="R137">
        <v>149</v>
      </c>
      <c r="S137">
        <v>5300</v>
      </c>
    </row>
    <row r="138" spans="1:19">
      <c r="A138" s="1">
        <v>46101</v>
      </c>
      <c r="B138" s="16">
        <v>0.61031250000000004</v>
      </c>
      <c r="C138" t="s">
        <v>221</v>
      </c>
      <c r="D138" t="s">
        <v>195</v>
      </c>
      <c r="F138" t="s">
        <v>69</v>
      </c>
      <c r="G138" t="s">
        <v>63</v>
      </c>
      <c r="H138">
        <v>1</v>
      </c>
      <c r="I138">
        <v>1</v>
      </c>
      <c r="J138" t="s">
        <v>64</v>
      </c>
      <c r="K138" t="s">
        <v>65</v>
      </c>
      <c r="L138">
        <v>0.14599999999999999</v>
      </c>
      <c r="M138">
        <v>1.85</v>
      </c>
      <c r="N138">
        <v>18</v>
      </c>
      <c r="O138" t="s">
        <v>66</v>
      </c>
      <c r="P138" t="s">
        <v>67</v>
      </c>
      <c r="Q138">
        <v>7.94</v>
      </c>
      <c r="R138">
        <v>146</v>
      </c>
      <c r="S138">
        <v>5290</v>
      </c>
    </row>
    <row r="139" spans="1:19">
      <c r="A139" s="1">
        <v>46101</v>
      </c>
      <c r="B139" s="16">
        <v>0.61120370370370369</v>
      </c>
      <c r="C139" t="s">
        <v>221</v>
      </c>
      <c r="D139" t="s">
        <v>186</v>
      </c>
      <c r="F139" t="s">
        <v>72</v>
      </c>
      <c r="G139" t="s">
        <v>63</v>
      </c>
      <c r="H139">
        <v>1</v>
      </c>
      <c r="I139">
        <v>1</v>
      </c>
      <c r="J139" t="s">
        <v>64</v>
      </c>
      <c r="K139" t="s">
        <v>65</v>
      </c>
      <c r="L139">
        <v>1.44E-2</v>
      </c>
      <c r="M139">
        <v>0.16700000000000001</v>
      </c>
      <c r="N139">
        <v>-32.799999999999997</v>
      </c>
      <c r="O139" t="s">
        <v>66</v>
      </c>
      <c r="P139" t="s">
        <v>67</v>
      </c>
      <c r="Q139">
        <v>3.9100000000000003E-2</v>
      </c>
      <c r="R139">
        <v>0.66</v>
      </c>
      <c r="S139">
        <v>-102</v>
      </c>
    </row>
    <row r="140" spans="1:19">
      <c r="A140" s="1">
        <v>46101</v>
      </c>
      <c r="B140" s="16">
        <v>0.61209490740740746</v>
      </c>
      <c r="C140" t="s">
        <v>221</v>
      </c>
      <c r="D140" t="s">
        <v>141</v>
      </c>
      <c r="E140" t="s">
        <v>280</v>
      </c>
      <c r="F140">
        <v>106</v>
      </c>
      <c r="G140" t="s">
        <v>63</v>
      </c>
      <c r="H140">
        <v>1</v>
      </c>
      <c r="I140">
        <v>1</v>
      </c>
      <c r="J140" t="s">
        <v>64</v>
      </c>
      <c r="K140" t="s">
        <v>65</v>
      </c>
      <c r="L140">
        <v>0.11600000000000001</v>
      </c>
      <c r="M140">
        <v>2.33</v>
      </c>
      <c r="N140">
        <v>32.200000000000003</v>
      </c>
      <c r="O140" t="s">
        <v>66</v>
      </c>
      <c r="P140" t="s">
        <v>67</v>
      </c>
      <c r="Q140">
        <v>0.66500000000000004</v>
      </c>
      <c r="R140">
        <v>8.66</v>
      </c>
      <c r="S140">
        <v>431</v>
      </c>
    </row>
    <row r="141" spans="1:19">
      <c r="A141" s="1">
        <v>46101</v>
      </c>
      <c r="B141" s="16">
        <v>0.61299768518518516</v>
      </c>
      <c r="C141" t="s">
        <v>221</v>
      </c>
      <c r="D141" t="s">
        <v>142</v>
      </c>
      <c r="E141" t="s">
        <v>281</v>
      </c>
      <c r="F141">
        <v>107</v>
      </c>
      <c r="G141" t="s">
        <v>63</v>
      </c>
      <c r="H141">
        <v>1</v>
      </c>
      <c r="I141">
        <v>1</v>
      </c>
      <c r="J141" t="s">
        <v>64</v>
      </c>
      <c r="K141" t="s">
        <v>65</v>
      </c>
      <c r="L141">
        <v>0.224</v>
      </c>
      <c r="M141">
        <v>4.34</v>
      </c>
      <c r="N141">
        <v>91.4</v>
      </c>
      <c r="O141" t="s">
        <v>66</v>
      </c>
      <c r="P141" t="s">
        <v>67</v>
      </c>
      <c r="Q141">
        <v>1.79</v>
      </c>
      <c r="R141">
        <v>23.4</v>
      </c>
      <c r="S141">
        <v>1340</v>
      </c>
    </row>
    <row r="142" spans="1:19">
      <c r="A142" s="1">
        <v>46101</v>
      </c>
      <c r="B142" s="16">
        <v>0.61388888888888893</v>
      </c>
      <c r="C142" t="s">
        <v>221</v>
      </c>
      <c r="D142" t="s">
        <v>143</v>
      </c>
      <c r="E142" t="s">
        <v>282</v>
      </c>
      <c r="F142">
        <v>108</v>
      </c>
      <c r="G142" t="s">
        <v>63</v>
      </c>
      <c r="H142">
        <v>1</v>
      </c>
      <c r="I142">
        <v>1</v>
      </c>
      <c r="J142" t="s">
        <v>64</v>
      </c>
      <c r="K142" t="s">
        <v>65</v>
      </c>
      <c r="L142">
        <v>0.40799999999999997</v>
      </c>
      <c r="M142">
        <v>7.62</v>
      </c>
      <c r="N142">
        <v>185</v>
      </c>
      <c r="O142" t="s">
        <v>66</v>
      </c>
      <c r="P142" t="s">
        <v>67</v>
      </c>
      <c r="Q142">
        <v>1.97</v>
      </c>
      <c r="R142">
        <v>25.8</v>
      </c>
      <c r="S142">
        <v>1480</v>
      </c>
    </row>
    <row r="143" spans="1:19">
      <c r="A143" s="1">
        <v>46101</v>
      </c>
      <c r="B143" s="16">
        <v>0.61478009259259259</v>
      </c>
      <c r="C143" t="s">
        <v>221</v>
      </c>
      <c r="D143" t="s">
        <v>144</v>
      </c>
      <c r="E143" t="s">
        <v>283</v>
      </c>
      <c r="F143">
        <v>109</v>
      </c>
      <c r="G143" t="s">
        <v>63</v>
      </c>
      <c r="H143">
        <v>1</v>
      </c>
      <c r="I143">
        <v>1</v>
      </c>
      <c r="J143" t="s">
        <v>64</v>
      </c>
      <c r="K143" t="s">
        <v>65</v>
      </c>
      <c r="L143">
        <v>0.17399999999999999</v>
      </c>
      <c r="M143">
        <v>3.39</v>
      </c>
      <c r="N143">
        <v>63.4</v>
      </c>
      <c r="O143" t="s">
        <v>66</v>
      </c>
      <c r="P143" t="s">
        <v>67</v>
      </c>
      <c r="Q143">
        <v>1.82</v>
      </c>
      <c r="R143">
        <v>23.7</v>
      </c>
      <c r="S143">
        <v>1360</v>
      </c>
    </row>
    <row r="144" spans="1:19">
      <c r="A144" s="1">
        <v>46101</v>
      </c>
      <c r="B144" s="16">
        <v>0.61567129629629624</v>
      </c>
      <c r="C144" t="s">
        <v>221</v>
      </c>
      <c r="D144" t="s">
        <v>145</v>
      </c>
      <c r="E144" t="s">
        <v>284</v>
      </c>
      <c r="F144">
        <v>110</v>
      </c>
      <c r="G144" t="s">
        <v>63</v>
      </c>
      <c r="H144">
        <v>1</v>
      </c>
      <c r="I144">
        <v>1</v>
      </c>
      <c r="J144" t="s">
        <v>64</v>
      </c>
      <c r="K144" t="s">
        <v>65</v>
      </c>
      <c r="L144">
        <v>8.1199999999999994E-2</v>
      </c>
      <c r="M144">
        <v>1.74</v>
      </c>
      <c r="N144">
        <v>14.5</v>
      </c>
      <c r="O144" t="s">
        <v>66</v>
      </c>
      <c r="P144" t="s">
        <v>67</v>
      </c>
      <c r="Q144">
        <v>0.46600000000000003</v>
      </c>
      <c r="R144">
        <v>6.29</v>
      </c>
      <c r="S144">
        <v>275</v>
      </c>
    </row>
    <row r="145" spans="1:19">
      <c r="A145" s="1">
        <v>46101</v>
      </c>
      <c r="B145" s="16">
        <v>0.61656250000000001</v>
      </c>
      <c r="C145" t="s">
        <v>221</v>
      </c>
      <c r="D145" t="s">
        <v>146</v>
      </c>
      <c r="E145" t="s">
        <v>285</v>
      </c>
      <c r="F145">
        <v>111</v>
      </c>
      <c r="G145" t="s">
        <v>63</v>
      </c>
      <c r="H145">
        <v>1</v>
      </c>
      <c r="I145">
        <v>1</v>
      </c>
      <c r="J145" t="s">
        <v>64</v>
      </c>
      <c r="K145" t="s">
        <v>65</v>
      </c>
      <c r="L145">
        <v>0.46100000000000002</v>
      </c>
      <c r="M145">
        <v>8.58</v>
      </c>
      <c r="N145">
        <v>212</v>
      </c>
      <c r="O145" t="s">
        <v>66</v>
      </c>
      <c r="P145" t="s">
        <v>67</v>
      </c>
      <c r="Q145">
        <v>1.67</v>
      </c>
      <c r="R145">
        <v>21.9</v>
      </c>
      <c r="S145">
        <v>1250</v>
      </c>
    </row>
    <row r="146" spans="1:19">
      <c r="A146" s="1">
        <v>46101</v>
      </c>
      <c r="B146" s="16">
        <v>0.61745370370370367</v>
      </c>
      <c r="C146" t="s">
        <v>221</v>
      </c>
      <c r="D146" t="s">
        <v>147</v>
      </c>
      <c r="E146" t="s">
        <v>286</v>
      </c>
      <c r="F146">
        <v>112</v>
      </c>
      <c r="G146" t="s">
        <v>63</v>
      </c>
      <c r="H146">
        <v>1</v>
      </c>
      <c r="I146">
        <v>1</v>
      </c>
      <c r="J146" t="s">
        <v>64</v>
      </c>
      <c r="K146" t="s">
        <v>65</v>
      </c>
      <c r="L146">
        <v>0.159</v>
      </c>
      <c r="M146">
        <v>3.11</v>
      </c>
      <c r="N146">
        <v>55.4</v>
      </c>
      <c r="O146" t="s">
        <v>66</v>
      </c>
      <c r="P146" t="s">
        <v>67</v>
      </c>
      <c r="Q146">
        <v>0.60599999999999998</v>
      </c>
      <c r="R146">
        <v>8.01</v>
      </c>
      <c r="S146">
        <v>388</v>
      </c>
    </row>
    <row r="147" spans="1:19">
      <c r="A147" s="1">
        <v>46101</v>
      </c>
      <c r="B147" s="16">
        <v>0.61832175925925925</v>
      </c>
      <c r="C147" t="s">
        <v>221</v>
      </c>
      <c r="D147" t="s">
        <v>148</v>
      </c>
      <c r="E147" t="s">
        <v>287</v>
      </c>
      <c r="F147">
        <v>113</v>
      </c>
      <c r="G147" t="s">
        <v>63</v>
      </c>
      <c r="H147">
        <v>1</v>
      </c>
      <c r="I147">
        <v>1</v>
      </c>
      <c r="J147" t="s">
        <v>64</v>
      </c>
      <c r="K147" t="s">
        <v>65</v>
      </c>
      <c r="L147">
        <v>0.121</v>
      </c>
      <c r="M147">
        <v>2.4</v>
      </c>
      <c r="N147">
        <v>34.299999999999997</v>
      </c>
      <c r="O147" t="s">
        <v>66</v>
      </c>
      <c r="P147" t="s">
        <v>67</v>
      </c>
      <c r="Q147">
        <v>0.39400000000000002</v>
      </c>
      <c r="R147">
        <v>5.28</v>
      </c>
      <c r="S147">
        <v>209</v>
      </c>
    </row>
    <row r="148" spans="1:19">
      <c r="A148" s="1">
        <v>46101</v>
      </c>
      <c r="B148" s="16">
        <v>0.6192361111111111</v>
      </c>
      <c r="C148" t="s">
        <v>221</v>
      </c>
      <c r="D148" t="s">
        <v>149</v>
      </c>
      <c r="E148" t="s">
        <v>288</v>
      </c>
      <c r="F148">
        <v>114</v>
      </c>
      <c r="G148" t="s">
        <v>63</v>
      </c>
      <c r="H148">
        <v>1</v>
      </c>
      <c r="I148">
        <v>1</v>
      </c>
      <c r="J148" t="s">
        <v>64</v>
      </c>
      <c r="K148" t="s">
        <v>65</v>
      </c>
      <c r="L148">
        <v>0.111</v>
      </c>
      <c r="M148">
        <v>2.21</v>
      </c>
      <c r="N148">
        <v>28.5</v>
      </c>
      <c r="O148" t="s">
        <v>66</v>
      </c>
      <c r="P148" t="s">
        <v>67</v>
      </c>
      <c r="Q148">
        <v>0.51400000000000001</v>
      </c>
      <c r="R148">
        <v>6.87</v>
      </c>
      <c r="S148">
        <v>313</v>
      </c>
    </row>
    <row r="149" spans="1:19">
      <c r="A149" s="1">
        <v>46101</v>
      </c>
      <c r="B149" s="16">
        <v>0.62012731481481487</v>
      </c>
      <c r="C149" t="s">
        <v>221</v>
      </c>
      <c r="D149" t="s">
        <v>150</v>
      </c>
      <c r="E149" t="s">
        <v>289</v>
      </c>
      <c r="F149">
        <v>115</v>
      </c>
      <c r="G149" t="s">
        <v>91</v>
      </c>
      <c r="H149">
        <v>1</v>
      </c>
      <c r="I149">
        <v>1</v>
      </c>
      <c r="J149" t="s">
        <v>64</v>
      </c>
      <c r="K149" t="s">
        <v>65</v>
      </c>
      <c r="L149">
        <v>9.1899999999999996E-2</v>
      </c>
      <c r="M149">
        <v>1.9</v>
      </c>
      <c r="N149">
        <v>19.399999999999999</v>
      </c>
      <c r="O149" t="s">
        <v>66</v>
      </c>
      <c r="P149" t="s">
        <v>67</v>
      </c>
      <c r="Q149">
        <v>0.63800000000000001</v>
      </c>
      <c r="R149">
        <v>8.42</v>
      </c>
      <c r="S149">
        <v>415</v>
      </c>
    </row>
    <row r="150" spans="1:19">
      <c r="A150" s="1">
        <v>46101</v>
      </c>
      <c r="B150" s="16">
        <v>0.62101851851851853</v>
      </c>
      <c r="C150" t="s">
        <v>221</v>
      </c>
      <c r="D150" t="s">
        <v>207</v>
      </c>
      <c r="F150">
        <v>117</v>
      </c>
      <c r="G150" t="s">
        <v>91</v>
      </c>
      <c r="H150">
        <v>1</v>
      </c>
      <c r="I150">
        <v>1</v>
      </c>
      <c r="J150" t="s">
        <v>64</v>
      </c>
      <c r="K150" t="s">
        <v>65</v>
      </c>
      <c r="L150">
        <v>0.157</v>
      </c>
      <c r="M150">
        <v>3.01</v>
      </c>
      <c r="N150">
        <v>52.3</v>
      </c>
      <c r="O150" t="s">
        <v>66</v>
      </c>
      <c r="P150" t="s">
        <v>67</v>
      </c>
      <c r="Q150">
        <v>0.94099999999999995</v>
      </c>
      <c r="R150">
        <v>12.3</v>
      </c>
      <c r="S150">
        <v>663</v>
      </c>
    </row>
    <row r="151" spans="1:19">
      <c r="A151" s="1">
        <v>46101</v>
      </c>
      <c r="B151" s="16">
        <v>0.62190972222222218</v>
      </c>
      <c r="C151" t="s">
        <v>221</v>
      </c>
      <c r="D151" t="s">
        <v>205</v>
      </c>
      <c r="F151" t="s">
        <v>70</v>
      </c>
      <c r="G151" t="s">
        <v>63</v>
      </c>
      <c r="H151">
        <v>1</v>
      </c>
      <c r="I151">
        <v>1</v>
      </c>
      <c r="J151" t="s">
        <v>64</v>
      </c>
      <c r="K151" t="s">
        <v>65</v>
      </c>
      <c r="L151">
        <v>0.14299999999999999</v>
      </c>
      <c r="M151">
        <v>1.73</v>
      </c>
      <c r="N151">
        <v>14.4</v>
      </c>
      <c r="O151" t="s">
        <v>66</v>
      </c>
      <c r="P151" t="s">
        <v>67</v>
      </c>
      <c r="Q151">
        <v>1.0699999999999999E-2</v>
      </c>
      <c r="R151">
        <v>0.22800000000000001</v>
      </c>
      <c r="S151">
        <v>-132</v>
      </c>
    </row>
    <row r="152" spans="1:19">
      <c r="A152" s="1">
        <v>46101</v>
      </c>
      <c r="B152" s="16">
        <v>0.62280092592592595</v>
      </c>
      <c r="C152" t="s">
        <v>221</v>
      </c>
      <c r="D152" t="s">
        <v>101</v>
      </c>
      <c r="F152">
        <v>17</v>
      </c>
      <c r="G152" t="s">
        <v>92</v>
      </c>
      <c r="H152">
        <v>1</v>
      </c>
      <c r="I152">
        <v>1</v>
      </c>
      <c r="J152" t="s">
        <v>64</v>
      </c>
      <c r="K152" t="s">
        <v>65</v>
      </c>
      <c r="L152">
        <v>0.10100000000000001</v>
      </c>
      <c r="M152">
        <v>2.0499999999999998</v>
      </c>
      <c r="N152">
        <v>23.9</v>
      </c>
      <c r="O152" t="s">
        <v>66</v>
      </c>
      <c r="P152" t="s">
        <v>67</v>
      </c>
      <c r="Q152">
        <v>0.47899999999999998</v>
      </c>
      <c r="R152">
        <v>6.35</v>
      </c>
      <c r="S152">
        <v>279</v>
      </c>
    </row>
    <row r="153" spans="1:19">
      <c r="A153" s="1">
        <v>46101</v>
      </c>
      <c r="B153" s="16">
        <v>0.62369212962962961</v>
      </c>
      <c r="C153" t="s">
        <v>221</v>
      </c>
      <c r="D153" t="s">
        <v>151</v>
      </c>
      <c r="E153" t="s">
        <v>290</v>
      </c>
      <c r="F153">
        <v>118</v>
      </c>
      <c r="G153" t="s">
        <v>63</v>
      </c>
      <c r="H153">
        <v>1</v>
      </c>
      <c r="I153">
        <v>1</v>
      </c>
      <c r="J153" t="s">
        <v>64</v>
      </c>
      <c r="K153" t="s">
        <v>65</v>
      </c>
      <c r="L153">
        <v>0.10299999999999999</v>
      </c>
      <c r="M153">
        <v>2.09</v>
      </c>
      <c r="N153">
        <v>24.9</v>
      </c>
      <c r="O153" t="s">
        <v>66</v>
      </c>
      <c r="P153" t="s">
        <v>67</v>
      </c>
      <c r="Q153">
        <v>0.66900000000000004</v>
      </c>
      <c r="R153">
        <v>8.8800000000000008</v>
      </c>
      <c r="S153">
        <v>444</v>
      </c>
    </row>
    <row r="154" spans="1:19">
      <c r="A154" s="1">
        <v>46101</v>
      </c>
      <c r="B154" s="16">
        <v>0.62458333333333338</v>
      </c>
      <c r="C154" t="s">
        <v>221</v>
      </c>
      <c r="D154" t="s">
        <v>152</v>
      </c>
      <c r="E154" t="s">
        <v>291</v>
      </c>
      <c r="F154">
        <v>119</v>
      </c>
      <c r="G154" t="s">
        <v>63</v>
      </c>
      <c r="H154">
        <v>1</v>
      </c>
      <c r="I154">
        <v>1</v>
      </c>
      <c r="J154" t="s">
        <v>64</v>
      </c>
      <c r="K154" t="s">
        <v>65</v>
      </c>
      <c r="L154">
        <v>0.18</v>
      </c>
      <c r="M154">
        <v>3.44</v>
      </c>
      <c r="N154">
        <v>64.900000000000006</v>
      </c>
      <c r="O154" t="s">
        <v>66</v>
      </c>
      <c r="P154" t="s">
        <v>67</v>
      </c>
      <c r="Q154">
        <v>0.77300000000000002</v>
      </c>
      <c r="R154">
        <v>10.199999999999999</v>
      </c>
      <c r="S154">
        <v>529</v>
      </c>
    </row>
    <row r="155" spans="1:19">
      <c r="A155" s="1">
        <v>46101</v>
      </c>
      <c r="B155" s="16">
        <v>0.62547453703703704</v>
      </c>
      <c r="C155" t="s">
        <v>221</v>
      </c>
      <c r="D155" t="s">
        <v>153</v>
      </c>
      <c r="E155" t="s">
        <v>292</v>
      </c>
      <c r="F155">
        <v>120</v>
      </c>
      <c r="G155" t="s">
        <v>63</v>
      </c>
      <c r="H155">
        <v>1</v>
      </c>
      <c r="I155">
        <v>1</v>
      </c>
      <c r="J155" t="s">
        <v>64</v>
      </c>
      <c r="K155" t="s">
        <v>65</v>
      </c>
      <c r="L155">
        <v>0.122</v>
      </c>
      <c r="M155">
        <v>2.41</v>
      </c>
      <c r="N155">
        <v>34.4</v>
      </c>
      <c r="O155" t="s">
        <v>66</v>
      </c>
      <c r="P155" t="s">
        <v>67</v>
      </c>
      <c r="Q155">
        <v>0.57199999999999995</v>
      </c>
      <c r="R155">
        <v>7.61</v>
      </c>
      <c r="S155">
        <v>362</v>
      </c>
    </row>
    <row r="156" spans="1:19">
      <c r="A156" s="1">
        <v>46101</v>
      </c>
      <c r="B156" s="16">
        <v>0.6263657407407407</v>
      </c>
      <c r="C156" t="s">
        <v>221</v>
      </c>
      <c r="D156" t="s">
        <v>154</v>
      </c>
      <c r="E156" t="s">
        <v>293</v>
      </c>
      <c r="F156">
        <v>121</v>
      </c>
      <c r="G156" t="s">
        <v>63</v>
      </c>
      <c r="H156">
        <v>1</v>
      </c>
      <c r="I156">
        <v>1</v>
      </c>
      <c r="J156" t="s">
        <v>64</v>
      </c>
      <c r="K156" t="s">
        <v>65</v>
      </c>
      <c r="L156">
        <v>8.48E-2</v>
      </c>
      <c r="M156">
        <v>1.71</v>
      </c>
      <c r="N156">
        <v>13.7</v>
      </c>
      <c r="O156" t="s">
        <v>66</v>
      </c>
      <c r="P156" t="s">
        <v>67</v>
      </c>
      <c r="Q156">
        <v>0.55200000000000005</v>
      </c>
      <c r="R156">
        <v>7.22</v>
      </c>
      <c r="S156">
        <v>336</v>
      </c>
    </row>
    <row r="157" spans="1:19">
      <c r="A157" s="1">
        <v>46101</v>
      </c>
      <c r="B157" s="16">
        <v>0.6272685185185185</v>
      </c>
      <c r="C157" t="s">
        <v>221</v>
      </c>
      <c r="D157" t="s">
        <v>155</v>
      </c>
      <c r="E157" t="s">
        <v>294</v>
      </c>
      <c r="F157">
        <v>122</v>
      </c>
      <c r="G157" t="s">
        <v>85</v>
      </c>
      <c r="H157">
        <v>1</v>
      </c>
      <c r="I157">
        <v>1</v>
      </c>
      <c r="J157" t="s">
        <v>64</v>
      </c>
      <c r="K157" t="s">
        <v>65</v>
      </c>
      <c r="L157">
        <v>0.252</v>
      </c>
      <c r="M157">
        <v>4.8099999999999996</v>
      </c>
      <c r="N157">
        <v>105</v>
      </c>
      <c r="O157" t="s">
        <v>66</v>
      </c>
      <c r="P157" t="s">
        <v>67</v>
      </c>
      <c r="Q157">
        <v>1.46</v>
      </c>
      <c r="R157">
        <v>19.2</v>
      </c>
      <c r="S157">
        <v>1090</v>
      </c>
    </row>
    <row r="158" spans="1:19">
      <c r="A158" s="1">
        <v>46101</v>
      </c>
      <c r="B158" s="16">
        <v>0.62815972222222227</v>
      </c>
      <c r="C158" t="s">
        <v>221</v>
      </c>
      <c r="D158" t="s">
        <v>214</v>
      </c>
      <c r="F158">
        <v>128</v>
      </c>
      <c r="G158" t="s">
        <v>85</v>
      </c>
      <c r="H158">
        <v>1</v>
      </c>
      <c r="I158">
        <v>1</v>
      </c>
      <c r="J158" t="s">
        <v>64</v>
      </c>
      <c r="K158" t="s">
        <v>65</v>
      </c>
      <c r="L158">
        <v>0.247</v>
      </c>
      <c r="M158">
        <v>4.7</v>
      </c>
      <c r="N158">
        <v>102</v>
      </c>
      <c r="O158" t="s">
        <v>66</v>
      </c>
      <c r="P158" t="s">
        <v>67</v>
      </c>
      <c r="Q158">
        <v>1.44</v>
      </c>
      <c r="R158">
        <v>18.7</v>
      </c>
      <c r="S158">
        <v>1060</v>
      </c>
    </row>
    <row r="159" spans="1:19">
      <c r="A159" s="1">
        <v>46101</v>
      </c>
      <c r="B159" s="16">
        <v>0.62905092592592593</v>
      </c>
      <c r="C159" t="s">
        <v>221</v>
      </c>
      <c r="D159" t="s">
        <v>156</v>
      </c>
      <c r="E159" t="s">
        <v>295</v>
      </c>
      <c r="F159">
        <v>123</v>
      </c>
      <c r="G159" t="s">
        <v>63</v>
      </c>
      <c r="H159">
        <v>1</v>
      </c>
      <c r="I159">
        <v>1</v>
      </c>
      <c r="J159" t="s">
        <v>64</v>
      </c>
      <c r="K159" t="s">
        <v>65</v>
      </c>
      <c r="L159">
        <v>0.115</v>
      </c>
      <c r="M159">
        <v>2.3199999999999998</v>
      </c>
      <c r="N159">
        <v>31.9</v>
      </c>
      <c r="O159" t="s">
        <v>66</v>
      </c>
      <c r="P159" t="s">
        <v>67</v>
      </c>
      <c r="Q159">
        <v>0.65200000000000002</v>
      </c>
      <c r="R159">
        <v>8.5500000000000007</v>
      </c>
      <c r="S159">
        <v>423</v>
      </c>
    </row>
    <row r="160" spans="1:19">
      <c r="A160" s="1">
        <v>46101</v>
      </c>
      <c r="B160" s="16">
        <v>0.62994212962962959</v>
      </c>
      <c r="C160" t="s">
        <v>221</v>
      </c>
      <c r="D160" t="s">
        <v>157</v>
      </c>
      <c r="E160" t="s">
        <v>296</v>
      </c>
      <c r="F160">
        <v>124</v>
      </c>
      <c r="G160" t="s">
        <v>63</v>
      </c>
      <c r="H160">
        <v>1</v>
      </c>
      <c r="I160">
        <v>1</v>
      </c>
      <c r="J160" t="s">
        <v>64</v>
      </c>
      <c r="K160" t="s">
        <v>65</v>
      </c>
      <c r="L160">
        <v>0.126</v>
      </c>
      <c r="M160">
        <v>2.3199999999999998</v>
      </c>
      <c r="N160">
        <v>32</v>
      </c>
      <c r="O160" t="s">
        <v>66</v>
      </c>
      <c r="P160" t="s">
        <v>67</v>
      </c>
      <c r="Q160">
        <v>0.35599999999999998</v>
      </c>
      <c r="R160">
        <v>4.82</v>
      </c>
      <c r="S160">
        <v>178</v>
      </c>
    </row>
    <row r="161" spans="1:19">
      <c r="A161" s="1">
        <v>46101</v>
      </c>
      <c r="B161" s="16">
        <v>0.63083333333333336</v>
      </c>
      <c r="C161" t="s">
        <v>221</v>
      </c>
      <c r="D161" t="s">
        <v>158</v>
      </c>
      <c r="E161" t="s">
        <v>297</v>
      </c>
      <c r="F161">
        <v>125</v>
      </c>
      <c r="G161" t="s">
        <v>63</v>
      </c>
      <c r="H161">
        <v>1</v>
      </c>
      <c r="I161">
        <v>1</v>
      </c>
      <c r="J161" t="s">
        <v>64</v>
      </c>
      <c r="K161" t="s">
        <v>65</v>
      </c>
      <c r="L161">
        <v>0.189</v>
      </c>
      <c r="M161">
        <v>3.56</v>
      </c>
      <c r="N161">
        <v>68.599999999999994</v>
      </c>
      <c r="O161" t="s">
        <v>66</v>
      </c>
      <c r="P161" t="s">
        <v>67</v>
      </c>
      <c r="Q161">
        <v>0.745</v>
      </c>
      <c r="R161">
        <v>9.84</v>
      </c>
      <c r="S161">
        <v>506</v>
      </c>
    </row>
    <row r="162" spans="1:19">
      <c r="A162" s="1">
        <v>46101</v>
      </c>
      <c r="B162" s="16">
        <v>0.63172453703703701</v>
      </c>
      <c r="C162" t="s">
        <v>221</v>
      </c>
      <c r="D162" t="s">
        <v>159</v>
      </c>
      <c r="E162" t="s">
        <v>298</v>
      </c>
      <c r="F162">
        <v>126</v>
      </c>
      <c r="G162" t="s">
        <v>63</v>
      </c>
      <c r="H162">
        <v>1</v>
      </c>
      <c r="I162">
        <v>1</v>
      </c>
      <c r="J162" t="s">
        <v>64</v>
      </c>
      <c r="K162" t="s">
        <v>65</v>
      </c>
      <c r="L162">
        <v>0.127</v>
      </c>
      <c r="M162">
        <v>2.4700000000000002</v>
      </c>
      <c r="N162">
        <v>36.299999999999997</v>
      </c>
      <c r="O162" t="s">
        <v>66</v>
      </c>
      <c r="P162" t="s">
        <v>67</v>
      </c>
      <c r="Q162">
        <v>0.59599999999999997</v>
      </c>
      <c r="R162">
        <v>7.97</v>
      </c>
      <c r="S162">
        <v>386</v>
      </c>
    </row>
    <row r="163" spans="1:19">
      <c r="A163" s="1">
        <v>46101</v>
      </c>
      <c r="B163" s="16">
        <v>0.63261574074074078</v>
      </c>
      <c r="C163" t="s">
        <v>221</v>
      </c>
      <c r="D163" t="s">
        <v>160</v>
      </c>
      <c r="E163" t="s">
        <v>299</v>
      </c>
      <c r="F163">
        <v>127</v>
      </c>
      <c r="G163" t="s">
        <v>63</v>
      </c>
      <c r="H163">
        <v>1</v>
      </c>
      <c r="I163">
        <v>1</v>
      </c>
      <c r="J163" t="s">
        <v>64</v>
      </c>
      <c r="K163" t="s">
        <v>65</v>
      </c>
      <c r="L163">
        <v>0.107</v>
      </c>
      <c r="M163">
        <v>2.17</v>
      </c>
      <c r="N163">
        <v>27.4</v>
      </c>
      <c r="O163" t="s">
        <v>66</v>
      </c>
      <c r="P163" t="s">
        <v>67</v>
      </c>
      <c r="Q163">
        <v>0.52700000000000002</v>
      </c>
      <c r="R163">
        <v>7.01</v>
      </c>
      <c r="S163">
        <v>322</v>
      </c>
    </row>
    <row r="164" spans="1:19">
      <c r="A164" s="1">
        <v>46101</v>
      </c>
      <c r="B164" s="16">
        <v>0.63350694444444444</v>
      </c>
      <c r="C164" t="s">
        <v>221</v>
      </c>
      <c r="D164" t="s">
        <v>101</v>
      </c>
      <c r="F164">
        <v>17</v>
      </c>
      <c r="G164" t="s">
        <v>92</v>
      </c>
      <c r="H164">
        <v>1</v>
      </c>
      <c r="I164">
        <v>1</v>
      </c>
      <c r="J164" t="s">
        <v>64</v>
      </c>
      <c r="K164" t="s">
        <v>65</v>
      </c>
      <c r="L164">
        <v>0.10199999999999999</v>
      </c>
      <c r="M164">
        <v>2</v>
      </c>
      <c r="N164">
        <v>22.3</v>
      </c>
      <c r="O164" t="s">
        <v>66</v>
      </c>
      <c r="P164" t="s">
        <v>67</v>
      </c>
      <c r="Q164">
        <v>0.46899999999999997</v>
      </c>
      <c r="R164">
        <v>6.26</v>
      </c>
      <c r="S164">
        <v>273</v>
      </c>
    </row>
    <row r="165" spans="1:19">
      <c r="A165" s="1">
        <v>46101</v>
      </c>
      <c r="B165" s="16">
        <v>0.63438657407407406</v>
      </c>
      <c r="C165" t="s">
        <v>221</v>
      </c>
      <c r="D165" t="s">
        <v>194</v>
      </c>
      <c r="F165" t="s">
        <v>68</v>
      </c>
      <c r="G165" t="s">
        <v>63</v>
      </c>
      <c r="H165">
        <v>1</v>
      </c>
      <c r="I165">
        <v>1</v>
      </c>
      <c r="J165" t="s">
        <v>64</v>
      </c>
      <c r="K165" t="s">
        <v>65</v>
      </c>
      <c r="L165">
        <v>0.14699999999999999</v>
      </c>
      <c r="M165">
        <v>1.86</v>
      </c>
      <c r="N165">
        <v>18.100000000000001</v>
      </c>
      <c r="O165" t="s">
        <v>66</v>
      </c>
      <c r="P165" t="s">
        <v>67</v>
      </c>
      <c r="Q165">
        <v>7.95</v>
      </c>
      <c r="R165">
        <v>149</v>
      </c>
      <c r="S165">
        <v>5300</v>
      </c>
    </row>
    <row r="166" spans="1:19">
      <c r="A166" s="1">
        <v>46101</v>
      </c>
      <c r="B166" s="16">
        <v>0.63526620370370368</v>
      </c>
      <c r="C166" t="s">
        <v>221</v>
      </c>
      <c r="D166" t="s">
        <v>195</v>
      </c>
      <c r="F166" t="s">
        <v>69</v>
      </c>
      <c r="G166" t="s">
        <v>63</v>
      </c>
      <c r="H166">
        <v>1</v>
      </c>
      <c r="I166">
        <v>1</v>
      </c>
      <c r="J166" t="s">
        <v>64</v>
      </c>
      <c r="K166" t="s">
        <v>65</v>
      </c>
      <c r="L166">
        <v>0.14699999999999999</v>
      </c>
      <c r="M166">
        <v>1.83</v>
      </c>
      <c r="N166">
        <v>17.3</v>
      </c>
      <c r="O166" t="s">
        <v>66</v>
      </c>
      <c r="P166" t="s">
        <v>67</v>
      </c>
      <c r="Q166">
        <v>7.94</v>
      </c>
      <c r="R166">
        <v>145</v>
      </c>
      <c r="S166">
        <v>5280</v>
      </c>
    </row>
    <row r="167" spans="1:19">
      <c r="A167" s="1">
        <v>46101</v>
      </c>
      <c r="B167" s="16">
        <v>0.63615740740740745</v>
      </c>
      <c r="C167" t="s">
        <v>221</v>
      </c>
      <c r="D167" t="s">
        <v>186</v>
      </c>
      <c r="F167" t="s">
        <v>72</v>
      </c>
      <c r="G167" t="s">
        <v>63</v>
      </c>
      <c r="H167">
        <v>1</v>
      </c>
      <c r="I167">
        <v>1</v>
      </c>
      <c r="J167" t="s">
        <v>64</v>
      </c>
      <c r="K167" t="s">
        <v>65</v>
      </c>
      <c r="L167">
        <v>1.29E-2</v>
      </c>
      <c r="M167">
        <v>0.14899999999999999</v>
      </c>
      <c r="N167">
        <v>-33.4</v>
      </c>
      <c r="O167" t="s">
        <v>66</v>
      </c>
      <c r="P167" t="s">
        <v>67</v>
      </c>
      <c r="Q167">
        <v>5.5100000000000003E-2</v>
      </c>
      <c r="R167">
        <v>0.879</v>
      </c>
      <c r="S167">
        <v>-87.5</v>
      </c>
    </row>
    <row r="168" spans="1:19">
      <c r="A168" s="1">
        <v>46101</v>
      </c>
      <c r="B168" s="16">
        <v>0.63706018518518515</v>
      </c>
      <c r="C168" t="s">
        <v>221</v>
      </c>
      <c r="D168" t="s">
        <v>161</v>
      </c>
      <c r="E168" t="s">
        <v>300</v>
      </c>
      <c r="F168">
        <v>130</v>
      </c>
      <c r="G168" t="s">
        <v>63</v>
      </c>
      <c r="H168">
        <v>1</v>
      </c>
      <c r="I168">
        <v>1</v>
      </c>
      <c r="J168" t="s">
        <v>64</v>
      </c>
      <c r="K168" t="s">
        <v>65</v>
      </c>
      <c r="L168">
        <v>0.111</v>
      </c>
      <c r="M168">
        <v>2.2000000000000002</v>
      </c>
      <c r="N168">
        <v>28.4</v>
      </c>
      <c r="O168" t="s">
        <v>66</v>
      </c>
      <c r="P168" t="s">
        <v>67</v>
      </c>
      <c r="Q168">
        <v>0.7</v>
      </c>
      <c r="R168">
        <v>9.26</v>
      </c>
      <c r="S168">
        <v>469</v>
      </c>
    </row>
    <row r="169" spans="1:19">
      <c r="A169" s="1">
        <v>46101</v>
      </c>
      <c r="B169" s="16">
        <v>0.63795138888888892</v>
      </c>
      <c r="C169" t="s">
        <v>221</v>
      </c>
      <c r="D169" t="s">
        <v>162</v>
      </c>
      <c r="E169" t="s">
        <v>301</v>
      </c>
      <c r="F169">
        <v>131</v>
      </c>
      <c r="G169" t="s">
        <v>63</v>
      </c>
      <c r="H169">
        <v>1</v>
      </c>
      <c r="I169">
        <v>1</v>
      </c>
      <c r="J169" t="s">
        <v>64</v>
      </c>
      <c r="K169" t="s">
        <v>65</v>
      </c>
      <c r="L169">
        <v>0.107</v>
      </c>
      <c r="M169">
        <v>2.12</v>
      </c>
      <c r="N169">
        <v>26</v>
      </c>
      <c r="O169" t="s">
        <v>66</v>
      </c>
      <c r="P169" t="s">
        <v>67</v>
      </c>
      <c r="Q169">
        <v>0.73799999999999999</v>
      </c>
      <c r="R169">
        <v>9.76</v>
      </c>
      <c r="S169">
        <v>502</v>
      </c>
    </row>
    <row r="170" spans="1:19">
      <c r="A170" s="1">
        <v>46101</v>
      </c>
      <c r="B170" s="16">
        <v>0.63883101851851853</v>
      </c>
      <c r="C170" t="s">
        <v>221</v>
      </c>
      <c r="D170" t="s">
        <v>163</v>
      </c>
      <c r="E170" t="s">
        <v>302</v>
      </c>
      <c r="F170">
        <v>132</v>
      </c>
      <c r="G170" t="s">
        <v>63</v>
      </c>
      <c r="H170">
        <v>1</v>
      </c>
      <c r="I170">
        <v>1</v>
      </c>
      <c r="J170" t="s">
        <v>64</v>
      </c>
      <c r="K170" t="s">
        <v>65</v>
      </c>
      <c r="L170">
        <v>8.5000000000000006E-2</v>
      </c>
      <c r="M170">
        <v>1.71</v>
      </c>
      <c r="N170">
        <v>13.7</v>
      </c>
      <c r="O170" t="s">
        <v>66</v>
      </c>
      <c r="P170" t="s">
        <v>67</v>
      </c>
      <c r="Q170">
        <v>0.438</v>
      </c>
      <c r="R170">
        <v>5.84</v>
      </c>
      <c r="S170">
        <v>246</v>
      </c>
    </row>
    <row r="171" spans="1:19">
      <c r="A171" s="1">
        <v>46101</v>
      </c>
      <c r="B171" s="16">
        <v>0.63972222222222219</v>
      </c>
      <c r="C171" t="s">
        <v>221</v>
      </c>
      <c r="D171" t="s">
        <v>164</v>
      </c>
      <c r="E171" t="s">
        <v>303</v>
      </c>
      <c r="F171">
        <v>133</v>
      </c>
      <c r="G171" t="s">
        <v>63</v>
      </c>
      <c r="H171">
        <v>1</v>
      </c>
      <c r="I171">
        <v>1</v>
      </c>
      <c r="J171" t="s">
        <v>64</v>
      </c>
      <c r="K171" t="s">
        <v>65</v>
      </c>
      <c r="L171">
        <v>9.98E-2</v>
      </c>
      <c r="M171">
        <v>2.0299999999999998</v>
      </c>
      <c r="N171">
        <v>23.1</v>
      </c>
      <c r="O171" t="s">
        <v>66</v>
      </c>
      <c r="P171" t="s">
        <v>67</v>
      </c>
      <c r="Q171">
        <v>0.51</v>
      </c>
      <c r="R171">
        <v>6.9</v>
      </c>
      <c r="S171">
        <v>316</v>
      </c>
    </row>
    <row r="172" spans="1:19">
      <c r="A172" s="1">
        <v>46101</v>
      </c>
      <c r="B172" s="16">
        <v>0.64061342592592596</v>
      </c>
      <c r="C172" t="s">
        <v>221</v>
      </c>
      <c r="D172" t="s">
        <v>165</v>
      </c>
      <c r="E172" t="s">
        <v>304</v>
      </c>
      <c r="F172">
        <v>134</v>
      </c>
      <c r="G172" t="s">
        <v>63</v>
      </c>
      <c r="H172">
        <v>1</v>
      </c>
      <c r="I172">
        <v>1</v>
      </c>
      <c r="J172" t="s">
        <v>64</v>
      </c>
      <c r="K172" t="s">
        <v>65</v>
      </c>
      <c r="L172">
        <v>0.13200000000000001</v>
      </c>
      <c r="M172">
        <v>2.61</v>
      </c>
      <c r="N172">
        <v>40.5</v>
      </c>
      <c r="O172" t="s">
        <v>66</v>
      </c>
      <c r="P172" t="s">
        <v>67</v>
      </c>
      <c r="Q172">
        <v>0.69499999999999995</v>
      </c>
      <c r="R172">
        <v>9.15</v>
      </c>
      <c r="S172">
        <v>462</v>
      </c>
    </row>
    <row r="173" spans="1:19">
      <c r="A173" s="1">
        <v>46101</v>
      </c>
      <c r="B173" s="16">
        <v>0.64151620370370366</v>
      </c>
      <c r="C173" t="s">
        <v>221</v>
      </c>
      <c r="D173" t="s">
        <v>166</v>
      </c>
      <c r="E173" t="s">
        <v>305</v>
      </c>
      <c r="F173">
        <v>135</v>
      </c>
      <c r="G173" t="s">
        <v>63</v>
      </c>
      <c r="H173">
        <v>1</v>
      </c>
      <c r="I173">
        <v>1</v>
      </c>
      <c r="J173" t="s">
        <v>64</v>
      </c>
      <c r="K173" t="s">
        <v>65</v>
      </c>
      <c r="L173">
        <v>0.156</v>
      </c>
      <c r="M173">
        <v>2.95</v>
      </c>
      <c r="N173">
        <v>50.6</v>
      </c>
      <c r="O173" t="s">
        <v>66</v>
      </c>
      <c r="P173" t="s">
        <v>67</v>
      </c>
      <c r="Q173">
        <v>1.1299999999999999</v>
      </c>
      <c r="R173">
        <v>14.8</v>
      </c>
      <c r="S173">
        <v>823</v>
      </c>
    </row>
    <row r="174" spans="1:19">
      <c r="A174" s="1">
        <v>46101</v>
      </c>
      <c r="B174" s="16">
        <v>0.64240740740740743</v>
      </c>
      <c r="C174" t="s">
        <v>221</v>
      </c>
      <c r="D174" t="s">
        <v>167</v>
      </c>
      <c r="E174" t="s">
        <v>306</v>
      </c>
      <c r="F174">
        <v>136</v>
      </c>
      <c r="G174" t="s">
        <v>63</v>
      </c>
      <c r="H174">
        <v>1</v>
      </c>
      <c r="I174">
        <v>1</v>
      </c>
      <c r="J174" t="s">
        <v>64</v>
      </c>
      <c r="K174" t="s">
        <v>65</v>
      </c>
      <c r="L174">
        <v>8.2299999999999998E-2</v>
      </c>
      <c r="M174">
        <v>1.69</v>
      </c>
      <c r="N174">
        <v>13.2</v>
      </c>
      <c r="O174" t="s">
        <v>66</v>
      </c>
      <c r="P174" t="s">
        <v>67</v>
      </c>
      <c r="Q174">
        <v>0.499</v>
      </c>
      <c r="R174">
        <v>6.6</v>
      </c>
      <c r="S174">
        <v>296</v>
      </c>
    </row>
    <row r="175" spans="1:19">
      <c r="A175" s="1">
        <v>46101</v>
      </c>
      <c r="B175" s="16">
        <v>0.64329861111111108</v>
      </c>
      <c r="C175" t="s">
        <v>221</v>
      </c>
      <c r="D175" t="s">
        <v>168</v>
      </c>
      <c r="E175" t="s">
        <v>307</v>
      </c>
      <c r="F175">
        <v>137</v>
      </c>
      <c r="G175" t="s">
        <v>63</v>
      </c>
      <c r="H175">
        <v>1</v>
      </c>
      <c r="I175">
        <v>1</v>
      </c>
      <c r="J175" t="s">
        <v>64</v>
      </c>
      <c r="K175" t="s">
        <v>65</v>
      </c>
      <c r="L175">
        <v>9.2299999999999993E-2</v>
      </c>
      <c r="M175">
        <v>1.85</v>
      </c>
      <c r="N175">
        <v>17.899999999999999</v>
      </c>
      <c r="O175" t="s">
        <v>66</v>
      </c>
      <c r="P175" t="s">
        <v>67</v>
      </c>
      <c r="Q175">
        <v>0.45200000000000001</v>
      </c>
      <c r="R175">
        <v>6.02</v>
      </c>
      <c r="S175">
        <v>258</v>
      </c>
    </row>
    <row r="176" spans="1:19">
      <c r="A176" s="1">
        <v>46101</v>
      </c>
      <c r="B176" s="16">
        <v>0.64420138888888889</v>
      </c>
      <c r="C176" t="s">
        <v>221</v>
      </c>
      <c r="D176" t="s">
        <v>169</v>
      </c>
      <c r="E176" t="s">
        <v>308</v>
      </c>
      <c r="F176">
        <v>138</v>
      </c>
      <c r="G176" t="s">
        <v>63</v>
      </c>
      <c r="H176">
        <v>1</v>
      </c>
      <c r="I176">
        <v>1</v>
      </c>
      <c r="J176" t="s">
        <v>64</v>
      </c>
      <c r="K176" t="s">
        <v>65</v>
      </c>
      <c r="L176">
        <v>9.8000000000000004E-2</v>
      </c>
      <c r="M176">
        <v>1.99</v>
      </c>
      <c r="N176">
        <v>21.9</v>
      </c>
      <c r="O176" t="s">
        <v>66</v>
      </c>
      <c r="P176" t="s">
        <v>67</v>
      </c>
      <c r="Q176">
        <v>0.47</v>
      </c>
      <c r="R176">
        <v>6.31</v>
      </c>
      <c r="S176">
        <v>277</v>
      </c>
    </row>
    <row r="177" spans="1:19">
      <c r="A177" s="1">
        <v>46101</v>
      </c>
      <c r="B177" s="16">
        <v>0.64508101851851851</v>
      </c>
      <c r="C177" t="s">
        <v>221</v>
      </c>
      <c r="D177" t="s">
        <v>170</v>
      </c>
      <c r="E177" t="s">
        <v>309</v>
      </c>
      <c r="F177">
        <v>139</v>
      </c>
      <c r="G177" t="s">
        <v>91</v>
      </c>
      <c r="H177">
        <v>1</v>
      </c>
      <c r="I177">
        <v>1</v>
      </c>
      <c r="J177" t="s">
        <v>64</v>
      </c>
      <c r="K177" t="s">
        <v>65</v>
      </c>
      <c r="L177">
        <v>0.152</v>
      </c>
      <c r="M177">
        <v>2.96</v>
      </c>
      <c r="N177">
        <v>51</v>
      </c>
      <c r="O177" t="s">
        <v>66</v>
      </c>
      <c r="P177" t="s">
        <v>67</v>
      </c>
      <c r="Q177">
        <v>0.75600000000000001</v>
      </c>
      <c r="R177">
        <v>10.1</v>
      </c>
      <c r="S177">
        <v>521</v>
      </c>
    </row>
    <row r="178" spans="1:19">
      <c r="A178" s="1">
        <v>46101</v>
      </c>
      <c r="B178" s="16">
        <v>0.64597222222222217</v>
      </c>
      <c r="C178" t="s">
        <v>221</v>
      </c>
      <c r="D178" t="s">
        <v>215</v>
      </c>
      <c r="F178">
        <v>141</v>
      </c>
      <c r="G178" t="s">
        <v>91</v>
      </c>
      <c r="H178">
        <v>1</v>
      </c>
      <c r="I178">
        <v>1</v>
      </c>
      <c r="J178" t="s">
        <v>64</v>
      </c>
      <c r="K178" t="s">
        <v>65</v>
      </c>
      <c r="L178">
        <v>0.23499999999999999</v>
      </c>
      <c r="M178">
        <v>3.96</v>
      </c>
      <c r="N178">
        <v>80.3</v>
      </c>
      <c r="O178" t="s">
        <v>66</v>
      </c>
      <c r="P178" t="s">
        <v>67</v>
      </c>
      <c r="Q178">
        <v>1.08</v>
      </c>
      <c r="R178">
        <v>14.1</v>
      </c>
      <c r="S178">
        <v>780</v>
      </c>
    </row>
    <row r="179" spans="1:19">
      <c r="A179" s="1">
        <v>46101</v>
      </c>
      <c r="B179" s="16">
        <v>0.64686342592592594</v>
      </c>
      <c r="C179" t="s">
        <v>221</v>
      </c>
      <c r="D179" t="s">
        <v>205</v>
      </c>
      <c r="F179" t="s">
        <v>70</v>
      </c>
      <c r="G179" t="s">
        <v>63</v>
      </c>
      <c r="H179">
        <v>1</v>
      </c>
      <c r="I179">
        <v>1</v>
      </c>
      <c r="J179" t="s">
        <v>64</v>
      </c>
      <c r="K179" t="s">
        <v>65</v>
      </c>
      <c r="L179">
        <v>0.152</v>
      </c>
      <c r="M179">
        <v>2.06</v>
      </c>
      <c r="N179">
        <v>24.2</v>
      </c>
      <c r="O179" t="s">
        <v>66</v>
      </c>
      <c r="P179" t="s">
        <v>67</v>
      </c>
      <c r="Q179">
        <v>6.9300000000000004E-3</v>
      </c>
      <c r="R179">
        <v>0.153</v>
      </c>
      <c r="S179">
        <v>-137</v>
      </c>
    </row>
    <row r="180" spans="1:19">
      <c r="A180" s="1">
        <v>46101</v>
      </c>
      <c r="B180" s="16">
        <v>0.6477546296296296</v>
      </c>
      <c r="C180" t="s">
        <v>221</v>
      </c>
      <c r="D180" t="s">
        <v>101</v>
      </c>
      <c r="F180">
        <v>18</v>
      </c>
      <c r="G180" t="s">
        <v>92</v>
      </c>
      <c r="H180">
        <v>1</v>
      </c>
      <c r="I180">
        <v>1</v>
      </c>
      <c r="J180" t="s">
        <v>64</v>
      </c>
      <c r="K180" t="s">
        <v>65</v>
      </c>
      <c r="L180">
        <v>0.1</v>
      </c>
      <c r="M180">
        <v>2.0099999999999998</v>
      </c>
      <c r="N180">
        <v>22.5</v>
      </c>
      <c r="O180" t="s">
        <v>66</v>
      </c>
      <c r="P180" t="s">
        <v>67</v>
      </c>
      <c r="Q180">
        <v>0.46100000000000002</v>
      </c>
      <c r="R180">
        <v>6.22</v>
      </c>
      <c r="S180">
        <v>271</v>
      </c>
    </row>
    <row r="181" spans="1:19">
      <c r="A181" s="1">
        <v>46101</v>
      </c>
      <c r="B181" s="16">
        <v>0.64864583333333337</v>
      </c>
      <c r="C181" t="s">
        <v>221</v>
      </c>
      <c r="D181" t="s">
        <v>171</v>
      </c>
      <c r="E181" t="s">
        <v>310</v>
      </c>
      <c r="F181">
        <v>142</v>
      </c>
      <c r="G181" t="s">
        <v>63</v>
      </c>
      <c r="H181">
        <v>1</v>
      </c>
      <c r="I181">
        <v>1</v>
      </c>
      <c r="J181" t="s">
        <v>64</v>
      </c>
      <c r="K181" t="s">
        <v>65</v>
      </c>
      <c r="L181">
        <v>0.106</v>
      </c>
      <c r="M181">
        <v>2.17</v>
      </c>
      <c r="N181">
        <v>27.3</v>
      </c>
      <c r="O181" t="s">
        <v>66</v>
      </c>
      <c r="P181" t="s">
        <v>67</v>
      </c>
      <c r="Q181">
        <v>0.42799999999999999</v>
      </c>
      <c r="R181">
        <v>5.72</v>
      </c>
      <c r="S181">
        <v>238</v>
      </c>
    </row>
    <row r="182" spans="1:19">
      <c r="A182" s="1">
        <v>46101</v>
      </c>
      <c r="B182" s="16">
        <v>0.64953703703703702</v>
      </c>
      <c r="C182" t="s">
        <v>221</v>
      </c>
      <c r="D182" t="s">
        <v>172</v>
      </c>
      <c r="E182" t="s">
        <v>311</v>
      </c>
      <c r="F182">
        <v>143</v>
      </c>
      <c r="G182" t="s">
        <v>63</v>
      </c>
      <c r="H182">
        <v>1</v>
      </c>
      <c r="I182">
        <v>1</v>
      </c>
      <c r="J182" t="s">
        <v>64</v>
      </c>
      <c r="K182" t="s">
        <v>65</v>
      </c>
      <c r="L182">
        <v>0.128</v>
      </c>
      <c r="M182">
        <v>2.56</v>
      </c>
      <c r="N182">
        <v>38.9</v>
      </c>
      <c r="O182" t="s">
        <v>66</v>
      </c>
      <c r="P182" t="s">
        <v>67</v>
      </c>
      <c r="Q182">
        <v>0.58699999999999997</v>
      </c>
      <c r="R182">
        <v>7.81</v>
      </c>
      <c r="S182">
        <v>375</v>
      </c>
    </row>
    <row r="183" spans="1:19">
      <c r="A183" s="1">
        <v>46101</v>
      </c>
      <c r="B183" s="16">
        <v>0.65042824074074079</v>
      </c>
      <c r="C183" t="s">
        <v>221</v>
      </c>
      <c r="D183" t="s">
        <v>173</v>
      </c>
      <c r="E183" t="s">
        <v>312</v>
      </c>
      <c r="F183">
        <v>144</v>
      </c>
      <c r="G183" t="s">
        <v>63</v>
      </c>
      <c r="H183">
        <v>1</v>
      </c>
      <c r="I183">
        <v>1</v>
      </c>
      <c r="J183" t="s">
        <v>64</v>
      </c>
      <c r="K183" t="s">
        <v>65</v>
      </c>
      <c r="L183">
        <v>0.10100000000000001</v>
      </c>
      <c r="M183">
        <v>2.02</v>
      </c>
      <c r="N183">
        <v>22.9</v>
      </c>
      <c r="O183" t="s">
        <v>66</v>
      </c>
      <c r="P183" t="s">
        <v>67</v>
      </c>
      <c r="Q183">
        <v>0.56699999999999995</v>
      </c>
      <c r="R183">
        <v>7.51</v>
      </c>
      <c r="S183">
        <v>356</v>
      </c>
    </row>
    <row r="184" spans="1:19">
      <c r="A184" s="1">
        <v>46101</v>
      </c>
      <c r="B184" s="16">
        <v>0.65133101851851849</v>
      </c>
      <c r="C184" t="s">
        <v>221</v>
      </c>
      <c r="D184" t="s">
        <v>174</v>
      </c>
      <c r="E184" t="s">
        <v>313</v>
      </c>
      <c r="F184">
        <v>145</v>
      </c>
      <c r="G184" t="s">
        <v>63</v>
      </c>
      <c r="H184">
        <v>1</v>
      </c>
      <c r="I184">
        <v>1</v>
      </c>
      <c r="J184" t="s">
        <v>64</v>
      </c>
      <c r="K184" t="s">
        <v>65</v>
      </c>
      <c r="L184">
        <v>0.21099999999999999</v>
      </c>
      <c r="M184">
        <v>3.84</v>
      </c>
      <c r="N184">
        <v>76.8</v>
      </c>
      <c r="O184" t="s">
        <v>66</v>
      </c>
      <c r="P184" t="s">
        <v>67</v>
      </c>
      <c r="Q184">
        <v>0.92900000000000005</v>
      </c>
      <c r="R184">
        <v>12.2</v>
      </c>
      <c r="S184">
        <v>657</v>
      </c>
    </row>
    <row r="185" spans="1:19">
      <c r="A185" s="1">
        <v>46101</v>
      </c>
      <c r="B185" s="16">
        <v>0.65222222222222226</v>
      </c>
      <c r="C185" t="s">
        <v>221</v>
      </c>
      <c r="D185" t="s">
        <v>175</v>
      </c>
      <c r="E185" t="s">
        <v>314</v>
      </c>
      <c r="F185">
        <v>146</v>
      </c>
      <c r="G185" t="s">
        <v>85</v>
      </c>
      <c r="H185">
        <v>1</v>
      </c>
      <c r="I185">
        <v>1</v>
      </c>
      <c r="J185" t="s">
        <v>64</v>
      </c>
      <c r="K185" t="s">
        <v>65</v>
      </c>
      <c r="L185">
        <v>0.121</v>
      </c>
      <c r="M185">
        <v>2.42</v>
      </c>
      <c r="N185">
        <v>34.700000000000003</v>
      </c>
      <c r="O185" t="s">
        <v>66</v>
      </c>
      <c r="P185" t="s">
        <v>67</v>
      </c>
      <c r="Q185">
        <v>0.65</v>
      </c>
      <c r="R185">
        <v>8.69</v>
      </c>
      <c r="S185">
        <v>432</v>
      </c>
    </row>
    <row r="186" spans="1:19">
      <c r="A186" s="1">
        <v>46101</v>
      </c>
      <c r="B186" s="16">
        <v>0.65310185185185188</v>
      </c>
      <c r="C186" t="s">
        <v>221</v>
      </c>
      <c r="D186" t="s">
        <v>216</v>
      </c>
      <c r="F186">
        <v>152</v>
      </c>
      <c r="G186" t="s">
        <v>85</v>
      </c>
      <c r="H186">
        <v>1</v>
      </c>
      <c r="I186">
        <v>1</v>
      </c>
      <c r="J186" t="s">
        <v>64</v>
      </c>
      <c r="K186" t="s">
        <v>65</v>
      </c>
      <c r="L186">
        <v>0.11600000000000001</v>
      </c>
      <c r="M186">
        <v>2.31</v>
      </c>
      <c r="N186">
        <v>31.6</v>
      </c>
      <c r="O186" t="s">
        <v>66</v>
      </c>
      <c r="P186" t="s">
        <v>67</v>
      </c>
      <c r="Q186">
        <v>0.64400000000000002</v>
      </c>
      <c r="R186">
        <v>8.5299999999999994</v>
      </c>
      <c r="S186">
        <v>422</v>
      </c>
    </row>
    <row r="187" spans="1:19">
      <c r="A187" s="1">
        <v>46101</v>
      </c>
      <c r="B187" s="16">
        <v>0.65400462962962957</v>
      </c>
      <c r="C187" t="s">
        <v>221</v>
      </c>
      <c r="D187" t="s">
        <v>176</v>
      </c>
      <c r="E187" t="s">
        <v>315</v>
      </c>
      <c r="F187">
        <v>147</v>
      </c>
      <c r="G187" t="s">
        <v>63</v>
      </c>
      <c r="H187">
        <v>1</v>
      </c>
      <c r="I187">
        <v>1</v>
      </c>
      <c r="J187" t="s">
        <v>64</v>
      </c>
      <c r="K187" t="s">
        <v>65</v>
      </c>
      <c r="L187">
        <v>0.16400000000000001</v>
      </c>
      <c r="M187">
        <v>3.14</v>
      </c>
      <c r="N187">
        <v>56.1</v>
      </c>
      <c r="O187" t="s">
        <v>66</v>
      </c>
      <c r="P187" t="s">
        <v>67</v>
      </c>
      <c r="Q187">
        <v>0.81100000000000005</v>
      </c>
      <c r="R187">
        <v>10.5</v>
      </c>
      <c r="S187">
        <v>548</v>
      </c>
    </row>
    <row r="188" spans="1:19">
      <c r="A188" s="1">
        <v>46101</v>
      </c>
      <c r="B188" s="16">
        <v>0.65489583333333334</v>
      </c>
      <c r="C188" t="s">
        <v>221</v>
      </c>
      <c r="D188" t="s">
        <v>177</v>
      </c>
      <c r="F188">
        <v>148</v>
      </c>
      <c r="G188" t="s">
        <v>63</v>
      </c>
      <c r="H188">
        <v>1</v>
      </c>
      <c r="I188">
        <v>1</v>
      </c>
      <c r="J188" t="s">
        <v>64</v>
      </c>
      <c r="K188" t="s">
        <v>65</v>
      </c>
      <c r="L188">
        <v>0.25800000000000001</v>
      </c>
      <c r="M188">
        <v>4.88</v>
      </c>
      <c r="N188">
        <v>107</v>
      </c>
      <c r="O188" t="s">
        <v>66</v>
      </c>
      <c r="P188" t="s">
        <v>67</v>
      </c>
      <c r="Q188">
        <v>0.82799999999999996</v>
      </c>
      <c r="R188">
        <v>10.9</v>
      </c>
      <c r="S188">
        <v>576</v>
      </c>
    </row>
    <row r="189" spans="1:19">
      <c r="A189" s="1">
        <v>46101</v>
      </c>
      <c r="B189" s="16">
        <v>0.65577546296296296</v>
      </c>
      <c r="C189" t="s">
        <v>221</v>
      </c>
      <c r="D189" t="s">
        <v>178</v>
      </c>
      <c r="E189" t="s">
        <v>316</v>
      </c>
      <c r="F189">
        <v>149</v>
      </c>
      <c r="G189" t="s">
        <v>63</v>
      </c>
      <c r="H189">
        <v>1</v>
      </c>
      <c r="I189">
        <v>1</v>
      </c>
      <c r="J189" t="s">
        <v>64</v>
      </c>
      <c r="K189" t="s">
        <v>65</v>
      </c>
      <c r="L189">
        <v>0.45900000000000002</v>
      </c>
      <c r="M189">
        <v>8.4600000000000009</v>
      </c>
      <c r="N189">
        <v>208</v>
      </c>
      <c r="O189" t="s">
        <v>66</v>
      </c>
      <c r="P189" t="s">
        <v>67</v>
      </c>
      <c r="Q189">
        <v>1.46</v>
      </c>
      <c r="R189">
        <v>19.2</v>
      </c>
      <c r="S189">
        <v>1090</v>
      </c>
    </row>
    <row r="190" spans="1:19">
      <c r="A190" s="1">
        <v>46101</v>
      </c>
      <c r="B190" s="16">
        <v>0.65667824074074077</v>
      </c>
      <c r="C190" t="s">
        <v>221</v>
      </c>
      <c r="D190" t="s">
        <v>179</v>
      </c>
      <c r="E190" t="s">
        <v>317</v>
      </c>
      <c r="F190">
        <v>150</v>
      </c>
      <c r="G190" t="s">
        <v>63</v>
      </c>
      <c r="H190">
        <v>1</v>
      </c>
      <c r="I190">
        <v>1</v>
      </c>
      <c r="J190" t="s">
        <v>64</v>
      </c>
      <c r="K190" t="s">
        <v>65</v>
      </c>
      <c r="L190">
        <v>0.13400000000000001</v>
      </c>
      <c r="M190">
        <v>2.61</v>
      </c>
      <c r="N190">
        <v>40.6</v>
      </c>
      <c r="O190" t="s">
        <v>66</v>
      </c>
      <c r="P190" t="s">
        <v>67</v>
      </c>
      <c r="Q190">
        <v>0.92</v>
      </c>
      <c r="R190">
        <v>12.1</v>
      </c>
      <c r="S190">
        <v>649</v>
      </c>
    </row>
    <row r="191" spans="1:19">
      <c r="A191" s="1">
        <v>46101</v>
      </c>
      <c r="B191" s="16">
        <v>0.65755787037037039</v>
      </c>
      <c r="C191" t="s">
        <v>221</v>
      </c>
      <c r="D191" t="s">
        <v>180</v>
      </c>
      <c r="E191" t="s">
        <v>318</v>
      </c>
      <c r="F191">
        <v>151</v>
      </c>
      <c r="G191" t="s">
        <v>63</v>
      </c>
      <c r="H191">
        <v>1</v>
      </c>
      <c r="I191">
        <v>1</v>
      </c>
      <c r="J191" t="s">
        <v>64</v>
      </c>
      <c r="K191" t="s">
        <v>65</v>
      </c>
      <c r="L191">
        <v>9.0800000000000006E-2</v>
      </c>
      <c r="M191">
        <v>1.9</v>
      </c>
      <c r="N191">
        <v>19.3</v>
      </c>
      <c r="O191" t="s">
        <v>66</v>
      </c>
      <c r="P191" t="s">
        <v>67</v>
      </c>
      <c r="Q191">
        <v>0.436</v>
      </c>
      <c r="R191">
        <v>5.82</v>
      </c>
      <c r="S191">
        <v>244</v>
      </c>
    </row>
    <row r="192" spans="1:19">
      <c r="A192" s="1">
        <v>46101</v>
      </c>
      <c r="B192" s="16">
        <v>0.65844907407407405</v>
      </c>
      <c r="C192" t="s">
        <v>221</v>
      </c>
      <c r="D192" t="s">
        <v>194</v>
      </c>
      <c r="F192" t="s">
        <v>68</v>
      </c>
      <c r="G192" t="s">
        <v>63</v>
      </c>
      <c r="H192">
        <v>1</v>
      </c>
      <c r="I192">
        <v>1</v>
      </c>
      <c r="J192" t="s">
        <v>64</v>
      </c>
      <c r="K192" t="s">
        <v>65</v>
      </c>
      <c r="L192">
        <v>0.14599999999999999</v>
      </c>
      <c r="M192">
        <v>1.79</v>
      </c>
      <c r="N192">
        <v>16.100000000000001</v>
      </c>
      <c r="O192" t="s">
        <v>66</v>
      </c>
      <c r="P192" t="s">
        <v>67</v>
      </c>
      <c r="Q192">
        <v>7.94</v>
      </c>
      <c r="R192">
        <v>148</v>
      </c>
      <c r="S192">
        <v>5300</v>
      </c>
    </row>
    <row r="193" spans="1:19">
      <c r="A193" s="1">
        <v>46101</v>
      </c>
      <c r="B193" s="16">
        <v>0.65934027777777782</v>
      </c>
      <c r="C193" t="s">
        <v>221</v>
      </c>
      <c r="D193" t="s">
        <v>195</v>
      </c>
      <c r="F193" t="s">
        <v>69</v>
      </c>
      <c r="G193" t="s">
        <v>63</v>
      </c>
      <c r="H193">
        <v>1</v>
      </c>
      <c r="I193">
        <v>1</v>
      </c>
      <c r="J193" t="s">
        <v>64</v>
      </c>
      <c r="K193" t="s">
        <v>65</v>
      </c>
      <c r="L193">
        <v>0.14499999999999999</v>
      </c>
      <c r="M193">
        <v>1.75</v>
      </c>
      <c r="N193">
        <v>14.8</v>
      </c>
      <c r="O193" t="s">
        <v>66</v>
      </c>
      <c r="P193" t="s">
        <v>67</v>
      </c>
      <c r="Q193">
        <v>7.94</v>
      </c>
      <c r="R193">
        <v>146</v>
      </c>
      <c r="S193">
        <v>5280</v>
      </c>
    </row>
    <row r="194" spans="1:19">
      <c r="A194" s="1">
        <v>46101</v>
      </c>
      <c r="B194" s="16">
        <v>0.66023148148148147</v>
      </c>
      <c r="C194" t="s">
        <v>221</v>
      </c>
      <c r="D194" t="s">
        <v>186</v>
      </c>
      <c r="F194" t="s">
        <v>72</v>
      </c>
      <c r="G194" t="s">
        <v>63</v>
      </c>
      <c r="H194">
        <v>1</v>
      </c>
      <c r="I194">
        <v>1</v>
      </c>
      <c r="J194" t="s">
        <v>64</v>
      </c>
      <c r="K194" t="s">
        <v>65</v>
      </c>
      <c r="L194">
        <v>1.4500000000000001E-2</v>
      </c>
      <c r="M194">
        <v>0.17299999999999999</v>
      </c>
      <c r="N194">
        <v>-32.6</v>
      </c>
      <c r="O194" t="s">
        <v>66</v>
      </c>
      <c r="P194" t="s">
        <v>67</v>
      </c>
      <c r="Q194">
        <v>4.4999999999999998E-2</v>
      </c>
      <c r="R194">
        <v>0.48799999999999999</v>
      </c>
      <c r="S194">
        <v>-114</v>
      </c>
    </row>
    <row r="195" spans="1:19">
      <c r="A195" s="1">
        <v>46101</v>
      </c>
      <c r="B195" s="16">
        <v>0.66111111111111109</v>
      </c>
      <c r="C195" t="s">
        <v>221</v>
      </c>
      <c r="D195" t="s">
        <v>101</v>
      </c>
      <c r="F195">
        <v>18</v>
      </c>
      <c r="G195" t="s">
        <v>92</v>
      </c>
      <c r="H195">
        <v>1</v>
      </c>
      <c r="I195">
        <v>1</v>
      </c>
      <c r="J195" t="s">
        <v>64</v>
      </c>
      <c r="K195" t="s">
        <v>65</v>
      </c>
      <c r="L195">
        <v>0.10100000000000001</v>
      </c>
      <c r="M195">
        <v>2.04</v>
      </c>
      <c r="N195">
        <v>23.4</v>
      </c>
      <c r="O195" t="s">
        <v>66</v>
      </c>
      <c r="P195" t="s">
        <v>67</v>
      </c>
      <c r="Q195">
        <v>0.46400000000000002</v>
      </c>
      <c r="R195">
        <v>6.2</v>
      </c>
      <c r="S195">
        <v>270</v>
      </c>
    </row>
    <row r="196" spans="1:19">
      <c r="A196" s="1">
        <v>46101</v>
      </c>
      <c r="B196" s="16">
        <v>0.6620138888888889</v>
      </c>
      <c r="C196" t="s">
        <v>221</v>
      </c>
      <c r="D196" t="s">
        <v>187</v>
      </c>
      <c r="E196" t="s">
        <v>319</v>
      </c>
      <c r="F196">
        <v>154</v>
      </c>
      <c r="G196" t="s">
        <v>63</v>
      </c>
      <c r="H196">
        <v>1</v>
      </c>
      <c r="I196">
        <v>1</v>
      </c>
      <c r="J196" t="s">
        <v>64</v>
      </c>
      <c r="K196" t="s">
        <v>65</v>
      </c>
      <c r="L196">
        <v>0.20799999999999999</v>
      </c>
      <c r="M196">
        <v>4</v>
      </c>
      <c r="N196">
        <v>81.400000000000006</v>
      </c>
      <c r="O196" t="s">
        <v>66</v>
      </c>
      <c r="P196" t="s">
        <v>67</v>
      </c>
      <c r="Q196">
        <v>1.3</v>
      </c>
      <c r="R196">
        <v>16.600000000000001</v>
      </c>
      <c r="S196">
        <v>935</v>
      </c>
    </row>
    <row r="197" spans="1:19">
      <c r="A197" s="1">
        <v>46101</v>
      </c>
      <c r="B197" s="16">
        <v>0.66290509259259256</v>
      </c>
      <c r="C197" t="s">
        <v>221</v>
      </c>
      <c r="D197" t="s">
        <v>188</v>
      </c>
      <c r="E197" t="s">
        <v>324</v>
      </c>
      <c r="F197">
        <v>155</v>
      </c>
      <c r="G197" t="s">
        <v>63</v>
      </c>
      <c r="H197">
        <v>1</v>
      </c>
      <c r="I197">
        <v>1</v>
      </c>
      <c r="J197" t="s">
        <v>64</v>
      </c>
      <c r="K197" t="s">
        <v>65</v>
      </c>
      <c r="L197">
        <v>0.78200000000000003</v>
      </c>
      <c r="M197">
        <v>14.4</v>
      </c>
      <c r="N197">
        <v>368</v>
      </c>
      <c r="O197" t="s">
        <v>66</v>
      </c>
      <c r="P197" t="s">
        <v>67</v>
      </c>
      <c r="Q197">
        <v>2.89</v>
      </c>
      <c r="R197">
        <v>37.700000000000003</v>
      </c>
      <c r="S197">
        <v>2140</v>
      </c>
    </row>
    <row r="198" spans="1:19">
      <c r="A198" s="1">
        <v>46101</v>
      </c>
      <c r="B198" s="16">
        <v>0.66377314814814814</v>
      </c>
      <c r="C198" t="s">
        <v>221</v>
      </c>
      <c r="D198" t="s">
        <v>189</v>
      </c>
      <c r="E198" t="s">
        <v>320</v>
      </c>
      <c r="F198">
        <v>156</v>
      </c>
      <c r="G198" t="s">
        <v>63</v>
      </c>
      <c r="H198">
        <v>1</v>
      </c>
      <c r="I198">
        <v>1</v>
      </c>
      <c r="J198" t="s">
        <v>64</v>
      </c>
      <c r="K198" t="s">
        <v>65</v>
      </c>
      <c r="L198">
        <v>9.11E-2</v>
      </c>
      <c r="M198">
        <v>1.85</v>
      </c>
      <c r="N198">
        <v>17.8</v>
      </c>
      <c r="O198" t="s">
        <v>66</v>
      </c>
      <c r="P198" t="s">
        <v>67</v>
      </c>
      <c r="Q198">
        <v>0.39300000000000002</v>
      </c>
      <c r="R198">
        <v>5.3</v>
      </c>
      <c r="S198">
        <v>210</v>
      </c>
    </row>
    <row r="199" spans="1:19">
      <c r="A199" s="1">
        <v>46101</v>
      </c>
      <c r="B199" s="16">
        <v>0.6646643518518518</v>
      </c>
      <c r="C199" t="s">
        <v>221</v>
      </c>
      <c r="D199" t="s">
        <v>190</v>
      </c>
      <c r="E199" t="s">
        <v>321</v>
      </c>
      <c r="F199">
        <v>157</v>
      </c>
      <c r="G199" t="s">
        <v>63</v>
      </c>
      <c r="H199">
        <v>1</v>
      </c>
      <c r="I199">
        <v>1</v>
      </c>
      <c r="J199" t="s">
        <v>64</v>
      </c>
      <c r="K199" t="s">
        <v>65</v>
      </c>
      <c r="L199">
        <v>0.112</v>
      </c>
      <c r="M199">
        <v>2.2400000000000002</v>
      </c>
      <c r="N199">
        <v>29.4</v>
      </c>
      <c r="O199" t="s">
        <v>66</v>
      </c>
      <c r="P199" t="s">
        <v>67</v>
      </c>
      <c r="Q199">
        <v>0.59199999999999997</v>
      </c>
      <c r="R199">
        <v>7.88</v>
      </c>
      <c r="S199">
        <v>380</v>
      </c>
    </row>
    <row r="200" spans="1:19">
      <c r="A200" s="1">
        <v>46101</v>
      </c>
      <c r="B200" s="16">
        <v>0.66556712962962961</v>
      </c>
      <c r="C200" t="s">
        <v>221</v>
      </c>
      <c r="D200" t="s">
        <v>191</v>
      </c>
      <c r="E200" t="s">
        <v>322</v>
      </c>
      <c r="F200">
        <v>158</v>
      </c>
      <c r="G200" t="s">
        <v>63</v>
      </c>
      <c r="H200">
        <v>1</v>
      </c>
      <c r="I200">
        <v>1</v>
      </c>
      <c r="J200" t="s">
        <v>64</v>
      </c>
      <c r="K200" t="s">
        <v>65</v>
      </c>
      <c r="L200">
        <v>0.13400000000000001</v>
      </c>
      <c r="M200">
        <v>2.65</v>
      </c>
      <c r="N200">
        <v>41.7</v>
      </c>
      <c r="O200" t="s">
        <v>66</v>
      </c>
      <c r="P200" t="s">
        <v>67</v>
      </c>
      <c r="Q200">
        <v>0.89400000000000002</v>
      </c>
      <c r="R200">
        <v>11.8</v>
      </c>
      <c r="S200">
        <v>632</v>
      </c>
    </row>
    <row r="201" spans="1:19">
      <c r="A201" s="1">
        <v>46101</v>
      </c>
      <c r="B201" s="16">
        <v>0.66646990740740741</v>
      </c>
      <c r="C201" t="s">
        <v>221</v>
      </c>
      <c r="D201" t="s">
        <v>192</v>
      </c>
      <c r="E201" t="s">
        <v>323</v>
      </c>
      <c r="F201">
        <v>159</v>
      </c>
      <c r="G201" t="s">
        <v>63</v>
      </c>
      <c r="H201">
        <v>1</v>
      </c>
      <c r="I201">
        <v>1</v>
      </c>
      <c r="J201" t="s">
        <v>64</v>
      </c>
      <c r="K201" t="s">
        <v>65</v>
      </c>
      <c r="L201">
        <v>0.54600000000000004</v>
      </c>
      <c r="M201">
        <v>10.1</v>
      </c>
      <c r="N201">
        <v>253</v>
      </c>
      <c r="O201" t="s">
        <v>66</v>
      </c>
      <c r="P201" t="s">
        <v>67</v>
      </c>
      <c r="Q201">
        <v>2.62</v>
      </c>
      <c r="R201">
        <v>34.200000000000003</v>
      </c>
      <c r="S201">
        <v>1940</v>
      </c>
    </row>
    <row r="202" spans="1:19">
      <c r="A202" s="1">
        <v>46101</v>
      </c>
      <c r="B202" s="16">
        <v>0.66736111111111107</v>
      </c>
      <c r="C202" t="s">
        <v>221</v>
      </c>
      <c r="D202" t="s">
        <v>227</v>
      </c>
      <c r="F202">
        <v>181</v>
      </c>
      <c r="G202" t="s">
        <v>63</v>
      </c>
      <c r="H202">
        <v>1</v>
      </c>
      <c r="I202">
        <v>1</v>
      </c>
      <c r="J202" t="s">
        <v>64</v>
      </c>
      <c r="K202" t="s">
        <v>65</v>
      </c>
      <c r="L202">
        <v>0.253</v>
      </c>
      <c r="M202">
        <v>4.5</v>
      </c>
      <c r="N202">
        <v>96</v>
      </c>
      <c r="O202" t="s">
        <v>66</v>
      </c>
      <c r="P202" t="s">
        <v>67</v>
      </c>
      <c r="Q202">
        <v>1.6</v>
      </c>
      <c r="R202">
        <v>20.9</v>
      </c>
      <c r="S202">
        <v>1190</v>
      </c>
    </row>
    <row r="203" spans="1:19">
      <c r="A203" s="1">
        <v>46101</v>
      </c>
      <c r="B203" s="16">
        <v>0.66826388888888888</v>
      </c>
      <c r="C203" t="s">
        <v>221</v>
      </c>
      <c r="D203" t="s">
        <v>228</v>
      </c>
      <c r="F203">
        <v>182</v>
      </c>
      <c r="G203" t="s">
        <v>63</v>
      </c>
      <c r="H203">
        <v>1</v>
      </c>
      <c r="I203">
        <v>1</v>
      </c>
      <c r="J203" t="s">
        <v>64</v>
      </c>
      <c r="K203" t="s">
        <v>65</v>
      </c>
      <c r="L203">
        <v>0.19600000000000001</v>
      </c>
      <c r="M203">
        <v>3.76</v>
      </c>
      <c r="N203">
        <v>74.400000000000006</v>
      </c>
      <c r="O203" t="s">
        <v>66</v>
      </c>
      <c r="P203" t="s">
        <v>67</v>
      </c>
      <c r="Q203">
        <v>1.9</v>
      </c>
      <c r="R203">
        <v>24.8</v>
      </c>
      <c r="S203">
        <v>1420</v>
      </c>
    </row>
    <row r="204" spans="1:19">
      <c r="A204" s="1">
        <v>46101</v>
      </c>
      <c r="B204" s="16">
        <v>0.66916666666666669</v>
      </c>
      <c r="C204" t="s">
        <v>221</v>
      </c>
      <c r="D204" t="s">
        <v>229</v>
      </c>
      <c r="F204">
        <v>183</v>
      </c>
      <c r="G204" t="s">
        <v>63</v>
      </c>
      <c r="H204">
        <v>1</v>
      </c>
      <c r="I204">
        <v>1</v>
      </c>
      <c r="J204" t="s">
        <v>64</v>
      </c>
      <c r="K204" t="s">
        <v>65</v>
      </c>
      <c r="L204">
        <v>0.22900000000000001</v>
      </c>
      <c r="M204">
        <v>4.29</v>
      </c>
      <c r="N204">
        <v>89.8</v>
      </c>
      <c r="O204" t="s">
        <v>66</v>
      </c>
      <c r="P204" t="s">
        <v>67</v>
      </c>
      <c r="Q204">
        <v>0.96599999999999997</v>
      </c>
      <c r="R204">
        <v>12.7</v>
      </c>
      <c r="S204">
        <v>691</v>
      </c>
    </row>
    <row r="205" spans="1:19">
      <c r="A205" s="1">
        <v>46101</v>
      </c>
      <c r="B205" s="16">
        <v>0.67005787037037035</v>
      </c>
      <c r="C205" t="s">
        <v>221</v>
      </c>
      <c r="D205" t="s">
        <v>230</v>
      </c>
      <c r="F205">
        <v>184</v>
      </c>
      <c r="G205" t="s">
        <v>63</v>
      </c>
      <c r="H205">
        <v>1</v>
      </c>
      <c r="I205">
        <v>1</v>
      </c>
      <c r="J205" t="s">
        <v>64</v>
      </c>
      <c r="K205" t="s">
        <v>65</v>
      </c>
      <c r="L205">
        <v>0.29599999999999999</v>
      </c>
      <c r="M205">
        <v>5.48</v>
      </c>
      <c r="N205">
        <v>124</v>
      </c>
      <c r="O205" t="s">
        <v>66</v>
      </c>
      <c r="P205" t="s">
        <v>67</v>
      </c>
      <c r="Q205">
        <v>1.63</v>
      </c>
      <c r="R205">
        <v>21.3</v>
      </c>
      <c r="S205">
        <v>1220</v>
      </c>
    </row>
    <row r="206" spans="1:19">
      <c r="A206" s="1">
        <v>46101</v>
      </c>
      <c r="B206" s="16">
        <v>0.67096064814814815</v>
      </c>
      <c r="C206" t="s">
        <v>221</v>
      </c>
      <c r="D206" t="s">
        <v>231</v>
      </c>
      <c r="F206">
        <v>185</v>
      </c>
      <c r="G206" t="s">
        <v>63</v>
      </c>
      <c r="H206">
        <v>1</v>
      </c>
      <c r="I206">
        <v>1</v>
      </c>
      <c r="J206" t="s">
        <v>64</v>
      </c>
      <c r="K206" t="s">
        <v>65</v>
      </c>
      <c r="L206">
        <v>5.7799999999999997E-2</v>
      </c>
      <c r="M206">
        <v>1.28</v>
      </c>
      <c r="N206">
        <v>0.86399999999999999</v>
      </c>
      <c r="O206" t="s">
        <v>66</v>
      </c>
      <c r="P206" t="s">
        <v>67</v>
      </c>
      <c r="Q206">
        <v>1.91</v>
      </c>
      <c r="R206">
        <v>25</v>
      </c>
      <c r="S206">
        <v>1430</v>
      </c>
    </row>
    <row r="207" spans="1:19">
      <c r="A207" s="1">
        <v>46101</v>
      </c>
      <c r="B207" s="16">
        <v>0.67186342592592596</v>
      </c>
      <c r="C207" t="s">
        <v>221</v>
      </c>
      <c r="D207" t="s">
        <v>232</v>
      </c>
      <c r="F207">
        <v>186</v>
      </c>
      <c r="G207" t="s">
        <v>63</v>
      </c>
      <c r="H207">
        <v>1</v>
      </c>
      <c r="I207">
        <v>1</v>
      </c>
      <c r="J207" t="s">
        <v>64</v>
      </c>
      <c r="K207" t="s">
        <v>65</v>
      </c>
      <c r="L207">
        <v>0.27500000000000002</v>
      </c>
      <c r="M207">
        <v>5.18</v>
      </c>
      <c r="N207">
        <v>116</v>
      </c>
      <c r="O207" t="s">
        <v>66</v>
      </c>
      <c r="P207" t="s">
        <v>67</v>
      </c>
      <c r="Q207">
        <v>1.22</v>
      </c>
      <c r="R207">
        <v>16.100000000000001</v>
      </c>
      <c r="S207">
        <v>898</v>
      </c>
    </row>
    <row r="208" spans="1:19">
      <c r="A208" s="1">
        <v>46101</v>
      </c>
      <c r="B208" s="16">
        <v>0.67274305555555558</v>
      </c>
      <c r="C208" t="s">
        <v>221</v>
      </c>
      <c r="D208" t="s">
        <v>101</v>
      </c>
      <c r="F208">
        <v>18</v>
      </c>
      <c r="G208" t="s">
        <v>92</v>
      </c>
      <c r="H208">
        <v>1</v>
      </c>
      <c r="I208">
        <v>1</v>
      </c>
      <c r="J208" t="s">
        <v>64</v>
      </c>
      <c r="K208" t="s">
        <v>65</v>
      </c>
      <c r="L208">
        <v>0.10199999999999999</v>
      </c>
      <c r="M208">
        <v>2.0299999999999998</v>
      </c>
      <c r="N208">
        <v>23.3</v>
      </c>
      <c r="O208" t="s">
        <v>66</v>
      </c>
      <c r="P208" t="s">
        <v>67</v>
      </c>
      <c r="Q208">
        <v>0.47</v>
      </c>
      <c r="R208">
        <v>6.3</v>
      </c>
      <c r="S208">
        <v>276</v>
      </c>
    </row>
    <row r="209" spans="1:19">
      <c r="A209" s="1">
        <v>46101</v>
      </c>
      <c r="B209" s="16">
        <v>0.67364583333333339</v>
      </c>
      <c r="C209" t="s">
        <v>221</v>
      </c>
      <c r="D209" t="s">
        <v>233</v>
      </c>
      <c r="F209">
        <v>187</v>
      </c>
      <c r="G209" t="s">
        <v>63</v>
      </c>
      <c r="H209">
        <v>1</v>
      </c>
      <c r="I209">
        <v>1</v>
      </c>
      <c r="J209" t="s">
        <v>64</v>
      </c>
      <c r="K209" t="s">
        <v>65</v>
      </c>
      <c r="L209">
        <v>0.16</v>
      </c>
      <c r="M209">
        <v>3.14</v>
      </c>
      <c r="N209">
        <v>56.1</v>
      </c>
      <c r="O209" t="s">
        <v>66</v>
      </c>
      <c r="P209" t="s">
        <v>67</v>
      </c>
      <c r="Q209">
        <v>1.48</v>
      </c>
      <c r="R209">
        <v>19.399999999999999</v>
      </c>
      <c r="S209">
        <v>1100</v>
      </c>
    </row>
    <row r="210" spans="1:19">
      <c r="A210" s="1">
        <v>46101</v>
      </c>
      <c r="B210" s="16">
        <v>0.67454861111111108</v>
      </c>
      <c r="C210" t="s">
        <v>221</v>
      </c>
      <c r="D210" t="s">
        <v>234</v>
      </c>
      <c r="F210">
        <v>188</v>
      </c>
      <c r="G210" t="s">
        <v>63</v>
      </c>
      <c r="H210">
        <v>1</v>
      </c>
      <c r="I210">
        <v>1</v>
      </c>
      <c r="J210" t="s">
        <v>64</v>
      </c>
      <c r="K210" t="s">
        <v>65</v>
      </c>
      <c r="L210">
        <v>0.11799999999999999</v>
      </c>
      <c r="M210">
        <v>2.33</v>
      </c>
      <c r="N210">
        <v>32.1</v>
      </c>
      <c r="O210" t="s">
        <v>66</v>
      </c>
      <c r="P210" t="s">
        <v>67</v>
      </c>
      <c r="Q210">
        <v>1.84</v>
      </c>
      <c r="R210">
        <v>24.2</v>
      </c>
      <c r="S210">
        <v>1390</v>
      </c>
    </row>
    <row r="211" spans="1:19">
      <c r="A211" s="1">
        <v>46101</v>
      </c>
      <c r="B211" s="16">
        <v>0.67543981481481485</v>
      </c>
      <c r="C211" t="s">
        <v>221</v>
      </c>
      <c r="D211" t="s">
        <v>235</v>
      </c>
      <c r="F211">
        <v>189</v>
      </c>
      <c r="G211" t="s">
        <v>63</v>
      </c>
      <c r="H211">
        <v>1</v>
      </c>
      <c r="I211">
        <v>1</v>
      </c>
      <c r="J211" t="s">
        <v>64</v>
      </c>
      <c r="K211" t="s">
        <v>65</v>
      </c>
      <c r="L211">
        <v>6.25E-2</v>
      </c>
      <c r="M211">
        <v>1.34</v>
      </c>
      <c r="N211">
        <v>2.62</v>
      </c>
      <c r="O211" t="s">
        <v>66</v>
      </c>
      <c r="P211" t="s">
        <v>67</v>
      </c>
      <c r="Q211">
        <v>1.35</v>
      </c>
      <c r="R211">
        <v>17.7</v>
      </c>
      <c r="S211">
        <v>1000</v>
      </c>
    </row>
    <row r="212" spans="1:19">
      <c r="A212" s="1">
        <v>46101</v>
      </c>
      <c r="B212" s="16">
        <v>0.67634259259259255</v>
      </c>
      <c r="C212" t="s">
        <v>221</v>
      </c>
      <c r="D212" t="s">
        <v>236</v>
      </c>
      <c r="F212">
        <v>190</v>
      </c>
      <c r="G212" t="s">
        <v>63</v>
      </c>
      <c r="H212">
        <v>1</v>
      </c>
      <c r="I212">
        <v>1</v>
      </c>
      <c r="J212" t="s">
        <v>64</v>
      </c>
      <c r="K212" t="s">
        <v>65</v>
      </c>
      <c r="L212">
        <v>7.6200000000000004E-2</v>
      </c>
      <c r="M212">
        <v>1.57</v>
      </c>
      <c r="N212">
        <v>9.4499999999999993</v>
      </c>
      <c r="O212" t="s">
        <v>66</v>
      </c>
      <c r="P212" t="s">
        <v>67</v>
      </c>
      <c r="Q212">
        <v>1.41</v>
      </c>
      <c r="R212">
        <v>18.399999999999999</v>
      </c>
      <c r="S212">
        <v>1040</v>
      </c>
    </row>
    <row r="213" spans="1:19">
      <c r="A213" s="1">
        <v>46101</v>
      </c>
      <c r="B213" s="16">
        <v>0.67723379629629632</v>
      </c>
      <c r="C213" t="s">
        <v>221</v>
      </c>
      <c r="D213" t="s">
        <v>237</v>
      </c>
      <c r="F213">
        <v>191</v>
      </c>
      <c r="G213" t="s">
        <v>63</v>
      </c>
      <c r="H213">
        <v>1</v>
      </c>
      <c r="I213">
        <v>1</v>
      </c>
      <c r="J213" t="s">
        <v>64</v>
      </c>
      <c r="K213" t="s">
        <v>65</v>
      </c>
      <c r="L213">
        <v>0.156</v>
      </c>
      <c r="M213">
        <v>2.91</v>
      </c>
      <c r="N213">
        <v>49.4</v>
      </c>
      <c r="O213" t="s">
        <v>66</v>
      </c>
      <c r="P213" t="s">
        <v>67</v>
      </c>
      <c r="Q213">
        <v>1.43</v>
      </c>
      <c r="R213">
        <v>18.8</v>
      </c>
      <c r="S213">
        <v>1070</v>
      </c>
    </row>
    <row r="214" spans="1:19">
      <c r="A214" s="1">
        <v>46101</v>
      </c>
      <c r="B214" s="16">
        <v>0.67813657407407413</v>
      </c>
      <c r="C214" t="s">
        <v>221</v>
      </c>
      <c r="D214" t="s">
        <v>238</v>
      </c>
      <c r="F214">
        <v>192</v>
      </c>
      <c r="G214" t="s">
        <v>63</v>
      </c>
      <c r="H214">
        <v>1</v>
      </c>
      <c r="I214">
        <v>1</v>
      </c>
      <c r="J214" t="s">
        <v>64</v>
      </c>
      <c r="K214" t="s">
        <v>65</v>
      </c>
      <c r="L214">
        <v>6.5000000000000002E-2</v>
      </c>
      <c r="M214">
        <v>1.38</v>
      </c>
      <c r="N214">
        <v>3.89</v>
      </c>
      <c r="O214" t="s">
        <v>66</v>
      </c>
      <c r="P214" t="s">
        <v>67</v>
      </c>
      <c r="Q214">
        <v>2.39</v>
      </c>
      <c r="R214">
        <v>31.2</v>
      </c>
      <c r="S214">
        <v>1780</v>
      </c>
    </row>
    <row r="215" spans="1:19">
      <c r="A215" s="1">
        <v>46101</v>
      </c>
      <c r="B215" s="16">
        <v>0.67901620370370375</v>
      </c>
      <c r="C215" t="s">
        <v>221</v>
      </c>
      <c r="D215" t="s">
        <v>239</v>
      </c>
      <c r="F215">
        <v>58</v>
      </c>
      <c r="G215" t="s">
        <v>63</v>
      </c>
      <c r="H215">
        <v>1</v>
      </c>
      <c r="I215">
        <v>1</v>
      </c>
      <c r="J215" t="s">
        <v>64</v>
      </c>
      <c r="K215" t="s">
        <v>65</v>
      </c>
      <c r="L215">
        <v>0.158</v>
      </c>
      <c r="M215">
        <v>3.22</v>
      </c>
      <c r="N215">
        <v>58.6</v>
      </c>
      <c r="O215" t="s">
        <v>66</v>
      </c>
      <c r="P215" t="s">
        <v>67</v>
      </c>
      <c r="Q215">
        <v>0.91900000000000004</v>
      </c>
      <c r="R215">
        <v>12.1</v>
      </c>
      <c r="S215">
        <v>648</v>
      </c>
    </row>
    <row r="216" spans="1:19">
      <c r="A216" s="1">
        <v>46101</v>
      </c>
      <c r="B216" s="16">
        <v>0.6799074074074074</v>
      </c>
      <c r="C216" t="s">
        <v>221</v>
      </c>
      <c r="D216" t="s">
        <v>240</v>
      </c>
      <c r="F216">
        <v>82</v>
      </c>
      <c r="G216" t="s">
        <v>63</v>
      </c>
      <c r="H216">
        <v>1</v>
      </c>
      <c r="I216">
        <v>1</v>
      </c>
      <c r="J216" t="s">
        <v>64</v>
      </c>
      <c r="K216" t="s">
        <v>65</v>
      </c>
      <c r="L216">
        <v>7.3700000000000002E-2</v>
      </c>
      <c r="M216">
        <v>1.67</v>
      </c>
      <c r="N216">
        <v>12.4</v>
      </c>
      <c r="O216" t="s">
        <v>66</v>
      </c>
      <c r="P216" t="s">
        <v>67</v>
      </c>
      <c r="Q216">
        <v>4.5</v>
      </c>
      <c r="R216">
        <v>60</v>
      </c>
      <c r="S216">
        <v>3190</v>
      </c>
    </row>
    <row r="217" spans="1:19">
      <c r="A217" s="1">
        <v>46101</v>
      </c>
      <c r="B217" s="16">
        <v>0.68079861111111106</v>
      </c>
      <c r="C217" t="s">
        <v>221</v>
      </c>
      <c r="D217" t="s">
        <v>241</v>
      </c>
      <c r="E217" t="s">
        <v>279</v>
      </c>
      <c r="F217">
        <v>193</v>
      </c>
      <c r="G217" t="s">
        <v>63</v>
      </c>
      <c r="H217">
        <v>1</v>
      </c>
      <c r="I217">
        <v>1</v>
      </c>
      <c r="J217" t="s">
        <v>64</v>
      </c>
      <c r="K217" t="s">
        <v>65</v>
      </c>
      <c r="L217">
        <v>0.28999999999999998</v>
      </c>
      <c r="M217">
        <v>5.47</v>
      </c>
      <c r="N217">
        <v>124</v>
      </c>
      <c r="O217" t="s">
        <v>66</v>
      </c>
      <c r="P217" t="s">
        <v>67</v>
      </c>
      <c r="Q217">
        <v>0.93200000000000005</v>
      </c>
      <c r="R217">
        <v>12.4</v>
      </c>
      <c r="S217">
        <v>668</v>
      </c>
    </row>
    <row r="218" spans="1:19">
      <c r="A218" s="1">
        <v>46101</v>
      </c>
      <c r="B218" s="16">
        <v>0.68170138888888887</v>
      </c>
      <c r="C218" t="s">
        <v>221</v>
      </c>
      <c r="D218" t="s">
        <v>242</v>
      </c>
      <c r="E218" t="s">
        <v>291</v>
      </c>
      <c r="F218">
        <v>194</v>
      </c>
      <c r="G218" t="s">
        <v>63</v>
      </c>
      <c r="H218">
        <v>1</v>
      </c>
      <c r="I218">
        <v>1</v>
      </c>
      <c r="J218" t="s">
        <v>64</v>
      </c>
      <c r="K218" t="s">
        <v>65</v>
      </c>
      <c r="L218">
        <v>0.22900000000000001</v>
      </c>
      <c r="M218">
        <v>4.38</v>
      </c>
      <c r="N218">
        <v>92.6</v>
      </c>
      <c r="O218" t="s">
        <v>66</v>
      </c>
      <c r="P218" t="s">
        <v>67</v>
      </c>
      <c r="Q218">
        <v>1.08</v>
      </c>
      <c r="R218">
        <v>14.1</v>
      </c>
      <c r="S218">
        <v>777</v>
      </c>
    </row>
    <row r="219" spans="1:19">
      <c r="A219" s="1">
        <v>46101</v>
      </c>
      <c r="B219" s="16">
        <v>0.68259259259259264</v>
      </c>
      <c r="C219" t="s">
        <v>221</v>
      </c>
      <c r="D219" t="s">
        <v>243</v>
      </c>
      <c r="E219" t="s">
        <v>285</v>
      </c>
      <c r="F219">
        <v>195</v>
      </c>
      <c r="G219" t="s">
        <v>63</v>
      </c>
      <c r="H219">
        <v>1</v>
      </c>
      <c r="I219">
        <v>1</v>
      </c>
      <c r="J219" t="s">
        <v>64</v>
      </c>
      <c r="K219" t="s">
        <v>65</v>
      </c>
      <c r="L219">
        <v>0.25700000000000001</v>
      </c>
      <c r="M219">
        <v>4.8600000000000003</v>
      </c>
      <c r="N219">
        <v>106</v>
      </c>
      <c r="O219" t="s">
        <v>66</v>
      </c>
      <c r="P219" t="s">
        <v>67</v>
      </c>
      <c r="Q219">
        <v>0.89</v>
      </c>
      <c r="R219">
        <v>11.7</v>
      </c>
      <c r="S219">
        <v>628</v>
      </c>
    </row>
    <row r="220" spans="1:19">
      <c r="A220" s="1">
        <v>46101</v>
      </c>
      <c r="B220" s="16">
        <v>0.68349537037037034</v>
      </c>
      <c r="C220" t="s">
        <v>221</v>
      </c>
      <c r="D220" t="s">
        <v>244</v>
      </c>
      <c r="E220" t="s">
        <v>316</v>
      </c>
      <c r="F220">
        <v>196</v>
      </c>
      <c r="G220" t="s">
        <v>63</v>
      </c>
      <c r="H220">
        <v>1</v>
      </c>
      <c r="I220">
        <v>1</v>
      </c>
      <c r="J220" t="s">
        <v>64</v>
      </c>
      <c r="K220" t="s">
        <v>65</v>
      </c>
      <c r="L220">
        <v>0.251</v>
      </c>
      <c r="M220">
        <v>4.79</v>
      </c>
      <c r="N220">
        <v>104</v>
      </c>
      <c r="O220" t="s">
        <v>66</v>
      </c>
      <c r="P220" t="s">
        <v>67</v>
      </c>
      <c r="Q220">
        <v>0.81399999999999995</v>
      </c>
      <c r="R220">
        <v>10.8</v>
      </c>
      <c r="S220">
        <v>567</v>
      </c>
    </row>
    <row r="221" spans="1:19">
      <c r="A221" s="1">
        <v>46101</v>
      </c>
      <c r="B221" s="16">
        <v>0.68439814814814814</v>
      </c>
      <c r="C221" t="s">
        <v>221</v>
      </c>
      <c r="D221" t="s">
        <v>245</v>
      </c>
      <c r="E221" t="s">
        <v>324</v>
      </c>
      <c r="F221">
        <v>197</v>
      </c>
      <c r="G221" t="s">
        <v>63</v>
      </c>
      <c r="H221">
        <v>1</v>
      </c>
      <c r="I221">
        <v>1</v>
      </c>
      <c r="J221" t="s">
        <v>64</v>
      </c>
      <c r="K221" t="s">
        <v>65</v>
      </c>
      <c r="L221">
        <v>0.2</v>
      </c>
      <c r="M221">
        <v>3.85</v>
      </c>
      <c r="N221">
        <v>76.900000000000006</v>
      </c>
      <c r="O221" t="s">
        <v>66</v>
      </c>
      <c r="P221" t="s">
        <v>67</v>
      </c>
      <c r="Q221">
        <v>0.76500000000000001</v>
      </c>
      <c r="R221">
        <v>10.1</v>
      </c>
      <c r="S221">
        <v>525</v>
      </c>
    </row>
    <row r="222" spans="1:19">
      <c r="A222" s="1">
        <v>46101</v>
      </c>
      <c r="B222" s="16">
        <v>0.6852893518518518</v>
      </c>
      <c r="C222" t="s">
        <v>221</v>
      </c>
      <c r="D222" t="s">
        <v>246</v>
      </c>
      <c r="E222" t="s">
        <v>323</v>
      </c>
      <c r="F222">
        <v>198</v>
      </c>
      <c r="G222" t="s">
        <v>63</v>
      </c>
      <c r="H222">
        <v>1</v>
      </c>
      <c r="I222">
        <v>1</v>
      </c>
      <c r="J222" t="s">
        <v>64</v>
      </c>
      <c r="K222" t="s">
        <v>65</v>
      </c>
      <c r="L222">
        <v>0.312</v>
      </c>
      <c r="M222">
        <v>5.43</v>
      </c>
      <c r="N222">
        <v>123</v>
      </c>
      <c r="O222" t="s">
        <v>66</v>
      </c>
      <c r="P222" t="s">
        <v>67</v>
      </c>
      <c r="Q222">
        <v>1.41</v>
      </c>
      <c r="R222">
        <v>18.399999999999999</v>
      </c>
      <c r="S222">
        <v>1040</v>
      </c>
    </row>
    <row r="223" spans="1:19">
      <c r="A223" s="1">
        <v>46101</v>
      </c>
      <c r="B223" s="16">
        <v>0.68618055555555557</v>
      </c>
      <c r="C223" t="s">
        <v>221</v>
      </c>
      <c r="D223" t="s">
        <v>247</v>
      </c>
      <c r="F223">
        <v>145</v>
      </c>
      <c r="G223" t="s">
        <v>63</v>
      </c>
      <c r="H223">
        <v>1</v>
      </c>
      <c r="I223">
        <v>1</v>
      </c>
      <c r="J223" t="s">
        <v>64</v>
      </c>
      <c r="K223" t="s">
        <v>65</v>
      </c>
      <c r="L223">
        <v>0.20200000000000001</v>
      </c>
      <c r="M223">
        <v>3.92</v>
      </c>
      <c r="N223">
        <v>79.2</v>
      </c>
      <c r="O223" t="s">
        <v>66</v>
      </c>
      <c r="P223" t="s">
        <v>67</v>
      </c>
      <c r="Q223">
        <v>0.93799999999999994</v>
      </c>
      <c r="R223">
        <v>12.4</v>
      </c>
      <c r="S223">
        <v>671</v>
      </c>
    </row>
    <row r="224" spans="1:19">
      <c r="A224" s="1">
        <v>46101</v>
      </c>
      <c r="B224" s="16">
        <v>0.68708333333333338</v>
      </c>
      <c r="C224" t="s">
        <v>221</v>
      </c>
      <c r="D224" t="s">
        <v>248</v>
      </c>
      <c r="F224">
        <v>181</v>
      </c>
      <c r="G224" t="s">
        <v>63</v>
      </c>
      <c r="H224">
        <v>1</v>
      </c>
      <c r="I224">
        <v>1</v>
      </c>
      <c r="J224" t="s">
        <v>64</v>
      </c>
      <c r="K224" t="s">
        <v>65</v>
      </c>
      <c r="L224">
        <v>0.27500000000000002</v>
      </c>
      <c r="M224">
        <v>5.08</v>
      </c>
      <c r="N224">
        <v>113</v>
      </c>
      <c r="O224" t="s">
        <v>66</v>
      </c>
      <c r="P224" t="s">
        <v>67</v>
      </c>
      <c r="Q224">
        <v>1.56</v>
      </c>
      <c r="R224">
        <v>20.399999999999999</v>
      </c>
      <c r="S224">
        <v>1160</v>
      </c>
    </row>
    <row r="225" spans="1:19">
      <c r="A225" s="1">
        <v>46101</v>
      </c>
      <c r="B225" s="16">
        <v>0.68797453703703704</v>
      </c>
      <c r="C225" t="s">
        <v>221</v>
      </c>
      <c r="D225" t="s">
        <v>208</v>
      </c>
      <c r="F225">
        <v>1</v>
      </c>
      <c r="G225" t="s">
        <v>92</v>
      </c>
      <c r="H225">
        <v>1</v>
      </c>
      <c r="I225">
        <v>1</v>
      </c>
      <c r="J225" t="s">
        <v>64</v>
      </c>
      <c r="K225" t="s">
        <v>65</v>
      </c>
      <c r="L225">
        <v>0.34699999999999998</v>
      </c>
      <c r="M225">
        <v>6.38</v>
      </c>
      <c r="N225">
        <v>150</v>
      </c>
      <c r="O225" t="s">
        <v>66</v>
      </c>
      <c r="P225" t="s">
        <v>67</v>
      </c>
      <c r="Q225">
        <v>1.87</v>
      </c>
      <c r="R225">
        <v>24.5</v>
      </c>
      <c r="S225">
        <v>1400</v>
      </c>
    </row>
    <row r="226" spans="1:19">
      <c r="A226" s="1">
        <v>46101</v>
      </c>
      <c r="B226" s="16">
        <v>0.68887731481481485</v>
      </c>
      <c r="C226" t="s">
        <v>221</v>
      </c>
      <c r="D226" t="s">
        <v>209</v>
      </c>
      <c r="F226">
        <v>3</v>
      </c>
      <c r="G226" t="s">
        <v>92</v>
      </c>
      <c r="H226">
        <v>1</v>
      </c>
      <c r="I226">
        <v>1</v>
      </c>
      <c r="J226" t="s">
        <v>64</v>
      </c>
      <c r="K226" t="s">
        <v>65</v>
      </c>
      <c r="L226">
        <v>0.248</v>
      </c>
      <c r="M226">
        <v>4.7</v>
      </c>
      <c r="N226">
        <v>102</v>
      </c>
      <c r="O226" t="s">
        <v>66</v>
      </c>
      <c r="P226" t="s">
        <v>67</v>
      </c>
      <c r="Q226">
        <v>1.39</v>
      </c>
      <c r="R226">
        <v>18.2</v>
      </c>
      <c r="S226">
        <v>1030</v>
      </c>
    </row>
    <row r="227" spans="1:19">
      <c r="A227" s="1">
        <v>46101</v>
      </c>
      <c r="B227" s="16">
        <v>0.68975694444444446</v>
      </c>
      <c r="C227" t="s">
        <v>221</v>
      </c>
      <c r="D227" t="s">
        <v>210</v>
      </c>
      <c r="F227">
        <v>5</v>
      </c>
      <c r="G227" t="s">
        <v>92</v>
      </c>
      <c r="H227">
        <v>1</v>
      </c>
      <c r="I227">
        <v>1</v>
      </c>
      <c r="J227" t="s">
        <v>64</v>
      </c>
      <c r="K227" t="s">
        <v>65</v>
      </c>
      <c r="L227">
        <v>0.14799999999999999</v>
      </c>
      <c r="M227">
        <v>2.84</v>
      </c>
      <c r="N227">
        <v>47.2</v>
      </c>
      <c r="O227" t="s">
        <v>66</v>
      </c>
      <c r="P227" t="s">
        <v>67</v>
      </c>
      <c r="Q227">
        <v>0.73499999999999999</v>
      </c>
      <c r="R227">
        <v>9.7200000000000006</v>
      </c>
      <c r="S227">
        <v>499</v>
      </c>
    </row>
    <row r="228" spans="1:19">
      <c r="A228" s="1">
        <v>46101</v>
      </c>
      <c r="B228" s="16">
        <v>0.69064814814814812</v>
      </c>
      <c r="C228" t="s">
        <v>221</v>
      </c>
      <c r="D228" t="s">
        <v>101</v>
      </c>
      <c r="F228">
        <v>7</v>
      </c>
      <c r="G228" t="s">
        <v>92</v>
      </c>
      <c r="H228">
        <v>1</v>
      </c>
      <c r="I228">
        <v>1</v>
      </c>
      <c r="J228" t="s">
        <v>64</v>
      </c>
      <c r="K228" t="s">
        <v>65</v>
      </c>
      <c r="L228">
        <v>0.104</v>
      </c>
      <c r="M228">
        <v>2.06</v>
      </c>
      <c r="N228">
        <v>24.2</v>
      </c>
      <c r="O228" t="s">
        <v>66</v>
      </c>
      <c r="P228" t="s">
        <v>67</v>
      </c>
      <c r="Q228">
        <v>0.45800000000000002</v>
      </c>
      <c r="R228">
        <v>6.17</v>
      </c>
      <c r="S228">
        <v>267</v>
      </c>
    </row>
    <row r="229" spans="1:19">
      <c r="A229" s="1">
        <v>46101</v>
      </c>
      <c r="B229" s="16">
        <v>0.69153935185185189</v>
      </c>
      <c r="C229" t="s">
        <v>221</v>
      </c>
      <c r="D229" t="s">
        <v>211</v>
      </c>
      <c r="F229">
        <v>9</v>
      </c>
      <c r="G229" t="s">
        <v>92</v>
      </c>
      <c r="H229">
        <v>1</v>
      </c>
      <c r="I229">
        <v>1</v>
      </c>
      <c r="J229" t="s">
        <v>64</v>
      </c>
      <c r="K229" t="s">
        <v>65</v>
      </c>
      <c r="L229">
        <v>7.5999999999999998E-2</v>
      </c>
      <c r="M229">
        <v>1.57</v>
      </c>
      <c r="N229">
        <v>9.6199999999999992</v>
      </c>
      <c r="O229" t="s">
        <v>66</v>
      </c>
      <c r="P229" t="s">
        <v>67</v>
      </c>
      <c r="Q229">
        <v>0.29099999999999998</v>
      </c>
      <c r="R229">
        <v>3.34</v>
      </c>
      <c r="S229">
        <v>79.2</v>
      </c>
    </row>
    <row r="230" spans="1:19">
      <c r="A230" s="1">
        <v>46101</v>
      </c>
      <c r="B230" s="16">
        <v>0.69241898148148151</v>
      </c>
      <c r="C230" t="s">
        <v>221</v>
      </c>
      <c r="D230" t="s">
        <v>212</v>
      </c>
      <c r="F230">
        <v>11</v>
      </c>
      <c r="G230" t="s">
        <v>92</v>
      </c>
      <c r="H230">
        <v>1</v>
      </c>
      <c r="I230">
        <v>1</v>
      </c>
      <c r="J230" t="s">
        <v>64</v>
      </c>
      <c r="K230" t="s">
        <v>65</v>
      </c>
      <c r="L230">
        <v>6.5799999999999997E-2</v>
      </c>
      <c r="M230">
        <v>1.37</v>
      </c>
      <c r="N230">
        <v>3.6</v>
      </c>
      <c r="O230" t="s">
        <v>66</v>
      </c>
      <c r="P230" t="s">
        <v>67</v>
      </c>
      <c r="Q230">
        <v>0.23</v>
      </c>
      <c r="R230">
        <v>3.17</v>
      </c>
      <c r="S230">
        <v>67.7</v>
      </c>
    </row>
    <row r="231" spans="1:19">
      <c r="A231" s="1">
        <v>46101</v>
      </c>
      <c r="B231" s="16">
        <v>0.69329861111111113</v>
      </c>
      <c r="C231" t="s">
        <v>221</v>
      </c>
      <c r="D231" t="s">
        <v>213</v>
      </c>
      <c r="F231">
        <v>13</v>
      </c>
      <c r="G231" t="s">
        <v>92</v>
      </c>
      <c r="H231">
        <v>1</v>
      </c>
      <c r="I231">
        <v>1</v>
      </c>
      <c r="J231" t="s">
        <v>64</v>
      </c>
      <c r="K231" t="s">
        <v>65</v>
      </c>
      <c r="L231">
        <v>6.2899999999999998E-2</v>
      </c>
      <c r="M231">
        <v>1.07</v>
      </c>
      <c r="N231">
        <v>-5.54</v>
      </c>
      <c r="O231" t="s">
        <v>66</v>
      </c>
      <c r="P231" t="s">
        <v>67</v>
      </c>
      <c r="Q231">
        <v>0.19</v>
      </c>
      <c r="R231">
        <v>2.44</v>
      </c>
      <c r="S231">
        <v>18.600000000000001</v>
      </c>
    </row>
    <row r="232" spans="1:19">
      <c r="A232" s="1">
        <v>46101</v>
      </c>
      <c r="B232" s="16">
        <v>0.69417824074074075</v>
      </c>
      <c r="C232" t="s">
        <v>221</v>
      </c>
      <c r="D232" t="s">
        <v>194</v>
      </c>
      <c r="F232" t="s">
        <v>68</v>
      </c>
      <c r="G232" t="s">
        <v>63</v>
      </c>
      <c r="H232">
        <v>1</v>
      </c>
      <c r="I232">
        <v>1</v>
      </c>
      <c r="J232" t="s">
        <v>64</v>
      </c>
      <c r="K232" t="s">
        <v>65</v>
      </c>
      <c r="L232">
        <v>0.156</v>
      </c>
      <c r="M232">
        <v>2.0699999999999998</v>
      </c>
      <c r="N232">
        <v>24.5</v>
      </c>
      <c r="O232" t="s">
        <v>66</v>
      </c>
      <c r="P232" t="s">
        <v>67</v>
      </c>
      <c r="Q232">
        <v>7.94</v>
      </c>
      <c r="R232">
        <v>148</v>
      </c>
      <c r="S232">
        <v>5300</v>
      </c>
    </row>
    <row r="233" spans="1:19">
      <c r="A233" s="1">
        <v>46101</v>
      </c>
      <c r="B233" s="16">
        <v>0.69505787037037037</v>
      </c>
      <c r="C233" t="s">
        <v>221</v>
      </c>
      <c r="D233" t="s">
        <v>195</v>
      </c>
      <c r="F233" t="s">
        <v>69</v>
      </c>
      <c r="G233" t="s">
        <v>63</v>
      </c>
      <c r="H233">
        <v>1</v>
      </c>
      <c r="I233">
        <v>1</v>
      </c>
      <c r="J233" t="s">
        <v>64</v>
      </c>
      <c r="K233" t="s">
        <v>65</v>
      </c>
      <c r="L233">
        <v>0.14399999999999999</v>
      </c>
      <c r="M233">
        <v>1.72</v>
      </c>
      <c r="N233">
        <v>13.9</v>
      </c>
      <c r="O233" t="s">
        <v>66</v>
      </c>
      <c r="P233" t="s">
        <v>67</v>
      </c>
      <c r="Q233">
        <v>7.94</v>
      </c>
      <c r="R233">
        <v>147</v>
      </c>
      <c r="S233">
        <v>5290</v>
      </c>
    </row>
    <row r="234" spans="1:19">
      <c r="A234" s="1">
        <v>46101</v>
      </c>
      <c r="B234" s="16">
        <v>0.69594907407407403</v>
      </c>
      <c r="C234" t="s">
        <v>221</v>
      </c>
      <c r="D234" t="s">
        <v>205</v>
      </c>
      <c r="F234" t="s">
        <v>70</v>
      </c>
      <c r="G234" t="s">
        <v>63</v>
      </c>
      <c r="H234">
        <v>1</v>
      </c>
      <c r="I234">
        <v>1</v>
      </c>
      <c r="J234" t="s">
        <v>64</v>
      </c>
      <c r="K234" t="s">
        <v>65</v>
      </c>
      <c r="L234">
        <v>0.14199999999999999</v>
      </c>
      <c r="M234">
        <v>1.73</v>
      </c>
      <c r="N234">
        <v>14.2</v>
      </c>
      <c r="O234" t="s">
        <v>66</v>
      </c>
      <c r="P234" t="s">
        <v>67</v>
      </c>
      <c r="Q234">
        <v>3.1899999999999998E-2</v>
      </c>
      <c r="R234">
        <v>0.58099999999999996</v>
      </c>
      <c r="S234">
        <v>-108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Notes</vt:lpstr>
      <vt:lpstr>QAQC</vt:lpstr>
      <vt:lpstr>method checks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Niederlehner, Barbara</dc:creator>
  <cp:lastModifiedBy>Edwards, Dominique</cp:lastModifiedBy>
  <dcterms:created xsi:type="dcterms:W3CDTF">2019-09-17T18:32:24Z</dcterms:created>
  <dcterms:modified xsi:type="dcterms:W3CDTF">2026-04-14T16:33:58Z</dcterms:modified>
</cp:coreProperties>
</file>