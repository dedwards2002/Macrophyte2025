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9F3A9F8E-A5E9-478F-B028-53AFAC76D96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<sst xmlns="http://schemas.openxmlformats.org/spreadsheetml/2006/main" count="648" uniqueCount="58">
  <si>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</si>
  <si>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</si>
  <si>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</si>
  <si>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</si>
  <si>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</si>
  <si>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</si>
  <si>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</si>
  <si>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</si>
  <si>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</si>
  <si>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</si>
  <si>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</si>
  <si>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</si>
  <si>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</si>
  <si>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</si>
  <si>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</si>
  <si>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</si>
  <si>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</si>
  <si>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</si>
  <si>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</si>
  <si>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</si>
  <si>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</si>
  <si>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</si>
  <si>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</si>
  <si>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</si>
  <si>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</si>
  <si>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</si>
  <si>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</si>
  <si>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</si>
  <si>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</si>
  <si>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</si>
  <si>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</si>
  <si>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</si>
  <si>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</si>
  <si>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</si>
  <si>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</si>
  <si>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FMI20251014_001.gcd</t>
  </si>
  <si>
    <t>FMI20251014_002.gcd</t>
  </si>
  <si>
    <t>FMI20251014_003.gcd</t>
  </si>
  <si>
    <t>FMI20251014_004.gcd</t>
  </si>
  <si>
    <t>FMI20251014_005.gcd</t>
  </si>
  <si>
    <t>FMI20251014_006.gcd</t>
  </si>
  <si>
    <t>FMI20251014_007.gcd</t>
  </si>
  <si>
    <t>FMI20251014_008.gcd</t>
  </si>
  <si>
    <t>FMI20251014_009.gcd</t>
  </si>
  <si>
    <t>FMI20251014_010.gcd</t>
  </si>
  <si>
    <t>FMI20251014_011.gcd</t>
  </si>
  <si>
    <t>FMI20251014_012.gcd</t>
  </si>
  <si>
    <t>FMI20251014_013.gcd</t>
  </si>
  <si>
    <t>FMI20251014_014.gcd</t>
  </si>
  <si>
    <t>FMI20251014_015.gcd</t>
  </si>
  <si>
    <t>FMI20251014_016.gcd</t>
  </si>
  <si>
    <t>FMI20251014_017.gcd</t>
  </si>
  <si>
    <t>FMI20251014_018.gcd</t>
  </si>
  <si>
    <t>FMI20251014_019.gcd</t>
  </si>
  <si>
    <t>FMI20251014_020.gcd</t>
  </si>
  <si>
    <t>FMI20251014_021.gcd</t>
  </si>
  <si>
    <t>resampled due to AOC error</t>
  </si>
  <si>
    <t>Leaked when creating headspace- estimated 2ml. If dups don't match discard this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</si>
</sst>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A1" workbookViewId="0">
      <selection activeCell="AE17" sqref="AE17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45944.516736111109</v>
      </c>
      <c r="D9" t="s">
        <v>33</v>
      </c>
      <c r="E9" t="s">
        <v>13</v>
      </c>
      <c r="F9">
        <v>0</v>
      </c>
      <c r="G9">
        <v>6.11</v>
      </c>
      <c r="H9" s="3">
        <v>1614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45944.516736111109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45944.516736111109</v>
      </c>
      <c r="AF9" t="s">
        <v>33</v>
      </c>
      <c r="AG9" t="s">
        <v>13</v>
      </c>
      <c r="AH9">
        <v>0</v>
      </c>
      <c r="AI9">
        <v>12.382</v>
      </c>
      <c r="AJ9" s="3">
        <v>1834</v>
      </c>
      <c r="AK9">
        <v>0.30599999999999999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2.3730722310279999</v>
      </c>
      <c r="AU9" s="17">
        <f t="shared" ref="AU9:AU14" si="1">IF(AJ9&lt;45000,((-0.00000004907*AJ9^2)+(0.2277*AJ9)+(-134)),((-0.00000001062*AJ9^2)+(0.2147*AJ9)+(590.6)))</f>
        <v>283.43675030708005</v>
      </c>
      <c r="AW9" s="6">
        <f t="shared" ref="AW9:AW14" si="2">IF(H9&lt;10000,((0.0000001453*H9^2)+(0.0008349*H9)+(-1.805)),(IF(H9&lt;700000,((-0.00000000008054*H9^2)+(0.002348*H9)+(-2.47)), ((-0.00000001938*V9^2)+(0.2471*V9)+(226.8)))))</f>
        <v>-7.8965481200000021E-2</v>
      </c>
      <c r="AX9" s="7">
        <f t="shared" ref="AX9:AX14" si="3">(-0.00000002552*AJ9^2)+(0.2067*AJ9)+(-103.7)</f>
        <v>275.30196205088004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6.435987840000001</v>
      </c>
      <c r="BA9" s="12">
        <f t="shared" ref="BA9:BA14" si="5">IF(AJ9&lt;45000,((-0.0000004561*AJ9^2)+(0.244*AJ9)+(-21.72)),((-0.0000000409*AJ9^2)+(0.2477*AJ9)+(-1777)))</f>
        <v>424.24188210839998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0.29699147144000015</v>
      </c>
      <c r="BD9" s="14">
        <f t="shared" ref="BD9:BD14" si="7">IF(AJ9&lt;45000,((-0.0000000598*AJ9^2)+(0.205*AJ9)+(34.1)),((-0.00000002403*AJ9^2)+(0.2063*AJ9)+(-550.7)))</f>
        <v>409.8688593512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2.3730722310279999</v>
      </c>
      <c r="BG9" s="17">
        <f t="shared" ref="BG9:BG14" si="9">IF(AJ9&lt;45000,((-0.00000004907*AJ9^2)+(0.2277*AJ9)+(-134)),((-0.00000001062*AJ9^2)+(0.2147*AJ9)+(590.6)))</f>
        <v>283.43675030708005</v>
      </c>
      <c r="BI9">
        <v>45</v>
      </c>
      <c r="BJ9" t="s">
        <v>35</v>
      </c>
      <c r="BK9" s="2">
        <v>45944.516736111109</v>
      </c>
      <c r="BL9" t="s">
        <v>33</v>
      </c>
      <c r="BM9" t="s">
        <v>13</v>
      </c>
      <c r="BN9">
        <v>0</v>
      </c>
      <c r="BO9">
        <v>2.738</v>
      </c>
      <c r="BP9" s="3">
        <v>4802374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45944.537951388891</v>
      </c>
      <c r="D10" t="s">
        <v>34</v>
      </c>
      <c r="E10" t="s">
        <v>13</v>
      </c>
      <c r="F10">
        <v>0</v>
      </c>
      <c r="G10">
        <v>6.0590000000000002</v>
      </c>
      <c r="H10" s="3">
        <v>685855</v>
      </c>
      <c r="I10">
        <v>1.548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45944.537951388891</v>
      </c>
      <c r="R10" t="s">
        <v>34</v>
      </c>
      <c r="S10" t="s">
        <v>13</v>
      </c>
      <c r="T10">
        <v>0</v>
      </c>
      <c r="U10">
        <v>6.0149999999999997</v>
      </c>
      <c r="V10" s="3">
        <v>5202</v>
      </c>
      <c r="W10">
        <v>1.377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45944.537951388891</v>
      </c>
      <c r="AF10" t="s">
        <v>34</v>
      </c>
      <c r="AG10" t="s">
        <v>13</v>
      </c>
      <c r="AH10">
        <v>0</v>
      </c>
      <c r="AI10">
        <v>12.347</v>
      </c>
      <c r="AJ10" s="3">
        <v>7919</v>
      </c>
      <c r="AK10">
        <v>1.641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1581.1476152838534</v>
      </c>
      <c r="AU10" s="17">
        <f t="shared" si="1"/>
        <v>1666.0790927717301</v>
      </c>
      <c r="AW10" s="6">
        <f t="shared" si="2"/>
        <v>1570.0317590942464</v>
      </c>
      <c r="AX10" s="7">
        <f t="shared" si="3"/>
        <v>1531.5569264832798</v>
      </c>
      <c r="AZ10" s="11">
        <f t="shared" si="4"/>
        <v>1475.9093142929351</v>
      </c>
      <c r="BA10" s="12">
        <f t="shared" si="5"/>
        <v>1881.9137131278999</v>
      </c>
      <c r="BC10" s="13">
        <f t="shared" si="6"/>
        <v>1623.870803097645</v>
      </c>
      <c r="BD10" s="14">
        <f t="shared" si="7"/>
        <v>1653.7449084522</v>
      </c>
      <c r="BF10" s="16">
        <f t="shared" si="8"/>
        <v>1581.1476152838534</v>
      </c>
      <c r="BG10" s="17">
        <f t="shared" si="9"/>
        <v>1666.0790927717301</v>
      </c>
      <c r="BI10">
        <v>46</v>
      </c>
      <c r="BJ10" t="s">
        <v>36</v>
      </c>
      <c r="BK10" s="2">
        <v>45944.537951388891</v>
      </c>
      <c r="BL10" t="s">
        <v>34</v>
      </c>
      <c r="BM10" t="s">
        <v>13</v>
      </c>
      <c r="BN10">
        <v>0</v>
      </c>
      <c r="BO10">
        <v>2.734</v>
      </c>
      <c r="BP10" s="3">
        <v>4897172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45944.591180555559</v>
      </c>
      <c r="D11" t="s">
        <v>28</v>
      </c>
      <c r="E11" t="s">
        <v>13</v>
      </c>
      <c r="F11">
        <v>0</v>
      </c>
      <c r="G11">
        <v>6.1059999999999999</v>
      </c>
      <c r="H11" s="3">
        <v>2819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45944.591180555559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45944.591180555559</v>
      </c>
      <c r="AF11" t="s">
        <v>28</v>
      </c>
      <c r="AG11" t="s">
        <v>13</v>
      </c>
      <c r="AH11">
        <v>0</v>
      </c>
      <c r="AI11">
        <v>12.409000000000001</v>
      </c>
      <c r="AJ11" s="3">
        <v>1368</v>
      </c>
      <c r="AK11">
        <v>0.20399999999999999</v>
      </c>
      <c r="AL11" t="s">
        <v>14</v>
      </c>
      <c r="AM11" t="s">
        <v>14</v>
      </c>
      <c r="AN11" t="s">
        <v>14</v>
      </c>
      <c r="AO11" t="s">
        <v>14</v>
      </c>
      <c r="AQ11">
        <v>2</v>
      </c>
      <c r="AR11" t="s">
        <v>56</v>
      </c>
      <c r="AS11" s="10">
        <v>47</v>
      </c>
      <c r="AT11" s="16">
        <f t="shared" si="0"/>
        <v>6.6142498411729989</v>
      </c>
      <c r="AU11" s="17">
        <f t="shared" si="1"/>
        <v>177.40176922431999</v>
      </c>
      <c r="AW11" s="6">
        <f t="shared" si="2"/>
        <v>1.7032474733</v>
      </c>
      <c r="AX11" s="7">
        <f t="shared" si="3"/>
        <v>179.01784125952003</v>
      </c>
      <c r="AZ11" s="11">
        <f t="shared" si="4"/>
        <v>3.5787159400000004</v>
      </c>
      <c r="BA11" s="12">
        <f t="shared" si="5"/>
        <v>311.21844351359994</v>
      </c>
      <c r="BC11" s="13">
        <f t="shared" si="6"/>
        <v>3.5580849235399992</v>
      </c>
      <c r="BD11" s="14">
        <f t="shared" si="7"/>
        <v>314.42808884480002</v>
      </c>
      <c r="BF11" s="16">
        <f t="shared" si="8"/>
        <v>6.6142498411729989</v>
      </c>
      <c r="BG11" s="17">
        <f t="shared" si="9"/>
        <v>177.40176922431999</v>
      </c>
      <c r="BI11">
        <v>47</v>
      </c>
      <c r="BJ11" t="s">
        <v>37</v>
      </c>
      <c r="BK11" s="2">
        <v>45944.591180555559</v>
      </c>
      <c r="BL11" t="s">
        <v>28</v>
      </c>
      <c r="BM11" t="s">
        <v>13</v>
      </c>
      <c r="BN11">
        <v>0</v>
      </c>
      <c r="BO11">
        <v>2.7309999999999999</v>
      </c>
      <c r="BP11" s="3">
        <v>4990166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45944.612372685187</v>
      </c>
      <c r="D12">
        <v>367</v>
      </c>
      <c r="E12" t="s">
        <v>13</v>
      </c>
      <c r="F12">
        <v>0</v>
      </c>
      <c r="G12">
        <v>6.085</v>
      </c>
      <c r="H12" s="3">
        <v>1014</v>
      </c>
      <c r="I12">
        <v>3.0000000000000001E-3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45944.612372685187</v>
      </c>
      <c r="R12">
        <v>367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45944.612372685187</v>
      </c>
      <c r="AF12">
        <v>367</v>
      </c>
      <c r="AG12" t="s">
        <v>13</v>
      </c>
      <c r="AH12">
        <v>0</v>
      </c>
      <c r="AI12">
        <v>12.044</v>
      </c>
      <c r="AJ12" s="3">
        <v>283585</v>
      </c>
      <c r="AK12">
        <v>60.883000000000003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0.27048046862800001</v>
      </c>
      <c r="AU12" s="17">
        <f t="shared" si="1"/>
        <v>60622.234297370502</v>
      </c>
      <c r="AW12" s="6">
        <f t="shared" si="2"/>
        <v>-0.80901452119999995</v>
      </c>
      <c r="AX12" s="7">
        <f t="shared" si="3"/>
        <v>56460.989559218004</v>
      </c>
      <c r="AZ12" s="11">
        <f t="shared" si="4"/>
        <v>8.4435158399999999</v>
      </c>
      <c r="BA12" s="12">
        <f t="shared" si="5"/>
        <v>65177.808003997488</v>
      </c>
      <c r="BC12" s="13">
        <f t="shared" si="6"/>
        <v>-1.2649068805599999</v>
      </c>
      <c r="BD12" s="14">
        <f t="shared" si="7"/>
        <v>56020.382033033253</v>
      </c>
      <c r="BF12" s="16">
        <f t="shared" si="8"/>
        <v>0.27048046862800001</v>
      </c>
      <c r="BG12" s="17">
        <f t="shared" si="9"/>
        <v>60622.234297370502</v>
      </c>
      <c r="BI12">
        <v>48</v>
      </c>
      <c r="BJ12" t="s">
        <v>38</v>
      </c>
      <c r="BK12" s="2">
        <v>45944.612372685187</v>
      </c>
      <c r="BL12">
        <v>367</v>
      </c>
      <c r="BM12" t="s">
        <v>13</v>
      </c>
      <c r="BN12">
        <v>0</v>
      </c>
      <c r="BO12">
        <v>2.8820000000000001</v>
      </c>
      <c r="BP12" s="3">
        <v>786144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45944.633622685185</v>
      </c>
      <c r="D13">
        <v>391</v>
      </c>
      <c r="E13" t="s">
        <v>13</v>
      </c>
      <c r="F13">
        <v>0</v>
      </c>
      <c r="G13">
        <v>6.06</v>
      </c>
      <c r="H13" s="3">
        <v>12751</v>
      </c>
      <c r="I13">
        <v>2.9000000000000001E-2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45944.633622685185</v>
      </c>
      <c r="R13">
        <v>391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45944.633622685185</v>
      </c>
      <c r="AF13">
        <v>391</v>
      </c>
      <c r="AG13" t="s">
        <v>13</v>
      </c>
      <c r="AH13">
        <v>0</v>
      </c>
      <c r="AI13">
        <v>12.226000000000001</v>
      </c>
      <c r="AJ13" s="3">
        <v>73289</v>
      </c>
      <c r="AK13">
        <v>15.901999999999999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37.334421355737</v>
      </c>
      <c r="AU13" s="17">
        <f t="shared" si="1"/>
        <v>16268.70533272698</v>
      </c>
      <c r="AW13" s="6">
        <f t="shared" si="2"/>
        <v>27.456253162399459</v>
      </c>
      <c r="AX13" s="7">
        <f t="shared" si="3"/>
        <v>14908.061297664079</v>
      </c>
      <c r="AZ13" s="11">
        <f t="shared" si="4"/>
        <v>28.124891722423001</v>
      </c>
      <c r="BA13" s="12">
        <f t="shared" si="5"/>
        <v>16157.000049391099</v>
      </c>
      <c r="BC13" s="13">
        <f t="shared" si="6"/>
        <v>32.597193585311203</v>
      </c>
      <c r="BD13" s="14">
        <f t="shared" si="7"/>
        <v>14439.748901170371</v>
      </c>
      <c r="BF13" s="16">
        <f t="shared" si="8"/>
        <v>37.334421355737</v>
      </c>
      <c r="BG13" s="17">
        <f t="shared" si="9"/>
        <v>16268.70533272698</v>
      </c>
      <c r="BI13">
        <v>49</v>
      </c>
      <c r="BJ13" t="s">
        <v>39</v>
      </c>
      <c r="BK13" s="2">
        <v>45944.633622685185</v>
      </c>
      <c r="BL13">
        <v>391</v>
      </c>
      <c r="BM13" t="s">
        <v>13</v>
      </c>
      <c r="BN13">
        <v>0</v>
      </c>
      <c r="BO13">
        <v>2.8860000000000001</v>
      </c>
      <c r="BP13" s="3">
        <v>717215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45944.654826388891</v>
      </c>
      <c r="D14">
        <v>278</v>
      </c>
      <c r="E14" t="s">
        <v>13</v>
      </c>
      <c r="F14">
        <v>0</v>
      </c>
      <c r="G14">
        <v>6.0780000000000003</v>
      </c>
      <c r="H14" s="3">
        <v>2766</v>
      </c>
      <c r="I14">
        <v>7.0000000000000001E-3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45944.654826388891</v>
      </c>
      <c r="R14">
        <v>278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45944.654826388891</v>
      </c>
      <c r="AF14">
        <v>278</v>
      </c>
      <c r="AG14" t="s">
        <v>13</v>
      </c>
      <c r="AH14">
        <v>0</v>
      </c>
      <c r="AI14">
        <v>12.301</v>
      </c>
      <c r="AJ14" s="3">
        <v>6528</v>
      </c>
      <c r="AK14">
        <v>1.335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6.4271898707080002</v>
      </c>
      <c r="AU14" s="17">
        <f t="shared" si="1"/>
        <v>1350.3344925491201</v>
      </c>
      <c r="AW14" s="6">
        <f t="shared" si="2"/>
        <v>1.6159882468</v>
      </c>
      <c r="AX14" s="7">
        <f t="shared" si="3"/>
        <v>1244.5500707123201</v>
      </c>
      <c r="AZ14" s="11">
        <f t="shared" si="4"/>
        <v>3.6714182399999995</v>
      </c>
      <c r="BA14" s="12">
        <f t="shared" si="5"/>
        <v>1551.6753970175998</v>
      </c>
      <c r="BC14" s="13">
        <f t="shared" si="6"/>
        <v>3.4111621978399995</v>
      </c>
      <c r="BD14" s="14">
        <f t="shared" si="7"/>
        <v>1369.7916359167998</v>
      </c>
      <c r="BF14" s="16">
        <f t="shared" si="8"/>
        <v>6.4271898707080002</v>
      </c>
      <c r="BG14" s="17">
        <f t="shared" si="9"/>
        <v>1350.3344925491201</v>
      </c>
      <c r="BI14">
        <v>50</v>
      </c>
      <c r="BJ14" t="s">
        <v>40</v>
      </c>
      <c r="BK14" s="2">
        <v>45944.654826388891</v>
      </c>
      <c r="BL14">
        <v>278</v>
      </c>
      <c r="BM14" t="s">
        <v>13</v>
      </c>
      <c r="BN14">
        <v>0</v>
      </c>
      <c r="BO14">
        <v>2.887</v>
      </c>
      <c r="BP14" s="3">
        <v>700662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45944.676030092596</v>
      </c>
      <c r="D15">
        <v>94</v>
      </c>
      <c r="E15" t="s">
        <v>13</v>
      </c>
      <c r="F15">
        <v>0</v>
      </c>
      <c r="G15">
        <v>6.1079999999999997</v>
      </c>
      <c r="H15" s="3">
        <v>1167</v>
      </c>
      <c r="I15">
        <v>3.0000000000000001E-3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45944.676030092596</v>
      </c>
      <c r="R15">
        <v>94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45944.676030092596</v>
      </c>
      <c r="AF15">
        <v>94</v>
      </c>
      <c r="AG15" t="s">
        <v>13</v>
      </c>
      <c r="AH15">
        <v>0</v>
      </c>
      <c r="AI15">
        <v>12.065</v>
      </c>
      <c r="AJ15" s="3">
        <v>264848</v>
      </c>
      <c r="AK15">
        <v>56.929000000000002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29" si="10">IF(H15&lt;10000,((H15^2*0.000000008493)+(H15*0.003482)+(-3.269)),(IF(H15&lt;200000,((H15^2*-0.000000000263)+(H15*0.002682)+(3.179)),(IF(H15&lt;8000000,((H15^2*-0.000000000005099)+(H15*0.002054)+(174.8)),((V15^2*-0.00000001014)+(V15*0.2415)+(1123)))))))</f>
        <v>0.80606052327699906</v>
      </c>
      <c r="AU15" s="17">
        <f t="shared" ref="AU15:AU29" si="11">IF(AJ15&lt;45000,((-0.00000004907*AJ15^2)+(0.2277*AJ15)+(-134)),((-0.00000001062*AJ15^2)+(0.2147*AJ15)+(590.6)))</f>
        <v>56708.531401835513</v>
      </c>
      <c r="AW15" s="6">
        <f t="shared" ref="AW15:AW29" si="12">IF(H15&lt;10000,((0.0000001453*H15^2)+(0.0008349*H15)+(-1.805)),(IF(H15&lt;700000,((-0.00000000008054*H15^2)+(0.002348*H15)+(-2.47)), ((-0.00000001938*V15^2)+(0.2471*V15)+(226.8)))))</f>
        <v>-0.63278922830000006</v>
      </c>
      <c r="AX15" s="7">
        <f t="shared" ref="AX15:AX29" si="13">(-0.00000002552*AJ15^2)+(0.2067*AJ15)+(-103.7)</f>
        <v>52850.294901585919</v>
      </c>
      <c r="AZ15" s="11">
        <f t="shared" ref="AZ15:AZ29" si="14">IF(H15&lt;10000,((H15^2*0.00000054)+(H15*-0.004765)+(12.72)),(IF(H15&lt;200000,((H15^2*-0.000000001577)+(H15*0.003043)+(-10.42)),(IF(H15&lt;8000000,((H15^2*-0.0000000000186)+(H15*0.00194)+(154.1)),((V15^2*-0.00000002)+(V15*0.2565)+(-1032)))))))</f>
        <v>7.8946650600000003</v>
      </c>
      <c r="BA15" s="12">
        <f t="shared" ref="BA15:BA29" si="15">IF(AJ15&lt;45000,((-0.0000004561*AJ15^2)+(0.244*AJ15)+(-21.72)),((-0.0000000409*AJ15^2)+(0.2477*AJ15)+(-1777)))</f>
        <v>60956.941059046403</v>
      </c>
      <c r="BC15" s="13">
        <f t="shared" ref="BC15:BC29" si="16">IF(H15&lt;10000,((H15^2*0.00000005714)+(H15*0.002453)+(-3.811)),(IF(H15&lt;200000,((H15^2*-0.0000000002888)+(H15*0.002899)+(-4.321)),(IF(H15&lt;8000000,((H15^2*-0.0000000000062)+(H15*0.002143)+(157)),((V15^2*-0.000000031)+(V15*0.2771)+(-709.5)))))))</f>
        <v>-0.87053066253999978</v>
      </c>
      <c r="BD15" s="14">
        <f t="shared" ref="BD15:BD29" si="17">IF(AJ15&lt;45000,((-0.0000000598*AJ15^2)+(0.205*AJ15)+(34.1)),((-0.00000002403*AJ15^2)+(0.2063*AJ15)+(-550.7)))</f>
        <v>52401.870951610887</v>
      </c>
      <c r="BF15" s="16">
        <f t="shared" ref="BF15:BF29" si="18">IF(H15&lt;10000,((H15^2*0.000000008493)+(H15*0.003482)+(-3.269)),(IF(H15&lt;200000,((H15^2*-0.000000000263)+(H15*0.002682)+(3.179)),(IF(H15&lt;8000000,((H15^2*-0.000000000005099)+(H15*0.002054)+(174.8)),((V15^2*-0.00000001014)+(V15*0.2415)+(1123)))))))</f>
        <v>0.80606052327699906</v>
      </c>
      <c r="BG15" s="17">
        <f t="shared" ref="BG15:BG29" si="19">IF(AJ15&lt;45000,((-0.00000004907*AJ15^2)+(0.2277*AJ15)+(-134)),((-0.00000001062*AJ15^2)+(0.2147*AJ15)+(590.6)))</f>
        <v>56708.531401835513</v>
      </c>
      <c r="BI15">
        <v>51</v>
      </c>
      <c r="BJ15" t="s">
        <v>41</v>
      </c>
      <c r="BK15" s="2">
        <v>45944.676030092596</v>
      </c>
      <c r="BL15">
        <v>94</v>
      </c>
      <c r="BM15" t="s">
        <v>13</v>
      </c>
      <c r="BN15">
        <v>0</v>
      </c>
      <c r="BO15">
        <v>2.875</v>
      </c>
      <c r="BP15" s="3">
        <v>910039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45944.697268518517</v>
      </c>
      <c r="D16">
        <v>90</v>
      </c>
      <c r="E16" t="s">
        <v>13</v>
      </c>
      <c r="F16">
        <v>0</v>
      </c>
      <c r="G16">
        <v>6.1020000000000003</v>
      </c>
      <c r="H16" s="3">
        <v>1227</v>
      </c>
      <c r="I16">
        <v>3.0000000000000001E-3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45944.697268518517</v>
      </c>
      <c r="R16">
        <v>90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45944.697268518517</v>
      </c>
      <c r="AF16">
        <v>90</v>
      </c>
      <c r="AG16" t="s">
        <v>13</v>
      </c>
      <c r="AH16">
        <v>0</v>
      </c>
      <c r="AI16">
        <v>12.066000000000001</v>
      </c>
      <c r="AJ16" s="3">
        <v>263577</v>
      </c>
      <c r="AK16">
        <v>56.661000000000001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1.016200457796999</v>
      </c>
      <c r="AU16" s="17">
        <f t="shared" si="11"/>
        <v>56442.780393054018</v>
      </c>
      <c r="AW16" s="6">
        <f t="shared" si="12"/>
        <v>-0.56182433629999995</v>
      </c>
      <c r="AX16" s="7">
        <f t="shared" si="13"/>
        <v>52604.71915261192</v>
      </c>
      <c r="AZ16" s="11">
        <f t="shared" si="14"/>
        <v>7.6863306600000003</v>
      </c>
      <c r="BA16" s="12">
        <f t="shared" si="15"/>
        <v>60669.583951403903</v>
      </c>
      <c r="BC16" s="13">
        <f t="shared" si="16"/>
        <v>-0.71514307294000012</v>
      </c>
      <c r="BD16" s="14">
        <f t="shared" si="17"/>
        <v>52155.802876656133</v>
      </c>
      <c r="BF16" s="16">
        <f t="shared" si="18"/>
        <v>1.016200457796999</v>
      </c>
      <c r="BG16" s="17">
        <f t="shared" si="19"/>
        <v>56442.780393054018</v>
      </c>
      <c r="BI16">
        <v>52</v>
      </c>
      <c r="BJ16" t="s">
        <v>42</v>
      </c>
      <c r="BK16" s="2">
        <v>45944.697268518517</v>
      </c>
      <c r="BL16">
        <v>90</v>
      </c>
      <c r="BM16" t="s">
        <v>13</v>
      </c>
      <c r="BN16">
        <v>0</v>
      </c>
      <c r="BO16">
        <v>2.879</v>
      </c>
      <c r="BP16" s="3">
        <v>836354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45944.718506944446</v>
      </c>
      <c r="D17">
        <v>165</v>
      </c>
      <c r="E17" t="s">
        <v>13</v>
      </c>
      <c r="F17">
        <v>0</v>
      </c>
      <c r="G17">
        <v>6.0540000000000003</v>
      </c>
      <c r="H17" s="3">
        <v>83789</v>
      </c>
      <c r="I17">
        <v>0.189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45944.718506944446</v>
      </c>
      <c r="R17">
        <v>165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45944.718506944446</v>
      </c>
      <c r="AF17">
        <v>165</v>
      </c>
      <c r="AG17" t="s">
        <v>13</v>
      </c>
      <c r="AH17">
        <v>0</v>
      </c>
      <c r="AI17">
        <v>12.218999999999999</v>
      </c>
      <c r="AJ17" s="3">
        <v>83572</v>
      </c>
      <c r="AK17">
        <v>18.132999999999999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226.054681114977</v>
      </c>
      <c r="AU17" s="17">
        <f t="shared" si="11"/>
        <v>18459.335355065919</v>
      </c>
      <c r="AW17" s="6">
        <f t="shared" si="12"/>
        <v>193.70113315619867</v>
      </c>
      <c r="AX17" s="7">
        <f t="shared" si="13"/>
        <v>16992.393595224319</v>
      </c>
      <c r="AZ17" s="11">
        <f t="shared" si="14"/>
        <v>233.47844628638302</v>
      </c>
      <c r="BA17" s="12">
        <f t="shared" si="15"/>
        <v>18638.127381374401</v>
      </c>
      <c r="BC17" s="13">
        <f t="shared" si="16"/>
        <v>236.55576272473522</v>
      </c>
      <c r="BD17" s="14">
        <f t="shared" si="17"/>
        <v>16522.371371208479</v>
      </c>
      <c r="BF17" s="16">
        <f t="shared" si="18"/>
        <v>226.054681114977</v>
      </c>
      <c r="BG17" s="17">
        <f t="shared" si="19"/>
        <v>18459.335355065919</v>
      </c>
      <c r="BI17">
        <v>53</v>
      </c>
      <c r="BJ17" t="s">
        <v>43</v>
      </c>
      <c r="BK17" s="2">
        <v>45944.718506944446</v>
      </c>
      <c r="BL17">
        <v>165</v>
      </c>
      <c r="BM17" t="s">
        <v>13</v>
      </c>
      <c r="BN17">
        <v>0</v>
      </c>
      <c r="BO17">
        <v>2.8809999999999998</v>
      </c>
      <c r="BP17" s="3">
        <v>791116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45944.739722222221</v>
      </c>
      <c r="D18">
        <v>387</v>
      </c>
      <c r="E18" t="s">
        <v>13</v>
      </c>
      <c r="F18">
        <v>0</v>
      </c>
      <c r="G18">
        <v>6.0529999999999999</v>
      </c>
      <c r="H18" s="3">
        <v>87025</v>
      </c>
      <c r="I18">
        <v>0.19700000000000001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45944.739722222221</v>
      </c>
      <c r="R18">
        <v>387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45944.739722222221</v>
      </c>
      <c r="AF18">
        <v>387</v>
      </c>
      <c r="AG18" t="s">
        <v>13</v>
      </c>
      <c r="AH18">
        <v>0</v>
      </c>
      <c r="AI18">
        <v>12.217000000000001</v>
      </c>
      <c r="AJ18" s="3">
        <v>80311</v>
      </c>
      <c r="AK18">
        <v>17.425999999999998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234.58825878562499</v>
      </c>
      <c r="AU18" s="17">
        <f t="shared" si="11"/>
        <v>17764.87422162298</v>
      </c>
      <c r="AW18" s="6">
        <f t="shared" si="12"/>
        <v>201.25474234066249</v>
      </c>
      <c r="AX18" s="7">
        <f t="shared" si="13"/>
        <v>16331.983356480079</v>
      </c>
      <c r="AZ18" s="11">
        <f t="shared" si="14"/>
        <v>242.453901064375</v>
      </c>
      <c r="BA18" s="12">
        <f t="shared" si="15"/>
        <v>17852.235560111101</v>
      </c>
      <c r="BC18" s="13">
        <f t="shared" si="16"/>
        <v>245.77729133950001</v>
      </c>
      <c r="BD18" s="14">
        <f t="shared" si="17"/>
        <v>15862.469242994368</v>
      </c>
      <c r="BF18" s="16">
        <f t="shared" si="18"/>
        <v>234.58825878562499</v>
      </c>
      <c r="BG18" s="17">
        <f t="shared" si="19"/>
        <v>17764.87422162298</v>
      </c>
      <c r="BI18">
        <v>54</v>
      </c>
      <c r="BJ18" t="s">
        <v>44</v>
      </c>
      <c r="BK18" s="2">
        <v>45944.739722222221</v>
      </c>
      <c r="BL18">
        <v>387</v>
      </c>
      <c r="BM18" t="s">
        <v>13</v>
      </c>
      <c r="BN18">
        <v>0</v>
      </c>
      <c r="BO18">
        <v>2.8809999999999998</v>
      </c>
      <c r="BP18" s="3">
        <v>784400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45944.760937500003</v>
      </c>
      <c r="D19">
        <v>227</v>
      </c>
      <c r="E19" t="s">
        <v>13</v>
      </c>
      <c r="F19">
        <v>0</v>
      </c>
      <c r="G19">
        <v>6.0670000000000002</v>
      </c>
      <c r="H19" s="3">
        <v>2599</v>
      </c>
      <c r="I19">
        <v>6.0000000000000001E-3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45944.760937500003</v>
      </c>
      <c r="R19">
        <v>227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45944.760937500003</v>
      </c>
      <c r="AF19">
        <v>227</v>
      </c>
      <c r="AG19" t="s">
        <v>13</v>
      </c>
      <c r="AH19">
        <v>0</v>
      </c>
      <c r="AI19">
        <v>12.287000000000001</v>
      </c>
      <c r="AJ19" s="3">
        <v>18566</v>
      </c>
      <c r="AK19">
        <v>3.9729999999999999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5.8380865248930007</v>
      </c>
      <c r="AU19" s="17">
        <f t="shared" si="11"/>
        <v>4076.5639498110804</v>
      </c>
      <c r="AW19" s="6">
        <f t="shared" si="12"/>
        <v>1.3463776853</v>
      </c>
      <c r="AX19" s="7">
        <f t="shared" si="13"/>
        <v>3725.0955489948801</v>
      </c>
      <c r="AZ19" s="11">
        <f t="shared" si="14"/>
        <v>3.9833575400000001</v>
      </c>
      <c r="BA19" s="12">
        <f t="shared" si="15"/>
        <v>4351.1679920283996</v>
      </c>
      <c r="BC19" s="13">
        <f t="shared" si="16"/>
        <v>2.9503163291399996</v>
      </c>
      <c r="BD19" s="14">
        <f t="shared" si="17"/>
        <v>3819.5171579111998</v>
      </c>
      <c r="BF19" s="16">
        <f t="shared" si="18"/>
        <v>5.8380865248930007</v>
      </c>
      <c r="BG19" s="17">
        <f t="shared" si="19"/>
        <v>4076.5639498110804</v>
      </c>
      <c r="BI19">
        <v>55</v>
      </c>
      <c r="BJ19" t="s">
        <v>45</v>
      </c>
      <c r="BK19" s="2">
        <v>45944.760937500003</v>
      </c>
      <c r="BL19">
        <v>227</v>
      </c>
      <c r="BM19" t="s">
        <v>13</v>
      </c>
      <c r="BN19">
        <v>0</v>
      </c>
      <c r="BO19">
        <v>2.875</v>
      </c>
      <c r="BP19" s="3">
        <v>918068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45944.782152777778</v>
      </c>
      <c r="D20">
        <v>294</v>
      </c>
      <c r="E20" t="s">
        <v>13</v>
      </c>
      <c r="F20">
        <v>0</v>
      </c>
      <c r="G20">
        <v>6.1020000000000003</v>
      </c>
      <c r="H20" s="3">
        <v>995</v>
      </c>
      <c r="I20">
        <v>3.0000000000000001E-3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45944.782152777778</v>
      </c>
      <c r="R20">
        <v>294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45944.782152777778</v>
      </c>
      <c r="AF20">
        <v>294</v>
      </c>
      <c r="AG20" t="s">
        <v>13</v>
      </c>
      <c r="AH20">
        <v>0</v>
      </c>
      <c r="AI20">
        <v>12.053000000000001</v>
      </c>
      <c r="AJ20" s="3">
        <v>268373</v>
      </c>
      <c r="AK20">
        <v>57.673999999999999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0.20399828232499972</v>
      </c>
      <c r="AU20" s="17">
        <f t="shared" si="11"/>
        <v>57445.387507090018</v>
      </c>
      <c r="AW20" s="6">
        <f t="shared" si="12"/>
        <v>-0.83042386749999997</v>
      </c>
      <c r="AX20" s="7">
        <f t="shared" si="13"/>
        <v>53530.944906867924</v>
      </c>
      <c r="AZ20" s="11">
        <f t="shared" si="14"/>
        <v>8.5134384999999995</v>
      </c>
      <c r="BA20" s="12">
        <f t="shared" si="15"/>
        <v>61753.2077544239</v>
      </c>
      <c r="BC20" s="13">
        <f t="shared" si="16"/>
        <v>-1.3136949714999999</v>
      </c>
      <c r="BD20" s="14">
        <f t="shared" si="17"/>
        <v>53083.911566890136</v>
      </c>
      <c r="BF20" s="16">
        <f t="shared" si="18"/>
        <v>0.20399828232499972</v>
      </c>
      <c r="BG20" s="17">
        <f t="shared" si="19"/>
        <v>57445.387507090018</v>
      </c>
      <c r="BI20">
        <v>56</v>
      </c>
      <c r="BJ20" t="s">
        <v>46</v>
      </c>
      <c r="BK20" s="2">
        <v>45944.782152777778</v>
      </c>
      <c r="BL20">
        <v>294</v>
      </c>
      <c r="BM20" t="s">
        <v>13</v>
      </c>
      <c r="BN20">
        <v>0</v>
      </c>
      <c r="BO20">
        <v>2.8759999999999999</v>
      </c>
      <c r="BP20" s="3">
        <v>889772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45944.803402777776</v>
      </c>
      <c r="D21">
        <v>376</v>
      </c>
      <c r="E21" t="s">
        <v>13</v>
      </c>
      <c r="F21">
        <v>0</v>
      </c>
      <c r="G21">
        <v>6.1120000000000001</v>
      </c>
      <c r="H21" s="3">
        <v>890</v>
      </c>
      <c r="I21">
        <v>2E-3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45944.803402777776</v>
      </c>
      <c r="R21">
        <v>376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45944.803402777776</v>
      </c>
      <c r="AF21">
        <v>376</v>
      </c>
      <c r="AG21" t="s">
        <v>13</v>
      </c>
      <c r="AH21">
        <v>0</v>
      </c>
      <c r="AI21">
        <v>12.067</v>
      </c>
      <c r="AJ21" s="3">
        <v>259632</v>
      </c>
      <c r="AK21">
        <v>55.826999999999998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-0.16329269469999996</v>
      </c>
      <c r="AU21" s="17">
        <f t="shared" si="11"/>
        <v>55617.709204997118</v>
      </c>
      <c r="AW21" s="6">
        <f t="shared" si="12"/>
        <v>-0.9468468699999999</v>
      </c>
      <c r="AX21" s="7">
        <f t="shared" si="13"/>
        <v>51841.962451179519</v>
      </c>
      <c r="AZ21" s="11">
        <f t="shared" si="14"/>
        <v>8.9068840000000016</v>
      </c>
      <c r="BA21" s="12">
        <f t="shared" si="15"/>
        <v>59776.827485158399</v>
      </c>
      <c r="BC21" s="13">
        <f t="shared" si="16"/>
        <v>-1.5825694059999997</v>
      </c>
      <c r="BD21" s="14">
        <f t="shared" si="17"/>
        <v>51391.54872656129</v>
      </c>
      <c r="BF21" s="16">
        <f t="shared" si="18"/>
        <v>-0.16329269469999996</v>
      </c>
      <c r="BG21" s="17">
        <f t="shared" si="19"/>
        <v>55617.709204997118</v>
      </c>
      <c r="BI21">
        <v>57</v>
      </c>
      <c r="BJ21" t="s">
        <v>47</v>
      </c>
      <c r="BK21" s="2">
        <v>45944.803402777776</v>
      </c>
      <c r="BL21">
        <v>376</v>
      </c>
      <c r="BM21" t="s">
        <v>13</v>
      </c>
      <c r="BN21">
        <v>0</v>
      </c>
      <c r="BO21">
        <v>2.8719999999999999</v>
      </c>
      <c r="BP21" s="3">
        <v>937870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45944.824606481481</v>
      </c>
      <c r="D22">
        <v>354</v>
      </c>
      <c r="E22" t="s">
        <v>13</v>
      </c>
      <c r="F22">
        <v>0</v>
      </c>
      <c r="G22">
        <v>6.0590000000000002</v>
      </c>
      <c r="H22" s="3">
        <v>9149</v>
      </c>
      <c r="I22">
        <v>2.1000000000000001E-2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45944.824606481481</v>
      </c>
      <c r="R22">
        <v>354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45944.824606481481</v>
      </c>
      <c r="AF22">
        <v>354</v>
      </c>
      <c r="AG22" t="s">
        <v>13</v>
      </c>
      <c r="AH22">
        <v>0</v>
      </c>
      <c r="AI22">
        <v>12.218</v>
      </c>
      <c r="AJ22" s="3">
        <v>75204</v>
      </c>
      <c r="AK22">
        <v>16.318000000000001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29.298717779092996</v>
      </c>
      <c r="AU22" s="17">
        <f t="shared" si="11"/>
        <v>16676.835886038079</v>
      </c>
      <c r="AW22" s="6">
        <f t="shared" si="12"/>
        <v>17.9957205053</v>
      </c>
      <c r="AX22" s="7">
        <f t="shared" si="13"/>
        <v>15296.634825959678</v>
      </c>
      <c r="AZ22" s="11">
        <f t="shared" si="14"/>
        <v>14.325283540000003</v>
      </c>
      <c r="BA22" s="12">
        <f t="shared" si="15"/>
        <v>16619.7150579056</v>
      </c>
      <c r="BC22" s="13">
        <f t="shared" si="16"/>
        <v>23.414355045139999</v>
      </c>
      <c r="BD22" s="14">
        <f t="shared" si="17"/>
        <v>14827.980131967521</v>
      </c>
      <c r="BF22" s="16">
        <f t="shared" si="18"/>
        <v>29.298717779092996</v>
      </c>
      <c r="BG22" s="17">
        <f t="shared" si="19"/>
        <v>16676.835886038079</v>
      </c>
      <c r="BI22">
        <v>58</v>
      </c>
      <c r="BJ22" t="s">
        <v>48</v>
      </c>
      <c r="BK22" s="2">
        <v>45944.824606481481</v>
      </c>
      <c r="BL22">
        <v>354</v>
      </c>
      <c r="BM22" t="s">
        <v>13</v>
      </c>
      <c r="BN22">
        <v>0</v>
      </c>
      <c r="BO22">
        <v>2.8769999999999998</v>
      </c>
      <c r="BP22" s="3">
        <v>864163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45944.845821759256</v>
      </c>
      <c r="D23">
        <v>172</v>
      </c>
      <c r="E23" t="s">
        <v>13</v>
      </c>
      <c r="F23">
        <v>0</v>
      </c>
      <c r="G23">
        <v>6.109</v>
      </c>
      <c r="H23" s="3">
        <v>899</v>
      </c>
      <c r="I23">
        <v>2E-3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45944.845821759256</v>
      </c>
      <c r="R23">
        <v>172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45944.845821759256</v>
      </c>
      <c r="AF23">
        <v>172</v>
      </c>
      <c r="AG23" t="s">
        <v>13</v>
      </c>
      <c r="AH23">
        <v>0</v>
      </c>
      <c r="AI23">
        <v>12.063000000000001</v>
      </c>
      <c r="AJ23" s="3">
        <v>258163</v>
      </c>
      <c r="AK23">
        <v>55.515999999999998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-0.13181794890700038</v>
      </c>
      <c r="AU23" s="17">
        <f t="shared" si="11"/>
        <v>55310.392910877221</v>
      </c>
      <c r="AW23" s="6">
        <f t="shared" si="12"/>
        <v>-0.93699329470000003</v>
      </c>
      <c r="AX23" s="7">
        <f t="shared" si="13"/>
        <v>51557.731705799124</v>
      </c>
      <c r="AZ23" s="11">
        <f t="shared" si="14"/>
        <v>8.8726935400000002</v>
      </c>
      <c r="BA23" s="12">
        <f t="shared" si="15"/>
        <v>59444.066396127906</v>
      </c>
      <c r="BC23" s="13">
        <f t="shared" si="16"/>
        <v>-1.55957239486</v>
      </c>
      <c r="BD23" s="14">
        <f t="shared" si="17"/>
        <v>51106.772226306937</v>
      </c>
      <c r="BF23" s="16">
        <f t="shared" si="18"/>
        <v>-0.13181794890700038</v>
      </c>
      <c r="BG23" s="17">
        <f t="shared" si="19"/>
        <v>55310.392910877221</v>
      </c>
      <c r="BI23">
        <v>59</v>
      </c>
      <c r="BJ23" t="s">
        <v>49</v>
      </c>
      <c r="BK23" s="2">
        <v>45944.845821759256</v>
      </c>
      <c r="BL23">
        <v>172</v>
      </c>
      <c r="BM23" t="s">
        <v>13</v>
      </c>
      <c r="BN23">
        <v>0</v>
      </c>
      <c r="BO23">
        <v>2.8740000000000001</v>
      </c>
      <c r="BP23" s="3">
        <v>903744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45944.867060185185</v>
      </c>
      <c r="D24">
        <v>269</v>
      </c>
      <c r="E24" t="s">
        <v>13</v>
      </c>
      <c r="F24">
        <v>0</v>
      </c>
      <c r="G24">
        <v>6.0730000000000004</v>
      </c>
      <c r="H24" s="3">
        <v>2517</v>
      </c>
      <c r="I24">
        <v>6.0000000000000001E-3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45944.867060185185</v>
      </c>
      <c r="R24">
        <v>269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45944.867060185185</v>
      </c>
      <c r="AF24">
        <v>269</v>
      </c>
      <c r="AG24" t="s">
        <v>13</v>
      </c>
      <c r="AH24">
        <v>0</v>
      </c>
      <c r="AI24">
        <v>12.281000000000001</v>
      </c>
      <c r="AJ24" s="3">
        <v>21776</v>
      </c>
      <c r="AK24">
        <v>4.6749999999999998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5.5489996094769989</v>
      </c>
      <c r="AU24" s="17">
        <f t="shared" si="11"/>
        <v>4801.1264917836797</v>
      </c>
      <c r="AW24" s="6">
        <f t="shared" si="12"/>
        <v>1.2169607917000003</v>
      </c>
      <c r="AX24" s="7">
        <f t="shared" si="13"/>
        <v>4385.2977646284799</v>
      </c>
      <c r="AZ24" s="11">
        <f t="shared" si="14"/>
        <v>4.1475510599999996</v>
      </c>
      <c r="BA24" s="12">
        <f t="shared" si="15"/>
        <v>5075.3440363263999</v>
      </c>
      <c r="BC24" s="13">
        <f t="shared" si="16"/>
        <v>2.7251994134600004</v>
      </c>
      <c r="BD24" s="14">
        <f t="shared" si="17"/>
        <v>4469.8231882752007</v>
      </c>
      <c r="BF24" s="16">
        <f t="shared" si="18"/>
        <v>5.5489996094769989</v>
      </c>
      <c r="BG24" s="17">
        <f t="shared" si="19"/>
        <v>4801.1264917836797</v>
      </c>
      <c r="BI24">
        <v>60</v>
      </c>
      <c r="BJ24" t="s">
        <v>50</v>
      </c>
      <c r="BK24" s="2">
        <v>45944.867060185185</v>
      </c>
      <c r="BL24">
        <v>269</v>
      </c>
      <c r="BM24" t="s">
        <v>13</v>
      </c>
      <c r="BN24">
        <v>0</v>
      </c>
      <c r="BO24">
        <v>2.863</v>
      </c>
      <c r="BP24" s="3">
        <v>1100715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45945.442129629628</v>
      </c>
      <c r="D25">
        <v>82</v>
      </c>
      <c r="E25" t="s">
        <v>13</v>
      </c>
      <c r="F25">
        <v>0</v>
      </c>
      <c r="G25">
        <v>6.0810000000000004</v>
      </c>
      <c r="H25" s="3">
        <v>4112</v>
      </c>
      <c r="I25">
        <v>0.01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45945.442129629628</v>
      </c>
      <c r="R25">
        <v>82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45945.442129629628</v>
      </c>
      <c r="AF25">
        <v>82</v>
      </c>
      <c r="AG25" t="s">
        <v>13</v>
      </c>
      <c r="AH25">
        <v>0</v>
      </c>
      <c r="AI25">
        <v>12.308</v>
      </c>
      <c r="AJ25" s="3">
        <v>22112</v>
      </c>
      <c r="AK25">
        <v>4.7489999999999997</v>
      </c>
      <c r="AL25" t="s">
        <v>14</v>
      </c>
      <c r="AM25" t="s">
        <v>14</v>
      </c>
      <c r="AN25" t="s">
        <v>14</v>
      </c>
      <c r="AO25" t="s">
        <v>14</v>
      </c>
      <c r="AQ25">
        <v>2</v>
      </c>
      <c r="AR25" t="s">
        <v>56</v>
      </c>
      <c r="AS25" s="10">
        <v>61</v>
      </c>
      <c r="AT25" s="16">
        <f t="shared" si="10"/>
        <v>11.192588264191999</v>
      </c>
      <c r="AU25" s="17">
        <f t="shared" si="11"/>
        <v>4876.9100875059203</v>
      </c>
      <c r="AW25" s="6">
        <f t="shared" si="12"/>
        <v>4.0849202432000009</v>
      </c>
      <c r="AX25" s="7">
        <f t="shared" si="13"/>
        <v>4454.3726373171203</v>
      </c>
      <c r="AZ25" s="11">
        <f t="shared" si="14"/>
        <v>2.2569337600000026</v>
      </c>
      <c r="BA25" s="12">
        <f t="shared" si="15"/>
        <v>5150.6022178815992</v>
      </c>
      <c r="BC25" s="13">
        <f t="shared" si="16"/>
        <v>7.2418902041600006</v>
      </c>
      <c r="BD25" s="14">
        <f t="shared" si="17"/>
        <v>4537.8213554688</v>
      </c>
      <c r="BF25" s="16">
        <f t="shared" si="18"/>
        <v>11.192588264191999</v>
      </c>
      <c r="BG25" s="17">
        <f t="shared" si="19"/>
        <v>4876.9100875059203</v>
      </c>
      <c r="BI25">
        <v>61</v>
      </c>
      <c r="BJ25" t="s">
        <v>51</v>
      </c>
      <c r="BK25" s="2">
        <v>45945.442129629628</v>
      </c>
      <c r="BL25">
        <v>82</v>
      </c>
      <c r="BM25" t="s">
        <v>13</v>
      </c>
      <c r="BN25">
        <v>0</v>
      </c>
      <c r="BO25">
        <v>2.83</v>
      </c>
      <c r="BP25" s="3">
        <v>1808384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45945.46334490741</v>
      </c>
      <c r="D26">
        <v>192</v>
      </c>
      <c r="E26" t="s">
        <v>13</v>
      </c>
      <c r="F26">
        <v>0</v>
      </c>
      <c r="G26">
        <v>6.0609999999999999</v>
      </c>
      <c r="H26" s="3">
        <v>5441</v>
      </c>
      <c r="I26">
        <v>1.2999999999999999E-2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45945.46334490741</v>
      </c>
      <c r="R26">
        <v>192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45945.46334490741</v>
      </c>
      <c r="AF26">
        <v>192</v>
      </c>
      <c r="AG26" t="s">
        <v>13</v>
      </c>
      <c r="AH26">
        <v>0</v>
      </c>
      <c r="AI26">
        <v>12.285</v>
      </c>
      <c r="AJ26" s="3">
        <v>8572</v>
      </c>
      <c r="AK26">
        <v>1.784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15.927992857132997</v>
      </c>
      <c r="AU26" s="17">
        <f t="shared" si="11"/>
        <v>1814.2387764411201</v>
      </c>
      <c r="AW26" s="6">
        <f t="shared" si="12"/>
        <v>7.0392219892999996</v>
      </c>
      <c r="AX26" s="7">
        <f t="shared" si="13"/>
        <v>1666.2572112243199</v>
      </c>
      <c r="AZ26" s="11">
        <f t="shared" si="14"/>
        <v>2.7800547400000006</v>
      </c>
      <c r="BA26" s="12">
        <f t="shared" si="15"/>
        <v>2036.3341441775999</v>
      </c>
      <c r="BC26" s="13">
        <f t="shared" si="16"/>
        <v>11.227373044339998</v>
      </c>
      <c r="BD26" s="14">
        <f t="shared" si="17"/>
        <v>1786.9659447967999</v>
      </c>
      <c r="BF26" s="16">
        <f t="shared" si="18"/>
        <v>15.927992857132997</v>
      </c>
      <c r="BG26" s="17">
        <f t="shared" si="19"/>
        <v>1814.2387764411201</v>
      </c>
      <c r="BI26">
        <v>62</v>
      </c>
      <c r="BJ26" t="s">
        <v>52</v>
      </c>
      <c r="BK26" s="2">
        <v>45945.46334490741</v>
      </c>
      <c r="BL26">
        <v>192</v>
      </c>
      <c r="BM26" t="s">
        <v>13</v>
      </c>
      <c r="BN26">
        <v>0</v>
      </c>
      <c r="BO26">
        <v>2.8690000000000002</v>
      </c>
      <c r="BP26" s="3">
        <v>1005887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45945.484537037039</v>
      </c>
      <c r="D27">
        <v>414</v>
      </c>
      <c r="E27" t="s">
        <v>13</v>
      </c>
      <c r="F27">
        <v>0</v>
      </c>
      <c r="G27">
        <v>6.0759999999999996</v>
      </c>
      <c r="H27" s="3">
        <v>3013</v>
      </c>
      <c r="I27">
        <v>7.0000000000000001E-3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45945.484537037039</v>
      </c>
      <c r="R27">
        <v>414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45945.484537037039</v>
      </c>
      <c r="AF27">
        <v>414</v>
      </c>
      <c r="AG27" t="s">
        <v>13</v>
      </c>
      <c r="AH27">
        <v>0</v>
      </c>
      <c r="AI27">
        <v>12.273999999999999</v>
      </c>
      <c r="AJ27" s="3">
        <v>25519</v>
      </c>
      <c r="AK27">
        <v>5.4939999999999998</v>
      </c>
      <c r="AL27" t="s">
        <v>14</v>
      </c>
      <c r="AM27" t="s">
        <v>14</v>
      </c>
      <c r="AN27" t="s">
        <v>14</v>
      </c>
      <c r="AO27" t="s">
        <v>14</v>
      </c>
      <c r="AQ27">
        <v>2</v>
      </c>
      <c r="AR27" t="s">
        <v>57</v>
      </c>
      <c r="AS27" s="10">
        <v>63</v>
      </c>
      <c r="AT27" s="16">
        <f t="shared" si="10"/>
        <v>7.2993668893169996</v>
      </c>
      <c r="AU27" s="17">
        <f t="shared" si="11"/>
        <v>5644.7209659557302</v>
      </c>
      <c r="AW27" s="6">
        <f t="shared" si="12"/>
        <v>2.0296116557000001</v>
      </c>
      <c r="AX27" s="7">
        <f t="shared" si="13"/>
        <v>5154.45818190728</v>
      </c>
      <c r="AZ27" s="11">
        <f t="shared" si="14"/>
        <v>3.2652662600000024</v>
      </c>
      <c r="BA27" s="12">
        <f t="shared" si="15"/>
        <v>5907.8948494478991</v>
      </c>
      <c r="BC27" s="13">
        <f t="shared" si="16"/>
        <v>4.0986155766599994</v>
      </c>
      <c r="BD27" s="14">
        <f t="shared" si="17"/>
        <v>5226.5520822121998</v>
      </c>
      <c r="BF27" s="16">
        <f t="shared" si="18"/>
        <v>7.2993668893169996</v>
      </c>
      <c r="BG27" s="17">
        <f t="shared" si="19"/>
        <v>5644.7209659557302</v>
      </c>
      <c r="BI27">
        <v>63</v>
      </c>
      <c r="BJ27" t="s">
        <v>53</v>
      </c>
      <c r="BK27" s="2">
        <v>45945.484537037039</v>
      </c>
      <c r="BL27">
        <v>414</v>
      </c>
      <c r="BM27" t="s">
        <v>13</v>
      </c>
      <c r="BN27">
        <v>0</v>
      </c>
      <c r="BO27">
        <v>2.851</v>
      </c>
      <c r="BP27" s="3">
        <v>1347417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45945.50577546296</v>
      </c>
      <c r="D28">
        <v>324</v>
      </c>
      <c r="E28" t="s">
        <v>13</v>
      </c>
      <c r="F28">
        <v>0</v>
      </c>
      <c r="G28">
        <v>6.085</v>
      </c>
      <c r="H28" s="3">
        <v>2416</v>
      </c>
      <c r="I28">
        <v>6.0000000000000001E-3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45945.50577546296</v>
      </c>
      <c r="R28">
        <v>324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45945.50577546296</v>
      </c>
      <c r="AF28">
        <v>324</v>
      </c>
      <c r="AG28" t="s">
        <v>13</v>
      </c>
      <c r="AH28">
        <v>0</v>
      </c>
      <c r="AI28">
        <v>12.284000000000001</v>
      </c>
      <c r="AJ28" s="3">
        <v>22426</v>
      </c>
      <c r="AK28">
        <v>4.8170000000000002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5.1930861166079989</v>
      </c>
      <c r="AU28" s="17">
        <f t="shared" si="11"/>
        <v>4947.7216468926799</v>
      </c>
      <c r="AW28" s="6">
        <f t="shared" si="12"/>
        <v>1.0602426367999997</v>
      </c>
      <c r="AX28" s="7">
        <f t="shared" si="13"/>
        <v>4518.9195418524805</v>
      </c>
      <c r="AZ28" s="11">
        <f t="shared" si="14"/>
        <v>4.3597702400000014</v>
      </c>
      <c r="BA28" s="12">
        <f t="shared" si="15"/>
        <v>5220.8396903963994</v>
      </c>
      <c r="BC28" s="13">
        <f t="shared" si="16"/>
        <v>2.4489773798399996</v>
      </c>
      <c r="BD28" s="14">
        <f t="shared" si="17"/>
        <v>4601.3550565352007</v>
      </c>
      <c r="BF28" s="16">
        <f t="shared" si="18"/>
        <v>5.1930861166079989</v>
      </c>
      <c r="BG28" s="17">
        <f t="shared" si="19"/>
        <v>4947.7216468926799</v>
      </c>
      <c r="BI28">
        <v>64</v>
      </c>
      <c r="BJ28" t="s">
        <v>54</v>
      </c>
      <c r="BK28" s="2">
        <v>45945.50577546296</v>
      </c>
      <c r="BL28">
        <v>324</v>
      </c>
      <c r="BM28" t="s">
        <v>13</v>
      </c>
      <c r="BN28">
        <v>0</v>
      </c>
      <c r="BO28">
        <v>2.8660000000000001</v>
      </c>
      <c r="BP28" s="3">
        <v>1047956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45945.527013888888</v>
      </c>
      <c r="D29">
        <v>152</v>
      </c>
      <c r="E29" t="s">
        <v>13</v>
      </c>
      <c r="F29">
        <v>0</v>
      </c>
      <c r="G29">
        <v>6.0730000000000004</v>
      </c>
      <c r="H29" s="3">
        <v>3353</v>
      </c>
      <c r="I29">
        <v>8.0000000000000002E-3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45945.527013888888</v>
      </c>
      <c r="R29">
        <v>152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45945.527013888888</v>
      </c>
      <c r="AF29">
        <v>152</v>
      </c>
      <c r="AG29" t="s">
        <v>13</v>
      </c>
      <c r="AH29">
        <v>0</v>
      </c>
      <c r="AI29">
        <v>12.276</v>
      </c>
      <c r="AJ29" s="3">
        <v>24562</v>
      </c>
      <c r="AK29" s="15">
        <v>5.2839999999999998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8.5016294782369997</v>
      </c>
      <c r="AU29" s="17">
        <f t="shared" si="11"/>
        <v>5429.1638692149209</v>
      </c>
      <c r="AW29" s="6">
        <f t="shared" si="12"/>
        <v>2.6279707877000007</v>
      </c>
      <c r="AX29" s="7">
        <f t="shared" si="13"/>
        <v>4957.8693921411204</v>
      </c>
      <c r="AZ29" s="11">
        <f t="shared" si="14"/>
        <v>2.8139638599999994</v>
      </c>
      <c r="BA29" s="12">
        <f t="shared" si="15"/>
        <v>5696.2465899515992</v>
      </c>
      <c r="BC29" s="13">
        <f t="shared" si="16"/>
        <v>5.0563116782600002</v>
      </c>
      <c r="BD29" s="14">
        <f t="shared" si="17"/>
        <v>5033.2331477288008</v>
      </c>
      <c r="BF29" s="16">
        <f t="shared" si="18"/>
        <v>8.5016294782369997</v>
      </c>
      <c r="BG29" s="17">
        <f t="shared" si="19"/>
        <v>5429.1638692149209</v>
      </c>
      <c r="BI29">
        <v>65</v>
      </c>
      <c r="BJ29" t="s">
        <v>55</v>
      </c>
      <c r="BK29" s="2">
        <v>45945.527013888888</v>
      </c>
      <c r="BL29">
        <v>152</v>
      </c>
      <c r="BM29" t="s">
        <v>13</v>
      </c>
      <c r="BN29">
        <v>0</v>
      </c>
      <c r="BO29">
        <v>2.863</v>
      </c>
      <c r="BP29" s="3">
        <v>1093060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2025-10-15T21:40:56Z</dcterms:modified>
</cp:coreProperties>
</file>