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23BAC6F3-AB87-4CC5-BBD8-8726FEFC150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<sst xmlns="http://schemas.openxmlformats.org/spreadsheetml/2006/main" count="542" uniqueCount="54">
  <si>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</si>
  <si>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</si>
  <si>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</si>
  <si>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</si>
  <si>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</si>
  <si>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</si>
  <si>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</si>
  <si>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</si>
  <si>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</si>
  <si>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</si>
  <si>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</si>
  <si>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</si>
  <si>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</si>
  <si>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</si>
  <si>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</si>
  <si>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</si>
  <si>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</si>
  <si>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</si>
  <si>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</si>
  <si>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</si>
  <si>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</si>
  <si>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</si>
  <si>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</si>
  <si>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</si>
  <si>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</si>
  <si>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</si>
  <si>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</si>
  <si>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</si>
  <si>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</si>
  <si>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</si>
  <si>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</si>
  <si>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</si>
  <si>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</si>
  <si>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</si>
  <si>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</si>
  <si>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FMI20251204_001.gcd</t>
  </si>
  <si>
    <t>FMI20251204_002.gcd</t>
  </si>
  <si>
    <t>FMI20251204_003.gcd</t>
  </si>
  <si>
    <t>FMI20251204_004.gcd</t>
  </si>
  <si>
    <t>FMI20251204_005.gcd</t>
  </si>
  <si>
    <t>FMI20251204_006.gcd</t>
  </si>
  <si>
    <t>FMI20251204_007.gcd</t>
  </si>
  <si>
    <t>FMI20251204_008.gcd</t>
  </si>
  <si>
    <t>FMI20251204_009.gcd</t>
  </si>
  <si>
    <t>FMI20251204_010.gcd</t>
  </si>
  <si>
    <t>FMI20251204_011.gcd</t>
  </si>
  <si>
    <t>FMI20251204_012.gcd</t>
  </si>
  <si>
    <t>FMI20251204_013.gcd</t>
  </si>
  <si>
    <t>FMI20251204_014.gcd</t>
  </si>
  <si>
    <t>FMI20251204_015.gcd</t>
  </si>
  <si>
    <t>FMI20251204_016.gcd</t>
  </si>
  <si>
    <t>FMI20251204_017.gcd</t>
  </si>
  <si>
    <t>CO2 interference. Do not use CO2. Use CH4.</t>
  </si>
  <si>
    <t>Partial CO2 interference. If dups don't match for CO2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</si>
</sst>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H6" workbookViewId="0">
      <selection activeCell="AL21" sqref="AL2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45995.504502314812</v>
      </c>
      <c r="D9" t="s">
        <v>33</v>
      </c>
      <c r="E9" t="s">
        <v>13</v>
      </c>
      <c r="F9">
        <v>0</v>
      </c>
      <c r="G9">
        <v>6.1269999999999998</v>
      </c>
      <c r="H9" s="3">
        <v>1639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45995.504502314812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45995.504502314812</v>
      </c>
      <c r="AF9" t="s">
        <v>33</v>
      </c>
      <c r="AG9" t="s">
        <v>13</v>
      </c>
      <c r="AH9">
        <v>0</v>
      </c>
      <c r="AI9">
        <v>12.407</v>
      </c>
      <c r="AJ9" s="3">
        <v>2749</v>
      </c>
      <c r="AK9">
        <v>0.50700000000000001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2.4608129242529992</v>
      </c>
      <c r="AU9" s="17">
        <f t="shared" ref="AU9:AU14" si="1">IF(AJ9&lt;45000,((-0.00000004907*AJ9^2)+(0.2277*AJ9)+(-134)),((-0.00000001062*AJ9^2)+(0.2147*AJ9)+(590.6)))</f>
        <v>491.57647796092999</v>
      </c>
      <c r="AW9" s="6">
        <f t="shared" ref="AW9:AW14" si="2">IF(H9&lt;10000,((0.0000001453*H9^2)+(0.0008349*H9)+(-1.805)),(IF(H9&lt;700000,((-0.00000000008054*H9^2)+(0.002348*H9)+(-2.47)), ((-0.00000001938*V9^2)+(0.2471*V9)+(226.8)))))</f>
        <v>-4.6276458699999745E-2</v>
      </c>
      <c r="AX9" s="7">
        <f t="shared" ref="AX9:AX14" si="3">(-0.00000002552*AJ9^2)+(0.2067*AJ9)+(-103.7)</f>
        <v>464.32544533447998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6.3607783400000004</v>
      </c>
      <c r="BA9" s="12">
        <f t="shared" ref="BA9:BA14" si="5">IF(AJ9&lt;45000,((-0.0000004561*AJ9^2)+(0.244*AJ9)+(-21.72)),((-0.0000000409*AJ9^2)+(0.2477*AJ9)+(-1777)))</f>
        <v>645.5892518439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0.36296338194000022</v>
      </c>
      <c r="BD9" s="14">
        <f t="shared" ref="BD9:BD14" si="7">IF(AJ9&lt;45000,((-0.0000000598*AJ9^2)+(0.205*AJ9)+(34.1)),((-0.00000002403*AJ9^2)+(0.2063*AJ9)+(-550.7)))</f>
        <v>597.1930913402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2.4608129242529992</v>
      </c>
      <c r="BG9" s="17">
        <f t="shared" ref="BG9:BG14" si="9">IF(AJ9&lt;45000,((-0.00000004907*AJ9^2)+(0.2277*AJ9)+(-134)),((-0.00000001062*AJ9^2)+(0.2147*AJ9)+(590.6)))</f>
        <v>491.57647796092999</v>
      </c>
      <c r="BI9">
        <v>45</v>
      </c>
      <c r="BJ9" t="s">
        <v>35</v>
      </c>
      <c r="BK9" s="2">
        <v>45995.504502314812</v>
      </c>
      <c r="BL9" t="s">
        <v>33</v>
      </c>
      <c r="BM9" t="s">
        <v>13</v>
      </c>
      <c r="BN9">
        <v>0</v>
      </c>
      <c r="BO9">
        <v>2.74</v>
      </c>
      <c r="BP9" s="3">
        <v>4857169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45995.525740740741</v>
      </c>
      <c r="D10" t="s">
        <v>34</v>
      </c>
      <c r="E10" t="s">
        <v>13</v>
      </c>
      <c r="F10">
        <v>0</v>
      </c>
      <c r="G10">
        <v>6.0720000000000001</v>
      </c>
      <c r="H10" s="3">
        <v>758366</v>
      </c>
      <c r="I10">
        <v>1.712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45995.525740740741</v>
      </c>
      <c r="R10" t="s">
        <v>34</v>
      </c>
      <c r="S10" t="s">
        <v>13</v>
      </c>
      <c r="T10">
        <v>0</v>
      </c>
      <c r="U10">
        <v>6.0209999999999999</v>
      </c>
      <c r="V10" s="3">
        <v>5690</v>
      </c>
      <c r="W10">
        <v>1.498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45995.525740740741</v>
      </c>
      <c r="AF10" t="s">
        <v>34</v>
      </c>
      <c r="AG10" t="s">
        <v>13</v>
      </c>
      <c r="AH10">
        <v>0</v>
      </c>
      <c r="AI10">
        <v>12.368</v>
      </c>
      <c r="AJ10" s="3">
        <v>7207</v>
      </c>
      <c r="AK10">
        <v>1.484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1729.5512322702141</v>
      </c>
      <c r="AU10" s="17">
        <f t="shared" si="1"/>
        <v>1504.4851625395702</v>
      </c>
      <c r="AW10" s="6">
        <f t="shared" si="2"/>
        <v>1632.171551182</v>
      </c>
      <c r="AX10" s="7">
        <f t="shared" si="3"/>
        <v>1384.66136953352</v>
      </c>
      <c r="AZ10" s="11">
        <f t="shared" si="4"/>
        <v>1614.6328267868184</v>
      </c>
      <c r="BA10" s="12">
        <f t="shared" si="5"/>
        <v>1713.0977787710999</v>
      </c>
      <c r="BC10" s="13">
        <f t="shared" si="6"/>
        <v>1778.6126002622727</v>
      </c>
      <c r="BD10" s="14">
        <f t="shared" si="7"/>
        <v>1508.4289372297999</v>
      </c>
      <c r="BF10" s="16">
        <f t="shared" si="8"/>
        <v>1729.5512322702141</v>
      </c>
      <c r="BG10" s="17">
        <f t="shared" si="9"/>
        <v>1504.4851625395702</v>
      </c>
      <c r="BI10">
        <v>46</v>
      </c>
      <c r="BJ10" t="s">
        <v>36</v>
      </c>
      <c r="BK10" s="2">
        <v>45995.525740740741</v>
      </c>
      <c r="BL10" t="s">
        <v>34</v>
      </c>
      <c r="BM10" t="s">
        <v>13</v>
      </c>
      <c r="BN10">
        <v>0</v>
      </c>
      <c r="BO10">
        <v>2.7349999999999999</v>
      </c>
      <c r="BP10" s="3">
        <v>4984368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45995.546990740739</v>
      </c>
      <c r="D11" t="s">
        <v>28</v>
      </c>
      <c r="E11" t="s">
        <v>13</v>
      </c>
      <c r="F11">
        <v>0</v>
      </c>
      <c r="G11">
        <v>6.1020000000000003</v>
      </c>
      <c r="H11" s="3">
        <v>2653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45995.546990740739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45995.546990740739</v>
      </c>
      <c r="AF11" t="s">
        <v>28</v>
      </c>
      <c r="AG11" t="s">
        <v>13</v>
      </c>
      <c r="AH11">
        <v>0</v>
      </c>
      <c r="AI11">
        <v>12.381</v>
      </c>
      <c r="AJ11" s="3">
        <v>1651</v>
      </c>
      <c r="AK11">
        <v>0.26600000000000001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6.028523207636999</v>
      </c>
      <c r="AU11" s="17">
        <f t="shared" si="1"/>
        <v>241.79894494492999</v>
      </c>
      <c r="AW11" s="6">
        <f t="shared" si="2"/>
        <v>1.4326705276999998</v>
      </c>
      <c r="AX11" s="7">
        <f t="shared" si="3"/>
        <v>237.49213755848001</v>
      </c>
      <c r="AZ11" s="11">
        <f t="shared" si="4"/>
        <v>3.8791958600000012</v>
      </c>
      <c r="BA11" s="12">
        <f t="shared" si="5"/>
        <v>379.88076216390004</v>
      </c>
      <c r="BC11" s="13">
        <f t="shared" si="6"/>
        <v>3.0989836902599999</v>
      </c>
      <c r="BD11" s="14">
        <f t="shared" si="7"/>
        <v>372.3919971002</v>
      </c>
      <c r="BF11" s="16">
        <f t="shared" si="8"/>
        <v>6.028523207636999</v>
      </c>
      <c r="BG11" s="17">
        <f t="shared" si="9"/>
        <v>241.79894494492999</v>
      </c>
      <c r="BI11">
        <v>47</v>
      </c>
      <c r="BJ11" t="s">
        <v>37</v>
      </c>
      <c r="BK11" s="2">
        <v>45995.546990740739</v>
      </c>
      <c r="BL11" t="s">
        <v>28</v>
      </c>
      <c r="BM11" t="s">
        <v>13</v>
      </c>
      <c r="BN11">
        <v>0</v>
      </c>
      <c r="BO11">
        <v>2.734</v>
      </c>
      <c r="BP11" s="3">
        <v>5015528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45995.56821759259</v>
      </c>
      <c r="D12">
        <v>281</v>
      </c>
      <c r="E12" t="s">
        <v>13</v>
      </c>
      <c r="F12">
        <v>0</v>
      </c>
      <c r="G12">
        <v>6.1</v>
      </c>
      <c r="H12" s="3">
        <v>3184</v>
      </c>
      <c r="I12">
        <v>8.0000000000000002E-3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45995.56821759259</v>
      </c>
      <c r="R12">
        <v>281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45995.56821759259</v>
      </c>
      <c r="AF12">
        <v>281</v>
      </c>
      <c r="AG12" t="s">
        <v>13</v>
      </c>
      <c r="AH12">
        <v>0</v>
      </c>
      <c r="AI12">
        <v>12.343999999999999</v>
      </c>
      <c r="AJ12" s="3">
        <v>10381</v>
      </c>
      <c r="AK12">
        <v>2.1800000000000002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7.903788811007999</v>
      </c>
      <c r="AU12" s="17">
        <f t="shared" si="1"/>
        <v>2224.4656635497304</v>
      </c>
      <c r="AW12" s="6">
        <f t="shared" si="2"/>
        <v>2.3263520768000001</v>
      </c>
      <c r="AX12" s="7">
        <f t="shared" si="3"/>
        <v>2039.3025330912799</v>
      </c>
      <c r="AZ12" s="11">
        <f t="shared" si="4"/>
        <v>3.02268224</v>
      </c>
      <c r="BA12" s="12">
        <f t="shared" si="5"/>
        <v>2462.0923100679001</v>
      </c>
      <c r="BC12" s="13">
        <f t="shared" si="6"/>
        <v>4.5786290918399999</v>
      </c>
      <c r="BD12" s="14">
        <f t="shared" si="7"/>
        <v>2155.7606433721999</v>
      </c>
      <c r="BF12" s="16">
        <f t="shared" si="8"/>
        <v>7.903788811007999</v>
      </c>
      <c r="BG12" s="17">
        <f t="shared" si="9"/>
        <v>2224.4656635497304</v>
      </c>
      <c r="BI12">
        <v>48</v>
      </c>
      <c r="BJ12" t="s">
        <v>38</v>
      </c>
      <c r="BK12" s="2">
        <v>45995.56821759259</v>
      </c>
      <c r="BL12">
        <v>281</v>
      </c>
      <c r="BM12" t="s">
        <v>13</v>
      </c>
      <c r="BN12">
        <v>0</v>
      </c>
      <c r="BO12">
        <v>2.8929999999999998</v>
      </c>
      <c r="BP12" s="3">
        <v>772506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45995.589432870373</v>
      </c>
      <c r="D13">
        <v>66</v>
      </c>
      <c r="E13" t="s">
        <v>13</v>
      </c>
      <c r="F13">
        <v>0</v>
      </c>
      <c r="G13">
        <v>6.085</v>
      </c>
      <c r="H13" s="3">
        <v>7217</v>
      </c>
      <c r="I13">
        <v>1.7000000000000001E-2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45995.589432870373</v>
      </c>
      <c r="R13">
        <v>66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45995.589432870373</v>
      </c>
      <c r="AF13">
        <v>66</v>
      </c>
      <c r="AG13" t="s">
        <v>13</v>
      </c>
      <c r="AH13">
        <v>0</v>
      </c>
      <c r="AI13">
        <v>12.340999999999999</v>
      </c>
      <c r="AJ13" s="3">
        <v>10059</v>
      </c>
      <c r="AK13">
        <v>2.11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22.302952660876997</v>
      </c>
      <c r="AU13" s="17">
        <f t="shared" si="1"/>
        <v>2151.4692265873305</v>
      </c>
      <c r="AW13" s="6">
        <f t="shared" si="2"/>
        <v>11.788436731700001</v>
      </c>
      <c r="AX13" s="7">
        <f t="shared" si="3"/>
        <v>1972.9130975648798</v>
      </c>
      <c r="AZ13" s="11">
        <f t="shared" si="4"/>
        <v>6.4569430599999986</v>
      </c>
      <c r="BA13" s="12">
        <f t="shared" si="5"/>
        <v>2386.5262143158998</v>
      </c>
      <c r="BC13" s="13">
        <f t="shared" si="6"/>
        <v>16.86844298546</v>
      </c>
      <c r="BD13" s="14">
        <f t="shared" si="7"/>
        <v>2090.1442278361997</v>
      </c>
      <c r="BF13" s="16">
        <f t="shared" si="8"/>
        <v>22.302952660876997</v>
      </c>
      <c r="BG13" s="17">
        <f t="shared" si="9"/>
        <v>2151.4692265873305</v>
      </c>
      <c r="BI13">
        <v>49</v>
      </c>
      <c r="BJ13" t="s">
        <v>39</v>
      </c>
      <c r="BK13" s="2">
        <v>45995.589432870373</v>
      </c>
      <c r="BL13">
        <v>66</v>
      </c>
      <c r="BM13" t="s">
        <v>13</v>
      </c>
      <c r="BN13">
        <v>0</v>
      </c>
      <c r="BO13">
        <v>2.8940000000000001</v>
      </c>
      <c r="BP13" s="3">
        <v>760399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45995.610659722224</v>
      </c>
      <c r="D14">
        <v>159</v>
      </c>
      <c r="E14" t="s">
        <v>13</v>
      </c>
      <c r="F14">
        <v>0</v>
      </c>
      <c r="G14">
        <v>6.0839999999999996</v>
      </c>
      <c r="H14" s="3">
        <v>7998</v>
      </c>
      <c r="I14">
        <v>1.7999999999999999E-2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45995.610659722224</v>
      </c>
      <c r="R14">
        <v>159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45995.610659722224</v>
      </c>
      <c r="AF14">
        <v>159</v>
      </c>
      <c r="AG14" t="s">
        <v>13</v>
      </c>
      <c r="AH14">
        <v>0</v>
      </c>
      <c r="AI14">
        <v>12.349</v>
      </c>
      <c r="AJ14" s="3">
        <v>9977</v>
      </c>
      <c r="AK14">
        <v>2.0920000000000001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25.123316257972</v>
      </c>
      <c r="AU14" s="17">
        <f t="shared" si="1"/>
        <v>2132.8784462419703</v>
      </c>
      <c r="AW14" s="6">
        <f t="shared" si="2"/>
        <v>14.1670811812</v>
      </c>
      <c r="AX14" s="7">
        <f t="shared" si="3"/>
        <v>1956.0056256999198</v>
      </c>
      <c r="AZ14" s="11">
        <f t="shared" si="4"/>
        <v>9.1522521600000051</v>
      </c>
      <c r="BA14" s="12">
        <f t="shared" si="5"/>
        <v>2367.2675647231003</v>
      </c>
      <c r="BC14" s="13">
        <f t="shared" si="6"/>
        <v>19.463225748559999</v>
      </c>
      <c r="BD14" s="14">
        <f t="shared" si="7"/>
        <v>2073.4324763658001</v>
      </c>
      <c r="BF14" s="16">
        <f t="shared" si="8"/>
        <v>25.123316257972</v>
      </c>
      <c r="BG14" s="17">
        <f t="shared" si="9"/>
        <v>2132.8784462419703</v>
      </c>
      <c r="BI14">
        <v>50</v>
      </c>
      <c r="BJ14" t="s">
        <v>40</v>
      </c>
      <c r="BK14" s="2">
        <v>45995.610659722224</v>
      </c>
      <c r="BL14">
        <v>159</v>
      </c>
      <c r="BM14" t="s">
        <v>13</v>
      </c>
      <c r="BN14">
        <v>0</v>
      </c>
      <c r="BO14">
        <v>2.8879999999999999</v>
      </c>
      <c r="BP14" s="3">
        <v>865449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45995.631886574076</v>
      </c>
      <c r="D15">
        <v>129</v>
      </c>
      <c r="E15" t="s">
        <v>13</v>
      </c>
      <c r="F15">
        <v>0</v>
      </c>
      <c r="G15">
        <v>6.0789999999999997</v>
      </c>
      <c r="H15" s="3">
        <v>8634</v>
      </c>
      <c r="I15">
        <v>0.02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45995.631886574076</v>
      </c>
      <c r="R15">
        <v>129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45995.631886574076</v>
      </c>
      <c r="AF15">
        <v>129</v>
      </c>
      <c r="AG15" t="s">
        <v>13</v>
      </c>
      <c r="AH15">
        <v>0</v>
      </c>
      <c r="AI15" t="s">
        <v>14</v>
      </c>
      <c r="AJ15" s="3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Q15">
        <v>2</v>
      </c>
      <c r="AR15" t="s">
        <v>52</v>
      </c>
      <c r="AS15" s="10">
        <v>51</v>
      </c>
      <c r="AT15" s="16">
        <f t="shared" ref="AT15:AT25" si="10">IF(H15&lt;10000,((H15^2*0.000000008493)+(H15*0.003482)+(-3.269)),(IF(H15&lt;200000,((H15^2*-0.000000000263)+(H15*0.002682)+(3.179)),(IF(H15&lt;8000000,((H15^2*-0.000000000005099)+(H15*0.002054)+(174.8)),((V15^2*-0.00000001014)+(V15*0.2415)+(1123)))))))</f>
        <v>27.427706804308002</v>
      </c>
      <c r="AU15" s="17" t="e">
        <f t="shared" ref="AU15:AU25" si="11">IF(AJ15&lt;45000,((-0.00000004907*AJ15^2)+(0.2277*AJ15)+(-134)),((-0.00000001062*AJ15^2)+(0.2147*AJ15)+(590.6)))</f>
        <v>#VALUE!</v>
      </c>
      <c r="AW15" s="6">
        <f t="shared" ref="AW15:AW25" si="12">IF(H15&lt;10000,((0.0000001453*H15^2)+(0.0008349*H15)+(-1.805)),(IF(H15&lt;700000,((-0.00000000008054*H15^2)+(0.002348*H15)+(-2.47)), ((-0.00000001938*V15^2)+(0.2471*V15)+(226.8)))))</f>
        <v>16.235054006800002</v>
      </c>
      <c r="AX15" s="7" t="e">
        <f t="shared" ref="AX15:AX25" si="13">(-0.00000002552*AJ15^2)+(0.2067*AJ15)+(-103.7)</f>
        <v>#VALUE!</v>
      </c>
      <c r="AZ15" s="11">
        <f t="shared" ref="AZ15:AZ25" si="14">IF(H15&lt;10000,((H15^2*0.00000054)+(H15*-0.004765)+(12.72)),(IF(H15&lt;200000,((H15^2*-0.000000001577)+(H15*0.003043)+(-10.42)),(IF(H15&lt;8000000,((H15^2*-0.0000000000186)+(H15*0.00194)+(154.1)),((V15^2*-0.00000002)+(V15*0.2565)+(-1032)))))))</f>
        <v>11.833806240000003</v>
      </c>
      <c r="BA15" s="12" t="e">
        <f t="shared" ref="BA15:BA25" si="15">IF(AJ15&lt;45000,((-0.0000004561*AJ15^2)+(0.244*AJ15)+(-21.72)),((-0.0000000409*AJ15^2)+(0.2477*AJ15)+(-1777)))</f>
        <v>#VALUE!</v>
      </c>
      <c r="BC15" s="13">
        <f t="shared" ref="BC15:BC25" si="16">IF(H15&lt;10000,((H15^2*0.00000005714)+(H15*0.002453)+(-3.811)),(IF(H15&lt;200000,((H15^2*-0.0000000002888)+(H15*0.002899)+(-4.321)),(IF(H15&lt;8000000,((H15^2*-0.0000000000062)+(H15*0.002143)+(157)),((V15^2*-0.000000031)+(V15*0.2771)+(-709.5)))))))</f>
        <v>21.627757925840001</v>
      </c>
      <c r="BD15" s="14" t="e">
        <f t="shared" ref="BD15:BD25" si="17">IF(AJ15&lt;45000,((-0.0000000598*AJ15^2)+(0.205*AJ15)+(34.1)),((-0.00000002403*AJ15^2)+(0.2063*AJ15)+(-550.7)))</f>
        <v>#VALUE!</v>
      </c>
      <c r="BF15" s="16">
        <f t="shared" ref="BF15:BF25" si="18">IF(H15&lt;10000,((H15^2*0.000000008493)+(H15*0.003482)+(-3.269)),(IF(H15&lt;200000,((H15^2*-0.000000000263)+(H15*0.002682)+(3.179)),(IF(H15&lt;8000000,((H15^2*-0.000000000005099)+(H15*0.002054)+(174.8)),((V15^2*-0.00000001014)+(V15*0.2415)+(1123)))))))</f>
        <v>27.427706804308002</v>
      </c>
      <c r="BG15" s="17" t="e">
        <f t="shared" ref="BG15:BG25" si="19">IF(AJ15&lt;45000,((-0.00000004907*AJ15^2)+(0.2277*AJ15)+(-134)),((-0.00000001062*AJ15^2)+(0.2147*AJ15)+(590.6)))</f>
        <v>#VALUE!</v>
      </c>
      <c r="BI15">
        <v>51</v>
      </c>
      <c r="BJ15" t="s">
        <v>41</v>
      </c>
      <c r="BK15" s="2">
        <v>45995.631886574076</v>
      </c>
      <c r="BL15">
        <v>129</v>
      </c>
      <c r="BM15" t="s">
        <v>13</v>
      </c>
      <c r="BN15">
        <v>0</v>
      </c>
      <c r="BO15">
        <v>2.89</v>
      </c>
      <c r="BP15" s="3">
        <v>802565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45995.653136574074</v>
      </c>
      <c r="D16">
        <v>33</v>
      </c>
      <c r="E16" t="s">
        <v>13</v>
      </c>
      <c r="F16">
        <v>0</v>
      </c>
      <c r="G16">
        <v>6.0970000000000004</v>
      </c>
      <c r="H16" s="3">
        <v>3498</v>
      </c>
      <c r="I16">
        <v>8.0000000000000002E-3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45995.653136574074</v>
      </c>
      <c r="R16">
        <v>33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45995.653136574074</v>
      </c>
      <c r="AF16">
        <v>33</v>
      </c>
      <c r="AG16" t="s">
        <v>13</v>
      </c>
      <c r="AH16">
        <v>0</v>
      </c>
      <c r="AI16">
        <v>12.147</v>
      </c>
      <c r="AJ16" s="3">
        <v>9112</v>
      </c>
      <c r="AK16">
        <v>1.9019999999999999</v>
      </c>
      <c r="AL16" t="s">
        <v>14</v>
      </c>
      <c r="AM16" t="s">
        <v>14</v>
      </c>
      <c r="AN16" t="s">
        <v>14</v>
      </c>
      <c r="AO16" t="s">
        <v>14</v>
      </c>
      <c r="AQ16">
        <v>2</v>
      </c>
      <c r="AR16" t="s">
        <v>53</v>
      </c>
      <c r="AS16" s="10">
        <v>52</v>
      </c>
      <c r="AT16" s="16">
        <f t="shared" si="10"/>
        <v>9.0149563819719987</v>
      </c>
      <c r="AU16" s="17">
        <f t="shared" si="11"/>
        <v>1936.7281893459199</v>
      </c>
      <c r="AW16" s="6">
        <f t="shared" si="12"/>
        <v>2.8933715812000003</v>
      </c>
      <c r="AX16" s="7">
        <f t="shared" si="13"/>
        <v>1777.6315115571199</v>
      </c>
      <c r="AZ16" s="11">
        <f t="shared" si="14"/>
        <v>2.6594721600000018</v>
      </c>
      <c r="BA16" s="12">
        <f t="shared" si="15"/>
        <v>2163.7386810816001</v>
      </c>
      <c r="BC16" s="13">
        <f t="shared" si="16"/>
        <v>5.4687592685599995</v>
      </c>
      <c r="BD16" s="14">
        <f t="shared" si="17"/>
        <v>1897.0948930687998</v>
      </c>
      <c r="BF16" s="16">
        <f t="shared" si="18"/>
        <v>9.0149563819719987</v>
      </c>
      <c r="BG16" s="17">
        <f t="shared" si="19"/>
        <v>1936.7281893459199</v>
      </c>
      <c r="BI16">
        <v>52</v>
      </c>
      <c r="BJ16" t="s">
        <v>42</v>
      </c>
      <c r="BK16" s="2">
        <v>45995.653136574074</v>
      </c>
      <c r="BL16">
        <v>33</v>
      </c>
      <c r="BM16" t="s">
        <v>13</v>
      </c>
      <c r="BN16">
        <v>0</v>
      </c>
      <c r="BO16">
        <v>2.891</v>
      </c>
      <c r="BP16" s="3">
        <v>802576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45995.674375000002</v>
      </c>
      <c r="D17">
        <v>358</v>
      </c>
      <c r="E17" t="s">
        <v>13</v>
      </c>
      <c r="F17">
        <v>0</v>
      </c>
      <c r="G17">
        <v>6.08</v>
      </c>
      <c r="H17" s="3">
        <v>56599</v>
      </c>
      <c r="I17">
        <v>0.128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45995.674375000002</v>
      </c>
      <c r="R17">
        <v>358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45995.674375000002</v>
      </c>
      <c r="AF17">
        <v>358</v>
      </c>
      <c r="AG17" t="s">
        <v>13</v>
      </c>
      <c r="AH17">
        <v>0</v>
      </c>
      <c r="AI17">
        <v>12.31</v>
      </c>
      <c r="AJ17" s="3">
        <v>11523</v>
      </c>
      <c r="AK17">
        <v>2.4300000000000002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154.135011491337</v>
      </c>
      <c r="AU17" s="17">
        <f t="shared" si="11"/>
        <v>2483.27160851197</v>
      </c>
      <c r="AW17" s="6">
        <f t="shared" si="12"/>
        <v>130.16644639464747</v>
      </c>
      <c r="AX17" s="7">
        <f t="shared" si="13"/>
        <v>2274.7155664199199</v>
      </c>
      <c r="AZ17" s="11">
        <f t="shared" si="14"/>
        <v>156.75892139482303</v>
      </c>
      <c r="BA17" s="12">
        <f t="shared" si="15"/>
        <v>2729.3312568231004</v>
      </c>
      <c r="BC17" s="13">
        <f t="shared" si="16"/>
        <v>158.83434556387121</v>
      </c>
      <c r="BD17" s="14">
        <f t="shared" si="17"/>
        <v>2388.3747841657996</v>
      </c>
      <c r="BF17" s="16">
        <f t="shared" si="18"/>
        <v>154.135011491337</v>
      </c>
      <c r="BG17" s="17">
        <f t="shared" si="19"/>
        <v>2483.27160851197</v>
      </c>
      <c r="BI17">
        <v>53</v>
      </c>
      <c r="BJ17" t="s">
        <v>43</v>
      </c>
      <c r="BK17" s="2">
        <v>45995.674375000002</v>
      </c>
      <c r="BL17">
        <v>358</v>
      </c>
      <c r="BM17" t="s">
        <v>13</v>
      </c>
      <c r="BN17">
        <v>0</v>
      </c>
      <c r="BO17">
        <v>2.8969999999999998</v>
      </c>
      <c r="BP17" s="3">
        <v>791710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45995.695613425924</v>
      </c>
      <c r="D18">
        <v>274</v>
      </c>
      <c r="E18" t="s">
        <v>13</v>
      </c>
      <c r="F18">
        <v>0</v>
      </c>
      <c r="G18">
        <v>6.08</v>
      </c>
      <c r="H18" s="3">
        <v>8694</v>
      </c>
      <c r="I18">
        <v>0.02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45995.695613425924</v>
      </c>
      <c r="R18">
        <v>274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45995.695613425924</v>
      </c>
      <c r="AF18">
        <v>274</v>
      </c>
      <c r="AG18" t="s">
        <v>13</v>
      </c>
      <c r="AH18">
        <v>0</v>
      </c>
      <c r="AI18">
        <v>12.337</v>
      </c>
      <c r="AJ18" s="3">
        <v>9607</v>
      </c>
      <c r="AK18">
        <v>2.0110000000000001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27.645456806547998</v>
      </c>
      <c r="AU18" s="17">
        <f t="shared" si="11"/>
        <v>2048.98501138757</v>
      </c>
      <c r="AW18" s="6">
        <f t="shared" si="12"/>
        <v>16.436213510800002</v>
      </c>
      <c r="AX18" s="7">
        <f t="shared" si="13"/>
        <v>1879.7115456615197</v>
      </c>
      <c r="AZ18" s="11">
        <f t="shared" si="14"/>
        <v>12.109333440000002</v>
      </c>
      <c r="BA18" s="12">
        <f t="shared" si="15"/>
        <v>2280.2925018111005</v>
      </c>
      <c r="BC18" s="13">
        <f t="shared" si="16"/>
        <v>21.834345241039998</v>
      </c>
      <c r="BD18" s="14">
        <f t="shared" si="17"/>
        <v>1998.0157919497999</v>
      </c>
      <c r="BF18" s="16">
        <f t="shared" si="18"/>
        <v>27.645456806547998</v>
      </c>
      <c r="BG18" s="17">
        <f t="shared" si="19"/>
        <v>2048.98501138757</v>
      </c>
      <c r="BI18">
        <v>54</v>
      </c>
      <c r="BJ18" t="s">
        <v>44</v>
      </c>
      <c r="BK18" s="2">
        <v>45995.695613425924</v>
      </c>
      <c r="BL18">
        <v>274</v>
      </c>
      <c r="BM18" t="s">
        <v>13</v>
      </c>
      <c r="BN18">
        <v>0</v>
      </c>
      <c r="BO18">
        <v>2.891</v>
      </c>
      <c r="BP18" s="3">
        <v>816317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45995.716863425929</v>
      </c>
      <c r="D19">
        <v>150</v>
      </c>
      <c r="E19" t="s">
        <v>13</v>
      </c>
      <c r="F19">
        <v>0</v>
      </c>
      <c r="G19">
        <v>6.0830000000000002</v>
      </c>
      <c r="H19" s="3">
        <v>9293</v>
      </c>
      <c r="I19">
        <v>2.1000000000000001E-2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45995.716863425929</v>
      </c>
      <c r="R19">
        <v>150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45995.716863425929</v>
      </c>
      <c r="AF19">
        <v>150</v>
      </c>
      <c r="AG19" t="s">
        <v>13</v>
      </c>
      <c r="AH19">
        <v>0</v>
      </c>
      <c r="AI19">
        <v>12.331</v>
      </c>
      <c r="AJ19" s="3">
        <v>10469</v>
      </c>
      <c r="AK19">
        <v>2.1989999999999998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29.822680197557005</v>
      </c>
      <c r="AU19" s="17">
        <f t="shared" si="11"/>
        <v>2244.4132299137304</v>
      </c>
      <c r="AW19" s="6">
        <f t="shared" si="12"/>
        <v>18.501811759700001</v>
      </c>
      <c r="AX19" s="7">
        <f t="shared" si="13"/>
        <v>2057.4453089952804</v>
      </c>
      <c r="AZ19" s="11">
        <f t="shared" si="14"/>
        <v>15.073173460000001</v>
      </c>
      <c r="BA19" s="12">
        <f t="shared" si="15"/>
        <v>2482.7274577879002</v>
      </c>
      <c r="BC19" s="13">
        <f t="shared" si="16"/>
        <v>23.919330771859997</v>
      </c>
      <c r="BD19" s="14">
        <f t="shared" si="17"/>
        <v>2173.6909223322</v>
      </c>
      <c r="BF19" s="16">
        <f t="shared" si="18"/>
        <v>29.822680197557005</v>
      </c>
      <c r="BG19" s="17">
        <f t="shared" si="19"/>
        <v>2244.4132299137304</v>
      </c>
      <c r="BI19">
        <v>55</v>
      </c>
      <c r="BJ19" t="s">
        <v>45</v>
      </c>
      <c r="BK19" s="2">
        <v>45995.716863425929</v>
      </c>
      <c r="BL19">
        <v>150</v>
      </c>
      <c r="BM19" t="s">
        <v>13</v>
      </c>
      <c r="BN19">
        <v>0</v>
      </c>
      <c r="BO19">
        <v>2.8919999999999999</v>
      </c>
      <c r="BP19" s="3">
        <v>796915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45995.738125000003</v>
      </c>
      <c r="D20">
        <v>92</v>
      </c>
      <c r="E20" t="s">
        <v>13</v>
      </c>
      <c r="F20">
        <v>0</v>
      </c>
      <c r="G20">
        <v>6.0810000000000004</v>
      </c>
      <c r="H20" s="3">
        <v>8632</v>
      </c>
      <c r="I20">
        <v>0.02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45995.738125000003</v>
      </c>
      <c r="R20">
        <v>92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45995.738125000003</v>
      </c>
      <c r="AF20">
        <v>92</v>
      </c>
      <c r="AG20" t="s">
        <v>13</v>
      </c>
      <c r="AH20">
        <v>0</v>
      </c>
      <c r="AI20">
        <v>12.323</v>
      </c>
      <c r="AJ20" s="3">
        <v>10501</v>
      </c>
      <c r="AK20">
        <v>2.206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27.420449524032001</v>
      </c>
      <c r="AU20" s="17">
        <f t="shared" si="11"/>
        <v>2251.6667019809302</v>
      </c>
      <c r="AW20" s="6">
        <f t="shared" si="12"/>
        <v>16.228366707199999</v>
      </c>
      <c r="AX20" s="7">
        <f t="shared" si="13"/>
        <v>2064.0425840544804</v>
      </c>
      <c r="AZ20" s="11">
        <f t="shared" si="14"/>
        <v>11.824688959999998</v>
      </c>
      <c r="BA20" s="12">
        <f t="shared" si="15"/>
        <v>2490.2293964439004</v>
      </c>
      <c r="BC20" s="13">
        <f t="shared" si="16"/>
        <v>21.620878767359997</v>
      </c>
      <c r="BD20" s="14">
        <f t="shared" si="17"/>
        <v>2180.2107941402001</v>
      </c>
      <c r="BF20" s="16">
        <f t="shared" si="18"/>
        <v>27.420449524032001</v>
      </c>
      <c r="BG20" s="17">
        <f t="shared" si="19"/>
        <v>2251.6667019809302</v>
      </c>
      <c r="BI20">
        <v>56</v>
      </c>
      <c r="BJ20" t="s">
        <v>46</v>
      </c>
      <c r="BK20" s="2">
        <v>45995.738125000003</v>
      </c>
      <c r="BL20">
        <v>92</v>
      </c>
      <c r="BM20" t="s">
        <v>13</v>
      </c>
      <c r="BN20">
        <v>0</v>
      </c>
      <c r="BO20">
        <v>2.891</v>
      </c>
      <c r="BP20" s="3">
        <v>830593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45995.759351851855</v>
      </c>
      <c r="D21">
        <v>127</v>
      </c>
      <c r="E21" t="s">
        <v>13</v>
      </c>
      <c r="F21">
        <v>0</v>
      </c>
      <c r="G21">
        <v>6.0750000000000002</v>
      </c>
      <c r="H21" s="3">
        <v>85156</v>
      </c>
      <c r="I21">
        <v>0.192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45995.759351851855</v>
      </c>
      <c r="R21">
        <v>127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45995.759351851855</v>
      </c>
      <c r="AF21">
        <v>127</v>
      </c>
      <c r="AG21" t="s">
        <v>13</v>
      </c>
      <c r="AH21">
        <v>0</v>
      </c>
      <c r="AI21">
        <v>12.318</v>
      </c>
      <c r="AJ21" s="3">
        <v>12932</v>
      </c>
      <c r="AK21">
        <v>2.7389999999999999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229.66023583963198</v>
      </c>
      <c r="AU21" s="17">
        <f t="shared" si="11"/>
        <v>2802.4100988603204</v>
      </c>
      <c r="AW21" s="6">
        <f t="shared" si="12"/>
        <v>196.89224861917853</v>
      </c>
      <c r="AX21" s="7">
        <f t="shared" si="13"/>
        <v>2565.0765213555201</v>
      </c>
      <c r="AZ21" s="11">
        <f t="shared" si="14"/>
        <v>237.274022582128</v>
      </c>
      <c r="BA21" s="12">
        <f t="shared" si="15"/>
        <v>3057.4113757936002</v>
      </c>
      <c r="BC21" s="13">
        <f t="shared" si="16"/>
        <v>240.45199799576321</v>
      </c>
      <c r="BD21" s="14">
        <f t="shared" si="17"/>
        <v>2675.1592498847999</v>
      </c>
      <c r="BF21" s="16">
        <f t="shared" si="18"/>
        <v>229.66023583963198</v>
      </c>
      <c r="BG21" s="17">
        <f t="shared" si="19"/>
        <v>2802.4100988603204</v>
      </c>
      <c r="BI21">
        <v>57</v>
      </c>
      <c r="BJ21" t="s">
        <v>47</v>
      </c>
      <c r="BK21" s="2">
        <v>45995.759351851855</v>
      </c>
      <c r="BL21">
        <v>127</v>
      </c>
      <c r="BM21" t="s">
        <v>13</v>
      </c>
      <c r="BN21">
        <v>0</v>
      </c>
      <c r="BO21">
        <v>2.891</v>
      </c>
      <c r="BP21" s="3">
        <v>813647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45995.780590277776</v>
      </c>
      <c r="D22">
        <v>143</v>
      </c>
      <c r="E22" t="s">
        <v>13</v>
      </c>
      <c r="F22">
        <v>0</v>
      </c>
      <c r="G22">
        <v>6.0839999999999996</v>
      </c>
      <c r="H22" s="3">
        <v>9592</v>
      </c>
      <c r="I22">
        <v>2.1999999999999999E-2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45995.780590277776</v>
      </c>
      <c r="R22">
        <v>143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45995.780590277776</v>
      </c>
      <c r="AF22">
        <v>143</v>
      </c>
      <c r="AG22" t="s">
        <v>13</v>
      </c>
      <c r="AH22">
        <v>0</v>
      </c>
      <c r="AI22">
        <v>12.323</v>
      </c>
      <c r="AJ22" s="3">
        <v>10322</v>
      </c>
      <c r="AK22">
        <v>2.1669999999999998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30.911754898752001</v>
      </c>
      <c r="AU22" s="17">
        <f t="shared" si="11"/>
        <v>2211.0913014261205</v>
      </c>
      <c r="AW22" s="6">
        <f t="shared" si="12"/>
        <v>19.571900019200001</v>
      </c>
      <c r="AX22" s="7">
        <f t="shared" si="13"/>
        <v>2027.1384051843199</v>
      </c>
      <c r="AZ22" s="11">
        <f t="shared" si="14"/>
        <v>16.697610560000001</v>
      </c>
      <c r="BA22" s="12">
        <f t="shared" si="15"/>
        <v>2448.2534257275997</v>
      </c>
      <c r="BC22" s="13">
        <f t="shared" si="16"/>
        <v>24.975425352959999</v>
      </c>
      <c r="BD22" s="14">
        <f t="shared" si="17"/>
        <v>2143.7386876967998</v>
      </c>
      <c r="BF22" s="16">
        <f t="shared" si="18"/>
        <v>30.911754898752001</v>
      </c>
      <c r="BG22" s="17">
        <f t="shared" si="19"/>
        <v>2211.0913014261205</v>
      </c>
      <c r="BI22">
        <v>58</v>
      </c>
      <c r="BJ22" t="s">
        <v>48</v>
      </c>
      <c r="BK22" s="2">
        <v>45995.780590277776</v>
      </c>
      <c r="BL22">
        <v>143</v>
      </c>
      <c r="BM22" t="s">
        <v>13</v>
      </c>
      <c r="BN22">
        <v>0</v>
      </c>
      <c r="BO22">
        <v>2.8879999999999999</v>
      </c>
      <c r="BP22" s="3">
        <v>858348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45995.801817129628</v>
      </c>
      <c r="D23">
        <v>285</v>
      </c>
      <c r="E23" t="s">
        <v>13</v>
      </c>
      <c r="F23">
        <v>0</v>
      </c>
      <c r="G23">
        <v>6.1109999999999998</v>
      </c>
      <c r="H23" s="3">
        <v>2942</v>
      </c>
      <c r="I23">
        <v>7.0000000000000001E-3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45995.801817129628</v>
      </c>
      <c r="R23">
        <v>285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45995.801817129628</v>
      </c>
      <c r="AF23">
        <v>285</v>
      </c>
      <c r="AG23" t="s">
        <v>13</v>
      </c>
      <c r="AH23">
        <v>0</v>
      </c>
      <c r="AI23">
        <v>12.349</v>
      </c>
      <c r="AJ23" s="3">
        <v>9318</v>
      </c>
      <c r="AK23">
        <v>1.9470000000000001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7.0485540064519991</v>
      </c>
      <c r="AU23" s="17">
        <f t="shared" si="11"/>
        <v>1983.44809116532</v>
      </c>
      <c r="AW23" s="6">
        <f t="shared" si="12"/>
        <v>1.9089001891999999</v>
      </c>
      <c r="AX23" s="7">
        <f t="shared" si="13"/>
        <v>1820.11482283552</v>
      </c>
      <c r="AZ23" s="11">
        <f t="shared" si="14"/>
        <v>3.3752665600000018</v>
      </c>
      <c r="BA23" s="12">
        <f t="shared" si="15"/>
        <v>2212.2710609436003</v>
      </c>
      <c r="BC23" s="13">
        <f t="shared" si="16"/>
        <v>3.90029349896</v>
      </c>
      <c r="BD23" s="14">
        <f t="shared" si="17"/>
        <v>1939.0978575847998</v>
      </c>
      <c r="BF23" s="16">
        <f t="shared" si="18"/>
        <v>7.0485540064519991</v>
      </c>
      <c r="BG23" s="17">
        <f t="shared" si="19"/>
        <v>1983.44809116532</v>
      </c>
      <c r="BI23">
        <v>59</v>
      </c>
      <c r="BJ23" t="s">
        <v>49</v>
      </c>
      <c r="BK23" s="2">
        <v>45995.801817129628</v>
      </c>
      <c r="BL23">
        <v>285</v>
      </c>
      <c r="BM23" t="s">
        <v>13</v>
      </c>
      <c r="BN23">
        <v>0</v>
      </c>
      <c r="BO23">
        <v>2.89</v>
      </c>
      <c r="BP23" s="3">
        <v>955663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45995.823067129626</v>
      </c>
      <c r="D24">
        <v>292</v>
      </c>
      <c r="E24" t="s">
        <v>13</v>
      </c>
      <c r="F24">
        <v>0</v>
      </c>
      <c r="G24">
        <v>6.0979999999999999</v>
      </c>
      <c r="H24" s="3">
        <v>2981</v>
      </c>
      <c r="I24">
        <v>7.0000000000000001E-3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45995.823067129626</v>
      </c>
      <c r="R24">
        <v>292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45995.823067129626</v>
      </c>
      <c r="AF24">
        <v>292</v>
      </c>
      <c r="AG24" t="s">
        <v>13</v>
      </c>
      <c r="AH24">
        <v>0</v>
      </c>
      <c r="AI24">
        <v>12.336</v>
      </c>
      <c r="AJ24" s="3">
        <v>11288</v>
      </c>
      <c r="AK24">
        <v>2.379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7.186313863973</v>
      </c>
      <c r="AU24" s="17">
        <f t="shared" si="11"/>
        <v>2430.0251524179203</v>
      </c>
      <c r="AW24" s="6">
        <f t="shared" si="12"/>
        <v>1.9750251533000001</v>
      </c>
      <c r="AX24" s="7">
        <f t="shared" si="13"/>
        <v>2226.2778685491203</v>
      </c>
      <c r="AZ24" s="11">
        <f t="shared" si="14"/>
        <v>3.3141699400000011</v>
      </c>
      <c r="BA24" s="12">
        <f t="shared" si="15"/>
        <v>2674.4362196416</v>
      </c>
      <c r="BC24" s="13">
        <f t="shared" si="16"/>
        <v>4.0091596675399996</v>
      </c>
      <c r="BD24" s="14">
        <f t="shared" si="17"/>
        <v>2340.5203471487998</v>
      </c>
      <c r="BF24" s="16">
        <f t="shared" si="18"/>
        <v>7.186313863973</v>
      </c>
      <c r="BG24" s="17">
        <f t="shared" si="19"/>
        <v>2430.0251524179203</v>
      </c>
      <c r="BI24">
        <v>60</v>
      </c>
      <c r="BJ24" t="s">
        <v>50</v>
      </c>
      <c r="BK24" s="2">
        <v>45995.823067129626</v>
      </c>
      <c r="BL24">
        <v>292</v>
      </c>
      <c r="BM24" t="s">
        <v>13</v>
      </c>
      <c r="BN24">
        <v>0</v>
      </c>
      <c r="BO24">
        <v>2.88</v>
      </c>
      <c r="BP24" s="3">
        <v>1045624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45995.844328703701</v>
      </c>
      <c r="D25">
        <v>185</v>
      </c>
      <c r="E25" t="s">
        <v>13</v>
      </c>
      <c r="F25">
        <v>0</v>
      </c>
      <c r="G25">
        <v>6.0810000000000004</v>
      </c>
      <c r="H25" s="3">
        <v>11316</v>
      </c>
      <c r="I25">
        <v>2.5999999999999999E-2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45995.844328703701</v>
      </c>
      <c r="R25">
        <v>185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45995.844328703701</v>
      </c>
      <c r="AF25">
        <v>185</v>
      </c>
      <c r="AG25" t="s">
        <v>13</v>
      </c>
      <c r="AH25">
        <v>0</v>
      </c>
      <c r="AI25">
        <v>12.349</v>
      </c>
      <c r="AJ25" s="3">
        <v>10631</v>
      </c>
      <c r="AK25">
        <v>2.2349999999999999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33.494834361872002</v>
      </c>
      <c r="AU25" s="17">
        <f t="shared" si="11"/>
        <v>2281.1328988397299</v>
      </c>
      <c r="AW25" s="6">
        <f t="shared" si="12"/>
        <v>24.089654703517759</v>
      </c>
      <c r="AX25" s="7">
        <f t="shared" si="13"/>
        <v>2090.84347653128</v>
      </c>
      <c r="AZ25" s="11">
        <f t="shared" si="14"/>
        <v>23.812650223087999</v>
      </c>
      <c r="BA25" s="12">
        <f t="shared" si="15"/>
        <v>2520.6964167679002</v>
      </c>
      <c r="BC25" s="13">
        <f t="shared" si="16"/>
        <v>28.447102623987206</v>
      </c>
      <c r="BD25" s="14">
        <f t="shared" si="17"/>
        <v>2206.6965139722001</v>
      </c>
      <c r="BF25" s="16">
        <f t="shared" si="18"/>
        <v>33.494834361872002</v>
      </c>
      <c r="BG25" s="17">
        <f t="shared" si="19"/>
        <v>2281.1328988397299</v>
      </c>
      <c r="BI25">
        <v>61</v>
      </c>
      <c r="BJ25" t="s">
        <v>51</v>
      </c>
      <c r="BK25" s="2">
        <v>45995.844328703701</v>
      </c>
      <c r="BL25">
        <v>185</v>
      </c>
      <c r="BM25" t="s">
        <v>13</v>
      </c>
      <c r="BN25">
        <v>0</v>
      </c>
      <c r="BO25">
        <v>2.879</v>
      </c>
      <c r="BP25" s="3">
        <v>1024988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C26" s="2"/>
      <c r="H26" s="3"/>
      <c r="Q26" s="2"/>
      <c r="V26" s="3"/>
      <c r="AE26" s="2"/>
      <c r="AJ26" s="3"/>
      <c r="AS26" s="10"/>
      <c r="AT26" s="16"/>
      <c r="AU26" s="17"/>
      <c r="AW26" s="6"/>
      <c r="AX26" s="7"/>
      <c r="AZ26" s="11"/>
      <c r="BA26" s="12"/>
      <c r="BC26" s="13"/>
      <c r="BD26" s="14"/>
      <c r="BF26" s="16"/>
      <c r="BG26" s="17"/>
      <c r="BK26" s="2"/>
      <c r="BP26" s="3"/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2025-12-09T15:25:53Z</dcterms:modified>
</cp:coreProperties>
</file>