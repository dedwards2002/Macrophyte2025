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967412E4-6579-4867-93E2-BB22EAE0DD0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30" i="1" l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  <c r="AT39" i="1"/>
  <c r="AU39" i="1"/>
  <c r="AW39" i="1"/>
  <c r="AX39" i="1"/>
  <c r="AZ39" i="1"/>
  <c r="BA39" i="1"/>
  <c r="BC39" i="1"/>
  <c r="BD39" i="1"/>
  <c r="BF39" i="1"/>
  <c r="BG39" i="1"/>
  <c r="AT40" i="1"/>
  <c r="AU40" i="1"/>
  <c r="AW40" i="1"/>
  <c r="AX40" i="1"/>
  <c r="AZ40" i="1"/>
  <c r="BA40" i="1"/>
  <c r="BC40" i="1"/>
  <c r="BD40" i="1"/>
  <c r="BF40" i="1"/>
  <c r="BG40" i="1"/>
  <c r="AT41" i="1"/>
  <c r="AU41" i="1"/>
  <c r="AW41" i="1"/>
  <c r="AX41" i="1"/>
  <c r="AZ41" i="1"/>
  <c r="BA41" i="1"/>
  <c r="BC41" i="1"/>
  <c r="BD41" i="1"/>
  <c r="BF41" i="1"/>
  <c r="BG41" i="1"/>
  <c r="AT42" i="1"/>
  <c r="AU42" i="1"/>
  <c r="AW42" i="1"/>
  <c r="AX42" i="1"/>
  <c r="AZ42" i="1"/>
  <c r="BA42" i="1"/>
  <c r="BC42" i="1"/>
  <c r="BD42" i="1"/>
  <c r="BF42" i="1"/>
  <c r="BG42" i="1"/>
  <c r="AT43" i="1"/>
  <c r="AU43" i="1"/>
  <c r="AW43" i="1"/>
  <c r="AX43" i="1"/>
  <c r="AZ43" i="1"/>
  <c r="BA43" i="1"/>
  <c r="BC43" i="1"/>
  <c r="BD43" i="1"/>
  <c r="BF43" i="1"/>
  <c r="BG43" i="1"/>
  <c r="AT44" i="1"/>
  <c r="AU44" i="1"/>
  <c r="AW44" i="1"/>
  <c r="AX44" i="1"/>
  <c r="AZ44" i="1"/>
  <c r="BA44" i="1"/>
  <c r="BC44" i="1"/>
  <c r="BD44" i="1"/>
  <c r="BF44" i="1"/>
  <c r="BG44" i="1"/>
  <c r="AT45" i="1"/>
  <c r="AU45" i="1"/>
  <c r="AW45" i="1"/>
  <c r="AX45" i="1"/>
  <c r="AZ45" i="1"/>
  <c r="BA45" i="1"/>
  <c r="BC45" i="1"/>
  <c r="BD45" i="1"/>
  <c r="BF45" i="1"/>
  <c r="BG45" i="1"/>
  <c r="AT46" i="1"/>
  <c r="AU46" i="1"/>
  <c r="AW46" i="1"/>
  <c r="AX46" i="1"/>
  <c r="AZ46" i="1"/>
  <c r="BA46" i="1"/>
  <c r="BC46" i="1"/>
  <c r="BD46" i="1"/>
  <c r="BF46" i="1"/>
  <c r="BG46" i="1"/>
  <c r="AT47" i="1"/>
  <c r="AU47" i="1"/>
  <c r="AW47" i="1"/>
  <c r="AX47" i="1"/>
  <c r="AZ47" i="1"/>
  <c r="BA47" i="1"/>
  <c r="BC47" i="1"/>
  <c r="BD47" i="1"/>
  <c r="BF47" i="1"/>
  <c r="BG47" i="1"/>
  <c r="AT48" i="1"/>
  <c r="AU48" i="1"/>
  <c r="AW48" i="1"/>
  <c r="AX48" i="1"/>
  <c r="AZ48" i="1"/>
  <c r="BA48" i="1"/>
  <c r="BC48" i="1"/>
  <c r="BD48" i="1"/>
  <c r="BF48" i="1"/>
  <c r="BG48" i="1"/>
  <c r="AT49" i="1"/>
  <c r="AU49" i="1"/>
  <c r="AW49" i="1"/>
  <c r="AX49" i="1"/>
  <c r="AZ49" i="1"/>
  <c r="BA49" i="1"/>
  <c r="BC49" i="1"/>
  <c r="BD49" i="1"/>
  <c r="BF49" i="1"/>
  <c r="BG49" i="1"/>
  <c r="AT50" i="1"/>
  <c r="AU50" i="1"/>
  <c r="AW50" i="1"/>
  <c r="AX50" i="1"/>
  <c r="AZ50" i="1"/>
  <c r="BA50" i="1"/>
  <c r="BC50" i="1"/>
  <c r="BD50" i="1"/>
  <c r="BF50" i="1"/>
  <c r="BG50" i="1"/>
  <c r="AT51" i="1"/>
  <c r="AU51" i="1"/>
  <c r="AW51" i="1"/>
  <c r="AX51" i="1"/>
  <c r="AZ51" i="1"/>
  <c r="BA51" i="1"/>
  <c r="BC51" i="1"/>
  <c r="BD51" i="1"/>
  <c r="BF51" i="1"/>
  <c r="BG51" i="1"/>
  <c r="AT52" i="1"/>
  <c r="AU52" i="1"/>
  <c r="AW52" i="1"/>
  <c r="AX52" i="1"/>
  <c r="AZ52" i="1"/>
  <c r="BA52" i="1"/>
  <c r="BC52" i="1"/>
  <c r="BD52" i="1"/>
  <c r="BF52" i="1"/>
  <c r="BG52" i="1"/>
  <c r="AT53" i="1"/>
  <c r="AU53" i="1"/>
  <c r="AW53" i="1"/>
  <c r="AX53" i="1"/>
  <c r="AZ53" i="1"/>
  <c r="BA53" i="1"/>
  <c r="BC53" i="1"/>
  <c r="BD53" i="1"/>
  <c r="BF53" i="1"/>
  <c r="BG53" i="1"/>
  <c r="AT54" i="1"/>
  <c r="AU54" i="1"/>
  <c r="AW54" i="1"/>
  <c r="AX54" i="1"/>
  <c r="AZ54" i="1"/>
  <c r="BA54" i="1"/>
  <c r="BC54" i="1"/>
  <c r="BD54" i="1"/>
  <c r="BF54" i="1"/>
  <c r="BG54" i="1"/>
  <c r="AT55" i="1"/>
  <c r="AU55" i="1"/>
  <c r="AW55" i="1"/>
  <c r="AX55" i="1"/>
  <c r="AZ55" i="1"/>
  <c r="BA55" i="1"/>
  <c r="BC55" i="1"/>
  <c r="BD55" i="1"/>
  <c r="BF55" i="1"/>
  <c r="BG55" i="1"/>
  <c r="AT56" i="1"/>
  <c r="AU56" i="1"/>
  <c r="AW56" i="1"/>
  <c r="AX56" i="1"/>
  <c r="AZ56" i="1"/>
  <c r="BA56" i="1"/>
  <c r="BC56" i="1"/>
  <c r="BD56" i="1"/>
  <c r="BF56" i="1"/>
  <c r="BG56" i="1"/>
  <c r="AT57" i="1"/>
  <c r="AU57" i="1"/>
  <c r="AW57" i="1"/>
  <c r="AX57" i="1"/>
  <c r="AZ57" i="1"/>
  <c r="BA57" i="1"/>
  <c r="BC57" i="1"/>
  <c r="BD57" i="1"/>
  <c r="BF57" i="1"/>
  <c r="BG57" i="1"/>
  <c r="AT58" i="1"/>
  <c r="AU58" i="1"/>
  <c r="AW58" i="1"/>
  <c r="AX58" i="1"/>
  <c r="AZ58" i="1"/>
  <c r="BA58" i="1"/>
  <c r="BC58" i="1"/>
  <c r="BD58" i="1"/>
  <c r="BF58" i="1"/>
  <c r="BG58" i="1"/>
  <c r="AT19" i="1" l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</calcChain>
</file>

<file path=xl/sharedStrings.xml><?xml version="1.0" encoding="utf-8"?>
<sst xmlns="http://schemas.openxmlformats.org/spreadsheetml/2006/main" count="1443" uniqueCount="93">
  <si>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</si>
  <si>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</si>
  <si>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</si>
  <si>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</si>
  <si>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</si>
  <si>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</si>
  <si>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</si>
  <si>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</si>
  <si>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</si>
  <si>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</si>
  <si>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</si>
  <si>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</si>
  <si>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</si>
  <si>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</si>
  <si>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</si>
  <si>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</si>
  <si>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</si>
  <si>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</si>
  <si>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</si>
  <si>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</si>
  <si>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</si>
  <si>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</si>
  <si>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</si>
  <si>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</si>
  <si>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</si>
  <si>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</si>
  <si>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</si>
  <si>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</si>
  <si>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</si>
  <si>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 xml:space="preserve">QC spiked air 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</si>
  <si>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</si>
  <si>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</si>
  <si>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</si>
  <si>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</si>
  <si>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</si>
  <si>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FMI20250902_001.gcd</t>
  </si>
  <si>
    <t>FMI20250902_002.gcd</t>
  </si>
  <si>
    <t>FMI20250902_003.gcd</t>
  </si>
  <si>
    <t>FMI20250902_004.gcd</t>
  </si>
  <si>
    <t>FMI20250902_005.gcd</t>
  </si>
  <si>
    <t>FMI20250902_006.gcd</t>
  </si>
  <si>
    <t>FMI20250902_007.gcd</t>
  </si>
  <si>
    <t>FMI20250902_008.gcd</t>
  </si>
  <si>
    <t>FMI20250902_009.gcd</t>
  </si>
  <si>
    <t>FMI20250902_010.gcd</t>
  </si>
  <si>
    <t>FMI20250902_011.gcd</t>
  </si>
  <si>
    <t>FMI20250902_012.gcd</t>
  </si>
  <si>
    <t>FMI20250902_013.gcd</t>
  </si>
  <si>
    <t>FMI20250902_014.gcd</t>
  </si>
  <si>
    <t>FMI20250902_015.gcd</t>
  </si>
  <si>
    <t>FMI20250902_016.gcd</t>
  </si>
  <si>
    <t>FMI20250902_017.gcd</t>
  </si>
  <si>
    <t>FMI20250902_018.gcd</t>
  </si>
  <si>
    <t>FMI20250902_019.gcd</t>
  </si>
  <si>
    <t>FMI20250902_020.gcd</t>
  </si>
  <si>
    <t>FMI20250902_021.gcd</t>
  </si>
  <si>
    <t>FMI20250902_022.gcd</t>
  </si>
  <si>
    <t>FMI20250902_023.gcd</t>
  </si>
  <si>
    <t>FMI20250902_024.gcd</t>
  </si>
  <si>
    <t>FMI20250902_025.gcd</t>
  </si>
  <si>
    <t>FMI20250902_026.gcd</t>
  </si>
  <si>
    <t>FMI20250902_027.gcd</t>
  </si>
  <si>
    <t>FMI20250902_028.gcd</t>
  </si>
  <si>
    <t>FMI20250902_029.gcd</t>
  </si>
  <si>
    <t>FMI20250902_030.gcd</t>
  </si>
  <si>
    <t>FMI20250902_031.gcd</t>
  </si>
  <si>
    <t>FMI20250902_032.gcd</t>
  </si>
  <si>
    <t>FMI20250902_033.gcd</t>
  </si>
  <si>
    <t>FMI20250902_034.gcd</t>
  </si>
  <si>
    <t>FMI20250902_035.gcd</t>
  </si>
  <si>
    <t>FMI20250902_036.gcd</t>
  </si>
  <si>
    <t>FMI20250902_037.gcd</t>
  </si>
  <si>
    <t>FMI20250902_038.gcd</t>
  </si>
  <si>
    <t>FMI20250902_039.gcd</t>
  </si>
  <si>
    <t>FMI20250902_040.gcd</t>
  </si>
  <si>
    <t>FMI20250902_041.gcd</t>
  </si>
  <si>
    <t>FMI20250902_042.gcd</t>
  </si>
  <si>
    <t>FMI20250902_043.gcd</t>
  </si>
  <si>
    <t>FMI20250902_044.gcd</t>
  </si>
  <si>
    <t>FMI20250902_045.gcd</t>
  </si>
  <si>
    <t>FMI20250902_046.gcd</t>
  </si>
  <si>
    <t>FMI20250902_047.gcd</t>
  </si>
  <si>
    <t>FMI20250902_048.gcd</t>
  </si>
  <si>
    <t>010 rerun</t>
  </si>
  <si>
    <t>FMI20250902_049.gcd</t>
  </si>
  <si>
    <t>074 rerun</t>
  </si>
  <si>
    <t>FMI20250902_050.gcd</t>
  </si>
  <si>
    <t>185 rerun</t>
  </si>
  <si>
    <t>Reinjection. Use CO2. Do not use CH4.</t>
  </si>
  <si>
    <t>Interference. Do not use CO2. Use CH4.</t>
  </si>
  <si>
    <t>Interference but not rerun. Do not use CO2. Use CH4.</t>
  </si>
  <si>
    <t>Resampled due to AOC error</t>
  </si>
  <si>
    <t>sampled 3 times due to AOC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</si>
</sst>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58"/>
  <sheetViews>
    <sheetView tabSelected="1" topLeftCell="Y1" workbookViewId="0">
      <selection activeCell="AQ10" sqref="AQ10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30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33</v>
      </c>
      <c r="BE8" s="8"/>
      <c r="BF8" s="5" t="s">
        <v>31</v>
      </c>
      <c r="BG8" s="5" t="s">
        <v>32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45902.718402777777</v>
      </c>
      <c r="D9" t="s">
        <v>34</v>
      </c>
      <c r="E9" t="s">
        <v>13</v>
      </c>
      <c r="F9">
        <v>0</v>
      </c>
      <c r="G9">
        <v>6.0960000000000001</v>
      </c>
      <c r="H9" s="3">
        <v>1340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45902.718402777777</v>
      </c>
      <c r="R9" t="s">
        <v>34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45902.718402777777</v>
      </c>
      <c r="AF9" t="s">
        <v>34</v>
      </c>
      <c r="AG9" t="s">
        <v>13</v>
      </c>
      <c r="AH9">
        <v>0</v>
      </c>
      <c r="AI9">
        <v>12.340999999999999</v>
      </c>
      <c r="AJ9" s="3">
        <v>1689</v>
      </c>
      <c r="AK9">
        <v>0.27400000000000002</v>
      </c>
      <c r="AL9" t="s">
        <v>14</v>
      </c>
      <c r="AM9" t="s">
        <v>14</v>
      </c>
      <c r="AN9" t="s">
        <v>14</v>
      </c>
      <c r="AO9" t="s">
        <v>14</v>
      </c>
      <c r="AQ9">
        <v>2</v>
      </c>
      <c r="AR9" t="s">
        <v>92</v>
      </c>
      <c r="AS9" s="10">
        <v>45</v>
      </c>
      <c r="AT9" s="16">
        <f t="shared" ref="AT9:AT18" si="0">IF(H9&lt;10000,((H9^2*0.000000008493)+(H9*0.003482)+(-3.269)),(IF(H9&lt;200000,((H9^2*-0.000000000263)+(H9*0.002682)+(3.179)),(IF(H9&lt;8000000,((H9^2*-0.000000000005099)+(H9*0.002054)+(174.8)),((V9^2*-0.00000001014)+(V9*0.2415)+(1123)))))))</f>
        <v>1.4121300307999993</v>
      </c>
      <c r="AU9" s="17">
        <f t="shared" ref="AU9:AU18" si="1">IF(AJ9&lt;45000,((-0.00000004907*AJ9^2)+(0.2277*AJ9)+(-134)),((-0.00000001062*AJ9^2)+(0.2147*AJ9)+(590.6)))</f>
        <v>250.44531698053004</v>
      </c>
      <c r="AW9" s="6">
        <f t="shared" ref="AW9:AW18" si="2">IF(H9&lt;10000,((0.0000001453*H9^2)+(0.0008349*H9)+(-1.805)),(IF(H9&lt;700000,((-0.00000000008054*H9^2)+(0.002348*H9)+(-2.47)), ((-0.00000001938*V9^2)+(0.2471*V9)+(226.8)))))</f>
        <v>-0.42533332000000001</v>
      </c>
      <c r="AX9" s="7">
        <f t="shared" ref="AX9:AX18" si="3">(-0.00000002552*AJ9^2)+(0.2067*AJ9)+(-103.7)</f>
        <v>245.34349856007998</v>
      </c>
      <c r="AZ9" s="11">
        <f t="shared" ref="AZ9:AZ18" si="4">IF(H9&lt;10000,((H9^2*0.00000054)+(H9*-0.004765)+(12.72)),(IF(H9&lt;200000,((H9^2*-0.000000001577)+(H9*0.003043)+(-10.42)),(IF(H9&lt;8000000,((H9^2*-0.0000000000186)+(H9*0.00194)+(154.1)),((V9^2*-0.00000002)+(V9*0.2565)+(-1032)))))))</f>
        <v>7.3045240000000007</v>
      </c>
      <c r="BA9" s="12">
        <f t="shared" ref="BA9:BA18" si="5">IF(AJ9&lt;45000,((-0.0000004561*AJ9^2)+(0.244*AJ9)+(-21.72)),((-0.0000000409*AJ9^2)+(0.2477*AJ9)+(-1777)))</f>
        <v>389.09487395190001</v>
      </c>
      <c r="BC9" s="13">
        <f t="shared" ref="BC9:BC18" si="6">IF(H9&lt;10000,((H9^2*0.00000005714)+(H9*0.002453)+(-3.811)),(IF(H9&lt;200000,((H9^2*-0.0000000002888)+(H9*0.002899)+(-4.321)),(IF(H9&lt;8000000,((H9^2*-0.0000000000062)+(H9*0.002143)+(157)),((V9^2*-0.000000031)+(V9*0.2771)+(-709.5)))))))</f>
        <v>-0.42137941599999973</v>
      </c>
      <c r="BD9" s="14">
        <f t="shared" ref="BD9:BD18" si="7">IF(AJ9&lt;45000,((-0.0000000598*AJ9^2)+(0.205*AJ9)+(34.1)),((-0.00000002403*AJ9^2)+(0.2063*AJ9)+(-550.7)))</f>
        <v>380.17440728420002</v>
      </c>
      <c r="BF9" s="16">
        <f t="shared" ref="BF9:BF18" si="8">IF(H9&lt;10000,((H9^2*0.000000008493)+(H9*0.003482)+(-3.269)),(IF(H9&lt;200000,((H9^2*-0.000000000263)+(H9*0.002682)+(3.179)),(IF(H9&lt;8000000,((H9^2*-0.000000000005099)+(H9*0.002054)+(174.8)),((V9^2*-0.00000001014)+(V9*0.2415)+(1123)))))))</f>
        <v>1.4121300307999993</v>
      </c>
      <c r="BG9" s="17">
        <f t="shared" ref="BG9:BG18" si="9">IF(AJ9&lt;45000,((-0.00000004907*AJ9^2)+(0.2277*AJ9)+(-134)),((-0.00000001062*AJ9^2)+(0.2147*AJ9)+(590.6)))</f>
        <v>250.44531698053004</v>
      </c>
      <c r="BI9">
        <v>45</v>
      </c>
      <c r="BJ9" t="s">
        <v>35</v>
      </c>
      <c r="BK9" s="2">
        <v>45902.718402777777</v>
      </c>
      <c r="BL9" t="s">
        <v>34</v>
      </c>
      <c r="BM9" t="s">
        <v>13</v>
      </c>
      <c r="BN9">
        <v>0</v>
      </c>
      <c r="BO9">
        <v>2.7269999999999999</v>
      </c>
      <c r="BP9" s="3">
        <v>5022297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45902.739618055559</v>
      </c>
      <c r="D10" t="s">
        <v>29</v>
      </c>
      <c r="E10" t="s">
        <v>13</v>
      </c>
      <c r="F10">
        <v>0</v>
      </c>
      <c r="G10">
        <v>6.0519999999999996</v>
      </c>
      <c r="H10" s="3">
        <v>1026891</v>
      </c>
      <c r="I10">
        <v>2.3199999999999998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45902.739618055559</v>
      </c>
      <c r="R10" t="s">
        <v>29</v>
      </c>
      <c r="S10" t="s">
        <v>13</v>
      </c>
      <c r="T10">
        <v>0</v>
      </c>
      <c r="U10">
        <v>6.0019999999999998</v>
      </c>
      <c r="V10" s="3">
        <v>10014</v>
      </c>
      <c r="W10">
        <v>2.5670000000000002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45902.739618055559</v>
      </c>
      <c r="AF10" t="s">
        <v>29</v>
      </c>
      <c r="AG10" t="s">
        <v>13</v>
      </c>
      <c r="AH10">
        <v>0</v>
      </c>
      <c r="AI10">
        <v>12.318</v>
      </c>
      <c r="AJ10" s="3">
        <v>8864</v>
      </c>
      <c r="AK10">
        <v>1.8480000000000001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2278.6571923631327</v>
      </c>
      <c r="AU10" s="17">
        <f t="shared" si="1"/>
        <v>1880.47734576128</v>
      </c>
      <c r="AW10" s="6">
        <f t="shared" si="2"/>
        <v>2699.3159698015197</v>
      </c>
      <c r="AX10" s="7">
        <f t="shared" si="3"/>
        <v>1726.4836809420799</v>
      </c>
      <c r="AZ10" s="11">
        <f t="shared" si="4"/>
        <v>2126.6547446586137</v>
      </c>
      <c r="BA10" s="12">
        <f t="shared" si="5"/>
        <v>2105.2599967744</v>
      </c>
      <c r="BC10" s="13">
        <f t="shared" si="6"/>
        <v>2351.0894812195379</v>
      </c>
      <c r="BD10" s="14">
        <f t="shared" si="7"/>
        <v>1846.5214843391998</v>
      </c>
      <c r="BF10" s="16">
        <f t="shared" si="8"/>
        <v>2278.6571923631327</v>
      </c>
      <c r="BG10" s="17">
        <f t="shared" si="9"/>
        <v>1880.47734576128</v>
      </c>
      <c r="BI10">
        <v>46</v>
      </c>
      <c r="BJ10" t="s">
        <v>36</v>
      </c>
      <c r="BK10" s="2">
        <v>45902.739618055559</v>
      </c>
      <c r="BL10" t="s">
        <v>29</v>
      </c>
      <c r="BM10" t="s">
        <v>13</v>
      </c>
      <c r="BN10">
        <v>0</v>
      </c>
      <c r="BO10">
        <v>2.726</v>
      </c>
      <c r="BP10" s="3">
        <v>4992019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45902.782152777778</v>
      </c>
      <c r="D11" t="s">
        <v>28</v>
      </c>
      <c r="E11" t="s">
        <v>13</v>
      </c>
      <c r="F11">
        <v>0</v>
      </c>
      <c r="G11">
        <v>6.0910000000000002</v>
      </c>
      <c r="H11" s="3">
        <v>2849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45902.782152777778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45902.782152777778</v>
      </c>
      <c r="AF11" t="s">
        <v>28</v>
      </c>
      <c r="AG11" t="s">
        <v>13</v>
      </c>
      <c r="AH11">
        <v>0</v>
      </c>
      <c r="AI11">
        <v>12.363</v>
      </c>
      <c r="AJ11" s="3">
        <v>1116</v>
      </c>
      <c r="AK11">
        <v>0.14799999999999999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6.7201539908929995</v>
      </c>
      <c r="AU11" s="17">
        <f t="shared" si="1"/>
        <v>120.05208547408</v>
      </c>
      <c r="AW11" s="6">
        <f t="shared" si="2"/>
        <v>1.7530012853000005</v>
      </c>
      <c r="AX11" s="7">
        <f t="shared" si="3"/>
        <v>126.94541596288001</v>
      </c>
      <c r="AZ11" s="11">
        <f t="shared" si="4"/>
        <v>3.5275875400000007</v>
      </c>
      <c r="BA11" s="12">
        <f t="shared" si="5"/>
        <v>250.0159475184</v>
      </c>
      <c r="BC11" s="13">
        <f t="shared" si="6"/>
        <v>3.6413910091399995</v>
      </c>
      <c r="BD11" s="14">
        <f t="shared" si="7"/>
        <v>262.80552173119997</v>
      </c>
      <c r="BF11" s="16">
        <f t="shared" si="8"/>
        <v>6.7201539908929995</v>
      </c>
      <c r="BG11" s="17">
        <f t="shared" si="9"/>
        <v>120.05208547408</v>
      </c>
      <c r="BI11">
        <v>47</v>
      </c>
      <c r="BJ11" t="s">
        <v>37</v>
      </c>
      <c r="BK11" s="2">
        <v>45902.782152777778</v>
      </c>
      <c r="BL11" t="s">
        <v>28</v>
      </c>
      <c r="BM11" t="s">
        <v>13</v>
      </c>
      <c r="BN11">
        <v>0</v>
      </c>
      <c r="BO11">
        <v>2.7240000000000002</v>
      </c>
      <c r="BP11" s="3">
        <v>5132327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45903.426030092596</v>
      </c>
      <c r="D12">
        <v>208</v>
      </c>
      <c r="E12" t="s">
        <v>13</v>
      </c>
      <c r="F12">
        <v>0</v>
      </c>
      <c r="G12">
        <v>6.0730000000000004</v>
      </c>
      <c r="H12" s="3">
        <v>7802</v>
      </c>
      <c r="I12">
        <v>1.7999999999999999E-2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45903.426030092596</v>
      </c>
      <c r="R12">
        <v>208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45903.426030092596</v>
      </c>
      <c r="AF12">
        <v>208</v>
      </c>
      <c r="AG12" t="s">
        <v>13</v>
      </c>
      <c r="AH12">
        <v>0</v>
      </c>
      <c r="AI12">
        <v>12.323</v>
      </c>
      <c r="AJ12" s="3">
        <v>7758</v>
      </c>
      <c r="AK12">
        <v>1.605</v>
      </c>
      <c r="AL12" t="s">
        <v>14</v>
      </c>
      <c r="AM12" t="s">
        <v>14</v>
      </c>
      <c r="AN12" t="s">
        <v>14</v>
      </c>
      <c r="AO12" t="s">
        <v>14</v>
      </c>
      <c r="AQ12">
        <v>2</v>
      </c>
      <c r="AR12" t="s">
        <v>91</v>
      </c>
      <c r="AS12" s="10">
        <v>48</v>
      </c>
      <c r="AT12" s="16">
        <f t="shared" si="0"/>
        <v>24.414543135571996</v>
      </c>
      <c r="AU12" s="17">
        <f t="shared" si="1"/>
        <v>1629.5432453045203</v>
      </c>
      <c r="AW12" s="6">
        <f t="shared" si="2"/>
        <v>13.5534757412</v>
      </c>
      <c r="AX12" s="7">
        <f t="shared" si="3"/>
        <v>1498.3426388867199</v>
      </c>
      <c r="AZ12" s="11">
        <f t="shared" si="4"/>
        <v>8.4139201600000053</v>
      </c>
      <c r="BA12" s="12">
        <f t="shared" si="5"/>
        <v>1843.7809081595999</v>
      </c>
      <c r="BC12" s="13">
        <f t="shared" si="6"/>
        <v>18.805486596560002</v>
      </c>
      <c r="BD12" s="14">
        <f t="shared" si="7"/>
        <v>1620.8908434727998</v>
      </c>
      <c r="BF12" s="16">
        <f t="shared" si="8"/>
        <v>24.414543135571996</v>
      </c>
      <c r="BG12" s="17">
        <f t="shared" si="9"/>
        <v>1629.5432453045203</v>
      </c>
      <c r="BI12">
        <v>48</v>
      </c>
      <c r="BJ12" t="s">
        <v>38</v>
      </c>
      <c r="BK12" s="2">
        <v>45903.426030092596</v>
      </c>
      <c r="BL12">
        <v>208</v>
      </c>
      <c r="BM12" t="s">
        <v>13</v>
      </c>
      <c r="BN12">
        <v>0</v>
      </c>
      <c r="BO12">
        <v>2.8410000000000002</v>
      </c>
      <c r="BP12" s="3">
        <v>1662233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45903.447245370371</v>
      </c>
      <c r="D13">
        <v>269</v>
      </c>
      <c r="E13" t="s">
        <v>13</v>
      </c>
      <c r="F13">
        <v>0</v>
      </c>
      <c r="G13">
        <v>6.0529999999999999</v>
      </c>
      <c r="H13" s="3">
        <v>8333</v>
      </c>
      <c r="I13">
        <v>1.9E-2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45903.447245370371</v>
      </c>
      <c r="R13">
        <v>269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45903.447245370371</v>
      </c>
      <c r="AF13">
        <v>269</v>
      </c>
      <c r="AG13" t="s">
        <v>13</v>
      </c>
      <c r="AH13">
        <v>0</v>
      </c>
      <c r="AI13">
        <v>12.288</v>
      </c>
      <c r="AJ13" s="3">
        <v>5678</v>
      </c>
      <c r="AK13">
        <v>1.149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26.336250484276995</v>
      </c>
      <c r="AU13" s="17">
        <f t="shared" si="1"/>
        <v>1157.2985987061202</v>
      </c>
      <c r="AW13" s="6">
        <f t="shared" si="2"/>
        <v>15.241692271700003</v>
      </c>
      <c r="AX13" s="7">
        <f t="shared" si="3"/>
        <v>1069.1198432643198</v>
      </c>
      <c r="AZ13" s="11">
        <f t="shared" si="4"/>
        <v>10.51025506</v>
      </c>
      <c r="BA13" s="12">
        <f t="shared" si="5"/>
        <v>1349.0074801276</v>
      </c>
      <c r="BC13" s="13">
        <f t="shared" si="6"/>
        <v>20.597587117460002</v>
      </c>
      <c r="BD13" s="14">
        <f t="shared" si="7"/>
        <v>1196.1620668967998</v>
      </c>
      <c r="BF13" s="16">
        <f t="shared" si="8"/>
        <v>26.336250484276995</v>
      </c>
      <c r="BG13" s="17">
        <f t="shared" si="9"/>
        <v>1157.2985987061202</v>
      </c>
      <c r="BI13">
        <v>49</v>
      </c>
      <c r="BJ13" t="s">
        <v>39</v>
      </c>
      <c r="BK13" s="2">
        <v>45903.447245370371</v>
      </c>
      <c r="BL13">
        <v>269</v>
      </c>
      <c r="BM13" t="s">
        <v>13</v>
      </c>
      <c r="BN13">
        <v>0</v>
      </c>
      <c r="BO13">
        <v>2.8719999999999999</v>
      </c>
      <c r="BP13" s="3">
        <v>918182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45903.468460648146</v>
      </c>
      <c r="D14">
        <v>33</v>
      </c>
      <c r="E14" t="s">
        <v>13</v>
      </c>
      <c r="F14">
        <v>0</v>
      </c>
      <c r="G14">
        <v>5.8259999999999996</v>
      </c>
      <c r="H14" s="3">
        <v>67254154</v>
      </c>
      <c r="I14">
        <v>190.82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45903.468460648146</v>
      </c>
      <c r="R14">
        <v>33</v>
      </c>
      <c r="S14" t="s">
        <v>13</v>
      </c>
      <c r="T14">
        <v>0</v>
      </c>
      <c r="U14">
        <v>5.8</v>
      </c>
      <c r="V14" s="3">
        <v>678465</v>
      </c>
      <c r="W14">
        <v>161.33699999999999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45903.468460648146</v>
      </c>
      <c r="AF14">
        <v>33</v>
      </c>
      <c r="AG14" t="s">
        <v>13</v>
      </c>
      <c r="AH14">
        <v>0</v>
      </c>
      <c r="AI14">
        <v>12.204000000000001</v>
      </c>
      <c r="AJ14" s="3">
        <v>76515</v>
      </c>
      <c r="AK14">
        <v>16.602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160304.70587187848</v>
      </c>
      <c r="AU14" s="17">
        <f t="shared" si="1"/>
        <v>16956.195229710498</v>
      </c>
      <c r="AW14" s="6">
        <f t="shared" si="2"/>
        <v>158954.60152435949</v>
      </c>
      <c r="AX14" s="7">
        <f t="shared" si="3"/>
        <v>15562.542505857999</v>
      </c>
      <c r="AZ14" s="11">
        <f t="shared" si="4"/>
        <v>163787.97737549999</v>
      </c>
      <c r="BA14" s="12">
        <f t="shared" si="5"/>
        <v>16936.314600297501</v>
      </c>
      <c r="BC14" s="13">
        <f t="shared" si="6"/>
        <v>173023.394057025</v>
      </c>
      <c r="BD14" s="14">
        <f t="shared" si="7"/>
        <v>15093.659778243249</v>
      </c>
      <c r="BF14" s="16">
        <f t="shared" si="8"/>
        <v>160304.70587187848</v>
      </c>
      <c r="BG14" s="17">
        <f t="shared" si="9"/>
        <v>16956.195229710498</v>
      </c>
      <c r="BI14">
        <v>50</v>
      </c>
      <c r="BJ14" t="s">
        <v>40</v>
      </c>
      <c r="BK14" s="2">
        <v>45903.468460648146</v>
      </c>
      <c r="BL14">
        <v>33</v>
      </c>
      <c r="BM14" t="s">
        <v>13</v>
      </c>
      <c r="BN14">
        <v>0</v>
      </c>
      <c r="BO14">
        <v>2.8889999999999998</v>
      </c>
      <c r="BP14" s="3">
        <v>530868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45903.489675925928</v>
      </c>
      <c r="D15">
        <v>405</v>
      </c>
      <c r="E15" t="s">
        <v>13</v>
      </c>
      <c r="F15">
        <v>0</v>
      </c>
      <c r="G15">
        <v>6.0229999999999997</v>
      </c>
      <c r="H15" s="3">
        <v>9016806</v>
      </c>
      <c r="I15">
        <v>20.783000000000001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45903.489675925928</v>
      </c>
      <c r="R15">
        <v>405</v>
      </c>
      <c r="S15" t="s">
        <v>13</v>
      </c>
      <c r="T15">
        <v>0</v>
      </c>
      <c r="U15">
        <v>5.9770000000000003</v>
      </c>
      <c r="V15" s="3">
        <v>64549</v>
      </c>
      <c r="W15">
        <v>15.999000000000001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45903.489675925928</v>
      </c>
      <c r="AF15">
        <v>405</v>
      </c>
      <c r="AG15" t="s">
        <v>13</v>
      </c>
      <c r="AH15">
        <v>0</v>
      </c>
      <c r="AI15">
        <v>12.222</v>
      </c>
      <c r="AJ15" s="3">
        <v>67340</v>
      </c>
      <c r="AK15">
        <v>14.61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si="0"/>
        <v>16669.334445713859</v>
      </c>
      <c r="AU15" s="17">
        <f t="shared" si="1"/>
        <v>15000.339745128</v>
      </c>
      <c r="AW15" s="6">
        <f t="shared" si="2"/>
        <v>16096.109707488618</v>
      </c>
      <c r="AX15" s="7">
        <f t="shared" si="3"/>
        <v>13699.753078688</v>
      </c>
      <c r="AZ15" s="11">
        <f t="shared" si="4"/>
        <v>15441.487031980003</v>
      </c>
      <c r="BA15" s="12">
        <f t="shared" si="5"/>
        <v>14717.64976796</v>
      </c>
      <c r="BC15" s="13">
        <f t="shared" si="6"/>
        <v>17047.864124569001</v>
      </c>
      <c r="BD15" s="14">
        <f t="shared" si="7"/>
        <v>13232.573745332</v>
      </c>
      <c r="BF15" s="16">
        <f t="shared" si="8"/>
        <v>16669.334445713859</v>
      </c>
      <c r="BG15" s="17">
        <f t="shared" si="9"/>
        <v>15000.339745128</v>
      </c>
      <c r="BI15">
        <v>51</v>
      </c>
      <c r="BJ15" t="s">
        <v>41</v>
      </c>
      <c r="BK15" s="2">
        <v>45903.489675925928</v>
      </c>
      <c r="BL15">
        <v>405</v>
      </c>
      <c r="BM15" t="s">
        <v>13</v>
      </c>
      <c r="BN15">
        <v>0</v>
      </c>
      <c r="BO15">
        <v>2.8740000000000001</v>
      </c>
      <c r="BP15" s="3">
        <v>860835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45903.51090277778</v>
      </c>
      <c r="D16">
        <v>205</v>
      </c>
      <c r="E16" t="s">
        <v>13</v>
      </c>
      <c r="F16">
        <v>0</v>
      </c>
      <c r="G16">
        <v>5.8150000000000004</v>
      </c>
      <c r="H16" s="3">
        <v>62967113</v>
      </c>
      <c r="I16">
        <v>174.86600000000001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45903.51090277778</v>
      </c>
      <c r="R16">
        <v>205</v>
      </c>
      <c r="S16" t="s">
        <v>13</v>
      </c>
      <c r="T16">
        <v>0</v>
      </c>
      <c r="U16">
        <v>5.7960000000000003</v>
      </c>
      <c r="V16" s="3">
        <v>699319</v>
      </c>
      <c r="W16">
        <v>166.09899999999999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45903.51090277778</v>
      </c>
      <c r="AF16">
        <v>205</v>
      </c>
      <c r="AG16" t="s">
        <v>13</v>
      </c>
      <c r="AH16">
        <v>0</v>
      </c>
      <c r="AI16">
        <v>12.205</v>
      </c>
      <c r="AJ16" s="3">
        <v>71395</v>
      </c>
      <c r="AK16">
        <v>15.491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0"/>
        <v>165049.60127346346</v>
      </c>
      <c r="AU16" s="17">
        <f t="shared" si="1"/>
        <v>15864.973747214501</v>
      </c>
      <c r="AW16" s="6">
        <f t="shared" si="2"/>
        <v>163550.79280431182</v>
      </c>
      <c r="AX16" s="7">
        <f t="shared" si="3"/>
        <v>14523.564781441999</v>
      </c>
      <c r="AZ16" s="11">
        <f t="shared" si="4"/>
        <v>168562.38222477998</v>
      </c>
      <c r="BA16" s="12">
        <f t="shared" si="5"/>
        <v>15699.064137577498</v>
      </c>
      <c r="BC16" s="13">
        <f t="shared" si="6"/>
        <v>177911.335923409</v>
      </c>
      <c r="BD16" s="14">
        <f t="shared" si="7"/>
        <v>14055.601678019249</v>
      </c>
      <c r="BF16" s="16">
        <f t="shared" si="8"/>
        <v>165049.60127346346</v>
      </c>
      <c r="BG16" s="17">
        <f t="shared" si="9"/>
        <v>15864.973747214501</v>
      </c>
      <c r="BI16">
        <v>52</v>
      </c>
      <c r="BJ16" t="s">
        <v>42</v>
      </c>
      <c r="BK16" s="2">
        <v>45903.51090277778</v>
      </c>
      <c r="BL16">
        <v>205</v>
      </c>
      <c r="BM16" t="s">
        <v>13</v>
      </c>
      <c r="BN16">
        <v>0</v>
      </c>
      <c r="BO16">
        <v>2.89</v>
      </c>
      <c r="BP16" s="3">
        <v>526392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45903.532129629632</v>
      </c>
      <c r="D17">
        <v>92</v>
      </c>
      <c r="E17" t="s">
        <v>13</v>
      </c>
      <c r="F17">
        <v>0</v>
      </c>
      <c r="G17">
        <v>6.0469999999999997</v>
      </c>
      <c r="H17" s="3">
        <v>113518</v>
      </c>
      <c r="I17">
        <v>0.25600000000000001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45903.532129629632</v>
      </c>
      <c r="R17">
        <v>92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45903.532129629632</v>
      </c>
      <c r="AF17">
        <v>92</v>
      </c>
      <c r="AG17" t="s">
        <v>13</v>
      </c>
      <c r="AH17">
        <v>0</v>
      </c>
      <c r="AI17">
        <v>12.196</v>
      </c>
      <c r="AJ17" s="3">
        <v>90454</v>
      </c>
      <c r="AK17">
        <v>19.623999999999999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0"/>
        <v>304.24516954678796</v>
      </c>
      <c r="AU17" s="17">
        <f t="shared" si="1"/>
        <v>19924.181744648078</v>
      </c>
      <c r="AW17" s="6">
        <f t="shared" si="2"/>
        <v>263.03239847246499</v>
      </c>
      <c r="AX17" s="7">
        <f t="shared" si="3"/>
        <v>18384.339045519679</v>
      </c>
      <c r="AZ17" s="11">
        <f t="shared" si="4"/>
        <v>314.693521617052</v>
      </c>
      <c r="BA17" s="12">
        <f t="shared" si="5"/>
        <v>20293.8150218556</v>
      </c>
      <c r="BC17" s="13">
        <f t="shared" si="6"/>
        <v>321.04610806962876</v>
      </c>
      <c r="BD17" s="14">
        <f t="shared" si="7"/>
        <v>17913.348515432521</v>
      </c>
      <c r="BF17" s="16">
        <f t="shared" si="8"/>
        <v>304.24516954678796</v>
      </c>
      <c r="BG17" s="17">
        <f t="shared" si="9"/>
        <v>19924.181744648078</v>
      </c>
      <c r="BI17">
        <v>53</v>
      </c>
      <c r="BJ17" t="s">
        <v>43</v>
      </c>
      <c r="BK17" s="2">
        <v>45903.532129629632</v>
      </c>
      <c r="BL17">
        <v>92</v>
      </c>
      <c r="BM17" t="s">
        <v>13</v>
      </c>
      <c r="BN17">
        <v>0</v>
      </c>
      <c r="BO17">
        <v>2.8730000000000002</v>
      </c>
      <c r="BP17" s="3">
        <v>875262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45903.553344907406</v>
      </c>
      <c r="D18">
        <v>337</v>
      </c>
      <c r="E18" t="s">
        <v>13</v>
      </c>
      <c r="F18">
        <v>0</v>
      </c>
      <c r="G18">
        <v>6.0220000000000002</v>
      </c>
      <c r="H18" s="3">
        <v>9015173</v>
      </c>
      <c r="I18">
        <v>20.779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45903.553344907406</v>
      </c>
      <c r="R18">
        <v>337</v>
      </c>
      <c r="S18" t="s">
        <v>13</v>
      </c>
      <c r="T18">
        <v>0</v>
      </c>
      <c r="U18">
        <v>5.9749999999999996</v>
      </c>
      <c r="V18" s="3">
        <v>65593</v>
      </c>
      <c r="W18">
        <v>16.256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45903.553344907406</v>
      </c>
      <c r="AF18">
        <v>337</v>
      </c>
      <c r="AG18" t="s">
        <v>13</v>
      </c>
      <c r="AH18">
        <v>0</v>
      </c>
      <c r="AI18">
        <v>12.215999999999999</v>
      </c>
      <c r="AJ18" s="3">
        <v>64528</v>
      </c>
      <c r="AK18">
        <v>13.999000000000001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0"/>
        <v>16920.08274167914</v>
      </c>
      <c r="AU18" s="17">
        <f t="shared" si="1"/>
        <v>14400.54137723392</v>
      </c>
      <c r="AW18" s="6">
        <f t="shared" si="2"/>
        <v>16351.448980842379</v>
      </c>
      <c r="AX18" s="7">
        <f t="shared" si="3"/>
        <v>13127.975821752319</v>
      </c>
      <c r="AZ18" s="11">
        <f t="shared" si="4"/>
        <v>15706.555667020002</v>
      </c>
      <c r="BA18" s="12">
        <f t="shared" si="5"/>
        <v>14036.283612134401</v>
      </c>
      <c r="BC18" s="13">
        <f t="shared" si="6"/>
        <v>17332.944608881</v>
      </c>
      <c r="BD18" s="14">
        <f t="shared" si="7"/>
        <v>12661.36877730048</v>
      </c>
      <c r="BF18" s="16">
        <f t="shared" si="8"/>
        <v>16920.08274167914</v>
      </c>
      <c r="BG18" s="17">
        <f t="shared" si="9"/>
        <v>14400.54137723392</v>
      </c>
      <c r="BI18">
        <v>54</v>
      </c>
      <c r="BJ18" t="s">
        <v>44</v>
      </c>
      <c r="BK18" s="2">
        <v>45903.553344907406</v>
      </c>
      <c r="BL18">
        <v>337</v>
      </c>
      <c r="BM18" t="s">
        <v>13</v>
      </c>
      <c r="BN18">
        <v>0</v>
      </c>
      <c r="BO18">
        <v>2.871</v>
      </c>
      <c r="BP18" s="3">
        <v>912074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45903.574606481481</v>
      </c>
      <c r="D19">
        <v>350</v>
      </c>
      <c r="E19" t="s">
        <v>13</v>
      </c>
      <c r="F19">
        <v>0</v>
      </c>
      <c r="G19">
        <v>6.0540000000000003</v>
      </c>
      <c r="H19" s="3">
        <v>6377</v>
      </c>
      <c r="I19">
        <v>1.4999999999999999E-2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45903.574606481481</v>
      </c>
      <c r="R19">
        <v>350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45903.574606481481</v>
      </c>
      <c r="AF19">
        <v>350</v>
      </c>
      <c r="AG19" t="s">
        <v>13</v>
      </c>
      <c r="AH19">
        <v>0</v>
      </c>
      <c r="AI19">
        <v>12.284000000000001</v>
      </c>
      <c r="AJ19" s="3">
        <v>10244</v>
      </c>
      <c r="AK19">
        <v>2.15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ref="AT19:AT29" si="10">IF(H19&lt;10000,((H19^2*0.000000008493)+(H19*0.003482)+(-3.269)),(IF(H19&lt;200000,((H19^2*-0.000000000263)+(H19*0.002682)+(3.179)),(IF(H19&lt;8000000,((H19^2*-0.000000000005099)+(H19*0.002054)+(174.8)),((V19^2*-0.00000001014)+(V19*0.2415)+(1123)))))))</f>
        <v>19.281091433596998</v>
      </c>
      <c r="AU19" s="17">
        <f t="shared" ref="AU19:AU29" si="11">IF(AJ19&lt;45000,((-0.00000004907*AJ19^2)+(0.2277*AJ19)+(-134)),((-0.00000001062*AJ19^2)+(0.2147*AJ19)+(590.6)))</f>
        <v>2193.4094169684804</v>
      </c>
      <c r="AW19" s="6">
        <f t="shared" ref="AW19:AW29" si="12">IF(H19&lt;10000,((0.0000001453*H19^2)+(0.0008349*H19)+(-1.805)),(IF(H19&lt;700000,((-0.00000000008054*H19^2)+(0.002348*H19)+(-2.47)), ((-0.00000001938*V19^2)+(0.2471*V19)+(226.8)))))</f>
        <v>9.4279458436999999</v>
      </c>
      <c r="AX19" s="7">
        <f t="shared" ref="AX19:AX29" si="13">(-0.00000002552*AJ19^2)+(0.2067*AJ19)+(-103.7)</f>
        <v>2011.05674304128</v>
      </c>
      <c r="AZ19" s="11">
        <f t="shared" ref="AZ19:AZ29" si="14">IF(H19&lt;10000,((H19^2*0.00000054)+(H19*-0.004765)+(12.72)),(IF(H19&lt;200000,((H19^2*-0.000000001577)+(H19*0.003043)+(-10.42)),(IF(H19&lt;8000000,((H19^2*-0.0000000000186)+(H19*0.00194)+(154.1)),((V19^2*-0.00000002)+(V19*0.2565)+(-1032)))))))</f>
        <v>4.2933046600000022</v>
      </c>
      <c r="BA19" s="12">
        <f t="shared" ref="BA19:BA29" si="15">IF(AJ19&lt;45000,((-0.0000004561*AJ19^2)+(0.244*AJ19)+(-21.72)),((-0.0000000409*AJ19^2)+(0.2477*AJ19)+(-1777)))</f>
        <v>2429.9530776304005</v>
      </c>
      <c r="BC19" s="13">
        <f t="shared" ref="BC19:BC29" si="16">IF(H19&lt;10000,((H19^2*0.00000005714)+(H19*0.002453)+(-3.811)),(IF(H19&lt;200000,((H19^2*-0.0000000002888)+(H19*0.002899)+(-4.321)),(IF(H19&lt;8000000,((H19^2*-0.0000000000062)+(H19*0.002143)+(157)),((V19^2*-0.000000031)+(V19*0.2771)+(-709.5)))))))</f>
        <v>14.155443611060001</v>
      </c>
      <c r="BD19" s="14">
        <f t="shared" ref="BD19:BD29" si="17">IF(AJ19&lt;45000,((-0.0000000598*AJ19^2)+(0.205*AJ19)+(34.1)),((-0.00000002403*AJ19^2)+(0.2063*AJ19)+(-550.7)))</f>
        <v>2127.8446157471999</v>
      </c>
      <c r="BF19" s="16">
        <f t="shared" ref="BF19:BF29" si="18">IF(H19&lt;10000,((H19^2*0.000000008493)+(H19*0.003482)+(-3.269)),(IF(H19&lt;200000,((H19^2*-0.000000000263)+(H19*0.002682)+(3.179)),(IF(H19&lt;8000000,((H19^2*-0.000000000005099)+(H19*0.002054)+(174.8)),((V19^2*-0.00000001014)+(V19*0.2415)+(1123)))))))</f>
        <v>19.281091433596998</v>
      </c>
      <c r="BG19" s="17">
        <f t="shared" ref="BG19:BG29" si="19">IF(AJ19&lt;45000,((-0.00000004907*AJ19^2)+(0.2277*AJ19)+(-134)),((-0.00000001062*AJ19^2)+(0.2147*AJ19)+(590.6)))</f>
        <v>2193.4094169684804</v>
      </c>
      <c r="BI19">
        <v>55</v>
      </c>
      <c r="BJ19" t="s">
        <v>45</v>
      </c>
      <c r="BK19" s="2">
        <v>45903.574606481481</v>
      </c>
      <c r="BL19">
        <v>350</v>
      </c>
      <c r="BM19" t="s">
        <v>13</v>
      </c>
      <c r="BN19">
        <v>0</v>
      </c>
      <c r="BO19">
        <v>2.867</v>
      </c>
      <c r="BP19" s="3">
        <v>1009070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45903.595833333333</v>
      </c>
      <c r="D20">
        <v>39</v>
      </c>
      <c r="E20" t="s">
        <v>13</v>
      </c>
      <c r="F20">
        <v>0</v>
      </c>
      <c r="G20">
        <v>5.8650000000000002</v>
      </c>
      <c r="H20" s="3">
        <v>51948898</v>
      </c>
      <c r="I20">
        <v>137.42699999999999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45903.595833333333</v>
      </c>
      <c r="R20">
        <v>39</v>
      </c>
      <c r="S20" t="s">
        <v>13</v>
      </c>
      <c r="T20">
        <v>0</v>
      </c>
      <c r="U20">
        <v>5.8419999999999996</v>
      </c>
      <c r="V20" s="3">
        <v>516654</v>
      </c>
      <c r="W20">
        <v>124.017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45903.595833333333</v>
      </c>
      <c r="AF20">
        <v>39</v>
      </c>
      <c r="AG20" t="s">
        <v>13</v>
      </c>
      <c r="AH20">
        <v>0</v>
      </c>
      <c r="AI20">
        <v>12.167</v>
      </c>
      <c r="AJ20" s="3">
        <v>118066</v>
      </c>
      <c r="AK20">
        <v>25.593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123188.25705303975</v>
      </c>
      <c r="AU20" s="17">
        <f t="shared" si="11"/>
        <v>25791.331856619279</v>
      </c>
      <c r="AW20" s="6">
        <f t="shared" si="12"/>
        <v>122718.87372622392</v>
      </c>
      <c r="AX20" s="7">
        <f t="shared" si="13"/>
        <v>23944.804109314879</v>
      </c>
      <c r="AZ20" s="11">
        <f t="shared" si="14"/>
        <v>126151.12388567999</v>
      </c>
      <c r="BA20" s="12">
        <f t="shared" si="15"/>
        <v>26897.819363439598</v>
      </c>
      <c r="BC20" s="13">
        <f t="shared" si="16"/>
        <v>134180.451372804</v>
      </c>
      <c r="BD20" s="14">
        <f t="shared" si="17"/>
        <v>23471.347684045319</v>
      </c>
      <c r="BF20" s="16">
        <f t="shared" si="18"/>
        <v>123188.25705303975</v>
      </c>
      <c r="BG20" s="17">
        <f t="shared" si="19"/>
        <v>25791.331856619279</v>
      </c>
      <c r="BI20">
        <v>56</v>
      </c>
      <c r="BJ20" t="s">
        <v>46</v>
      </c>
      <c r="BK20" s="2">
        <v>45903.595833333333</v>
      </c>
      <c r="BL20">
        <v>39</v>
      </c>
      <c r="BM20" t="s">
        <v>13</v>
      </c>
      <c r="BN20">
        <v>0</v>
      </c>
      <c r="BO20">
        <v>2.887</v>
      </c>
      <c r="BP20" s="3">
        <v>566574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45903.617071759261</v>
      </c>
      <c r="D21">
        <v>105</v>
      </c>
      <c r="E21" t="s">
        <v>13</v>
      </c>
      <c r="F21">
        <v>0</v>
      </c>
      <c r="G21">
        <v>6.056</v>
      </c>
      <c r="H21" s="3">
        <v>7540</v>
      </c>
      <c r="I21">
        <v>1.7000000000000001E-2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45903.617071759261</v>
      </c>
      <c r="R21">
        <v>105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45903.617071759261</v>
      </c>
      <c r="AF21">
        <v>105</v>
      </c>
      <c r="AG21" t="s">
        <v>13</v>
      </c>
      <c r="AH21">
        <v>0</v>
      </c>
      <c r="AI21" t="s">
        <v>14</v>
      </c>
      <c r="AJ21" s="3" t="s">
        <v>14</v>
      </c>
      <c r="AK21" t="s">
        <v>14</v>
      </c>
      <c r="AL21" t="s">
        <v>14</v>
      </c>
      <c r="AM21" t="s">
        <v>14</v>
      </c>
      <c r="AN21" t="s">
        <v>14</v>
      </c>
      <c r="AO21" t="s">
        <v>14</v>
      </c>
      <c r="AQ21">
        <v>2</v>
      </c>
      <c r="AR21" t="s">
        <v>90</v>
      </c>
      <c r="AS21" s="10">
        <v>57</v>
      </c>
      <c r="AT21" s="16">
        <f t="shared" si="10"/>
        <v>23.468120638799995</v>
      </c>
      <c r="AU21" s="17" t="e">
        <f t="shared" si="11"/>
        <v>#VALUE!</v>
      </c>
      <c r="AW21" s="6">
        <f t="shared" si="12"/>
        <v>12.750683479999999</v>
      </c>
      <c r="AX21" s="7" t="e">
        <f t="shared" si="13"/>
        <v>#VALUE!</v>
      </c>
      <c r="AZ21" s="11">
        <f t="shared" si="14"/>
        <v>7.4917640000000016</v>
      </c>
      <c r="BA21" s="12" t="e">
        <f t="shared" si="15"/>
        <v>#VALUE!</v>
      </c>
      <c r="BC21" s="13">
        <f t="shared" si="16"/>
        <v>17.933120423999998</v>
      </c>
      <c r="BD21" s="14" t="e">
        <f t="shared" si="17"/>
        <v>#VALUE!</v>
      </c>
      <c r="BF21" s="16">
        <f t="shared" si="18"/>
        <v>23.468120638799995</v>
      </c>
      <c r="BG21" s="17" t="e">
        <f t="shared" si="19"/>
        <v>#VALUE!</v>
      </c>
      <c r="BI21">
        <v>57</v>
      </c>
      <c r="BJ21" t="s">
        <v>47</v>
      </c>
      <c r="BK21" s="2">
        <v>45903.617071759261</v>
      </c>
      <c r="BL21">
        <v>105</v>
      </c>
      <c r="BM21" t="s">
        <v>13</v>
      </c>
      <c r="BN21">
        <v>0</v>
      </c>
      <c r="BO21">
        <v>2.87</v>
      </c>
      <c r="BP21" s="3">
        <v>926567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45903.638275462959</v>
      </c>
      <c r="D22">
        <v>314</v>
      </c>
      <c r="E22" t="s">
        <v>13</v>
      </c>
      <c r="F22">
        <v>0</v>
      </c>
      <c r="G22">
        <v>5.8659999999999997</v>
      </c>
      <c r="H22" s="3">
        <v>50164788</v>
      </c>
      <c r="I22">
        <v>131.762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45903.638275462959</v>
      </c>
      <c r="R22">
        <v>314</v>
      </c>
      <c r="S22" t="s">
        <v>13</v>
      </c>
      <c r="T22">
        <v>0</v>
      </c>
      <c r="U22">
        <v>5.8449999999999998</v>
      </c>
      <c r="V22" s="3">
        <v>502367</v>
      </c>
      <c r="W22">
        <v>120.68899999999999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45903.638275462959</v>
      </c>
      <c r="AF22">
        <v>314</v>
      </c>
      <c r="AG22" t="s">
        <v>13</v>
      </c>
      <c r="AH22">
        <v>0</v>
      </c>
      <c r="AI22">
        <v>12.077</v>
      </c>
      <c r="AJ22" s="3">
        <v>123553</v>
      </c>
      <c r="AK22">
        <v>26.776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119885.57230873354</v>
      </c>
      <c r="AU22" s="17">
        <f t="shared" si="11"/>
        <v>26955.311148748417</v>
      </c>
      <c r="AW22" s="6">
        <f t="shared" si="12"/>
        <v>119470.70465988718</v>
      </c>
      <c r="AX22" s="7">
        <f t="shared" si="13"/>
        <v>25045.133525994319</v>
      </c>
      <c r="AZ22" s="11">
        <f t="shared" si="14"/>
        <v>122777.68344622001</v>
      </c>
      <c r="BA22" s="12">
        <f t="shared" si="15"/>
        <v>28202.7255382119</v>
      </c>
      <c r="BC22" s="13">
        <f t="shared" si="16"/>
        <v>130672.84501664099</v>
      </c>
      <c r="BD22" s="14">
        <f t="shared" si="17"/>
        <v>24571.457688269733</v>
      </c>
      <c r="BF22" s="16">
        <f t="shared" si="18"/>
        <v>119885.57230873354</v>
      </c>
      <c r="BG22" s="17">
        <f t="shared" si="19"/>
        <v>26955.311148748417</v>
      </c>
      <c r="BI22">
        <v>58</v>
      </c>
      <c r="BJ22" t="s">
        <v>48</v>
      </c>
      <c r="BK22" s="2">
        <v>45903.638275462959</v>
      </c>
      <c r="BL22">
        <v>314</v>
      </c>
      <c r="BM22" t="s">
        <v>13</v>
      </c>
      <c r="BN22">
        <v>0</v>
      </c>
      <c r="BO22">
        <v>2.887</v>
      </c>
      <c r="BP22" s="3">
        <v>578532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45903.659502314818</v>
      </c>
      <c r="D23">
        <v>292</v>
      </c>
      <c r="E23" t="s">
        <v>13</v>
      </c>
      <c r="F23">
        <v>0</v>
      </c>
      <c r="G23">
        <v>6.0510000000000002</v>
      </c>
      <c r="H23" s="3">
        <v>13816</v>
      </c>
      <c r="I23">
        <v>3.2000000000000001E-2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45903.659502314818</v>
      </c>
      <c r="R23">
        <v>292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45903.659502314818</v>
      </c>
      <c r="AF23">
        <v>292</v>
      </c>
      <c r="AG23" t="s">
        <v>13</v>
      </c>
      <c r="AH23">
        <v>0</v>
      </c>
      <c r="AI23">
        <v>12.048</v>
      </c>
      <c r="AJ23" s="3">
        <v>203108</v>
      </c>
      <c r="AK23">
        <v>43.826999999999998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40.183310071872</v>
      </c>
      <c r="AU23" s="17">
        <f t="shared" si="11"/>
        <v>43759.782230368321</v>
      </c>
      <c r="AW23" s="6">
        <f t="shared" si="12"/>
        <v>29.954594375317761</v>
      </c>
      <c r="AX23" s="7">
        <f t="shared" si="13"/>
        <v>40825.950621374723</v>
      </c>
      <c r="AZ23" s="11">
        <f t="shared" si="14"/>
        <v>31.321067313088001</v>
      </c>
      <c r="BA23" s="12">
        <f t="shared" si="15"/>
        <v>46845.609639742404</v>
      </c>
      <c r="BC23" s="13">
        <f t="shared" si="16"/>
        <v>35.676457319987207</v>
      </c>
      <c r="BD23" s="14">
        <f t="shared" si="17"/>
        <v>40359.174182274088</v>
      </c>
      <c r="BF23" s="16">
        <f t="shared" si="18"/>
        <v>40.183310071872</v>
      </c>
      <c r="BG23" s="17">
        <f t="shared" si="19"/>
        <v>43759.782230368321</v>
      </c>
      <c r="BI23">
        <v>59</v>
      </c>
      <c r="BJ23" t="s">
        <v>49</v>
      </c>
      <c r="BK23" s="2">
        <v>45903.659502314818</v>
      </c>
      <c r="BL23">
        <v>292</v>
      </c>
      <c r="BM23" t="s">
        <v>13</v>
      </c>
      <c r="BN23">
        <v>0</v>
      </c>
      <c r="BO23">
        <v>2.8719999999999999</v>
      </c>
      <c r="BP23" s="3">
        <v>854867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45903.68074074074</v>
      </c>
      <c r="D24">
        <v>376</v>
      </c>
      <c r="E24" t="s">
        <v>13</v>
      </c>
      <c r="F24">
        <v>0</v>
      </c>
      <c r="G24">
        <v>6.0789999999999997</v>
      </c>
      <c r="H24" s="3">
        <v>1599</v>
      </c>
      <c r="I24">
        <v>4.0000000000000001E-3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45903.68074074074</v>
      </c>
      <c r="R24">
        <v>376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45903.68074074074</v>
      </c>
      <c r="AF24">
        <v>376</v>
      </c>
      <c r="AG24" t="s">
        <v>13</v>
      </c>
      <c r="AH24">
        <v>0</v>
      </c>
      <c r="AI24">
        <v>12.048</v>
      </c>
      <c r="AJ24" s="3">
        <v>227896</v>
      </c>
      <c r="AK24">
        <v>49.100999999999999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2.3204329108930004</v>
      </c>
      <c r="AU24" s="17">
        <f t="shared" si="11"/>
        <v>48968.304648014084</v>
      </c>
      <c r="AW24" s="6">
        <f t="shared" si="12"/>
        <v>-9.8491714699999955E-2</v>
      </c>
      <c r="AX24" s="7">
        <f t="shared" si="13"/>
        <v>45676.981504455682</v>
      </c>
      <c r="AZ24" s="11">
        <f t="shared" si="14"/>
        <v>6.4814375399999999</v>
      </c>
      <c r="BA24" s="12">
        <f t="shared" si="15"/>
        <v>52548.632799225605</v>
      </c>
      <c r="BC24" s="13">
        <f t="shared" si="16"/>
        <v>0.25744260913999995</v>
      </c>
      <c r="BD24" s="14">
        <f t="shared" si="17"/>
        <v>45216.208618811528</v>
      </c>
      <c r="BF24" s="16">
        <f t="shared" si="18"/>
        <v>2.3204329108930004</v>
      </c>
      <c r="BG24" s="17">
        <f t="shared" si="19"/>
        <v>48968.304648014084</v>
      </c>
      <c r="BI24">
        <v>60</v>
      </c>
      <c r="BJ24" t="s">
        <v>50</v>
      </c>
      <c r="BK24" s="2">
        <v>45903.68074074074</v>
      </c>
      <c r="BL24">
        <v>376</v>
      </c>
      <c r="BM24" t="s">
        <v>13</v>
      </c>
      <c r="BN24">
        <v>0</v>
      </c>
      <c r="BO24">
        <v>2.867</v>
      </c>
      <c r="BP24" s="3">
        <v>1006058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45903.724363425928</v>
      </c>
      <c r="D25">
        <v>194</v>
      </c>
      <c r="E25" t="s">
        <v>13</v>
      </c>
      <c r="F25">
        <v>0</v>
      </c>
      <c r="G25">
        <v>6.0629999999999997</v>
      </c>
      <c r="H25" s="3">
        <v>71413</v>
      </c>
      <c r="I25">
        <v>0.161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45903.724363425928</v>
      </c>
      <c r="R25">
        <v>194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45903.724363425928</v>
      </c>
      <c r="AF25">
        <v>194</v>
      </c>
      <c r="AG25" t="s">
        <v>13</v>
      </c>
      <c r="AH25">
        <v>0</v>
      </c>
      <c r="AI25">
        <v>12.186999999999999</v>
      </c>
      <c r="AJ25" s="3">
        <v>95343</v>
      </c>
      <c r="AK25">
        <v>20.683</v>
      </c>
      <c r="AL25" t="s">
        <v>14</v>
      </c>
      <c r="AM25" t="s">
        <v>14</v>
      </c>
      <c r="AN25" t="s">
        <v>14</v>
      </c>
      <c r="AO25" t="s">
        <v>14</v>
      </c>
      <c r="AQ25">
        <v>2</v>
      </c>
      <c r="AR25" t="s">
        <v>91</v>
      </c>
      <c r="AS25" s="10">
        <v>61</v>
      </c>
      <c r="AT25" s="16">
        <f t="shared" si="10"/>
        <v>193.36741424235299</v>
      </c>
      <c r="AU25" s="17">
        <f t="shared" si="11"/>
        <v>20964.20324516762</v>
      </c>
      <c r="AW25" s="6">
        <f t="shared" si="12"/>
        <v>164.79698477353273</v>
      </c>
      <c r="AX25" s="7">
        <f t="shared" si="13"/>
        <v>19371.713959197517</v>
      </c>
      <c r="AZ25" s="11">
        <f t="shared" si="14"/>
        <v>198.84734827068704</v>
      </c>
      <c r="BA25" s="12">
        <f t="shared" si="15"/>
        <v>21467.6683351559</v>
      </c>
      <c r="BC25" s="13">
        <f t="shared" si="16"/>
        <v>201.2324599748728</v>
      </c>
      <c r="BD25" s="14">
        <f t="shared" si="17"/>
        <v>18900.121287794529</v>
      </c>
      <c r="BF25" s="16">
        <f t="shared" si="18"/>
        <v>193.36741424235299</v>
      </c>
      <c r="BG25" s="17">
        <f t="shared" si="19"/>
        <v>20964.20324516762</v>
      </c>
      <c r="BI25">
        <v>61</v>
      </c>
      <c r="BJ25" t="s">
        <v>51</v>
      </c>
      <c r="BK25" s="2">
        <v>45903.724363425928</v>
      </c>
      <c r="BL25">
        <v>194</v>
      </c>
      <c r="BM25" t="s">
        <v>13</v>
      </c>
      <c r="BN25">
        <v>0</v>
      </c>
      <c r="BO25">
        <v>2.84</v>
      </c>
      <c r="BP25" s="3">
        <v>1576215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45903.745578703703</v>
      </c>
      <c r="D26">
        <v>204</v>
      </c>
      <c r="E26" t="s">
        <v>13</v>
      </c>
      <c r="F26">
        <v>0</v>
      </c>
      <c r="G26">
        <v>6.0730000000000004</v>
      </c>
      <c r="H26" s="3">
        <v>2358</v>
      </c>
      <c r="I26">
        <v>6.0000000000000001E-3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45903.745578703703</v>
      </c>
      <c r="R26">
        <v>204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45903.745578703703</v>
      </c>
      <c r="AF26">
        <v>204</v>
      </c>
      <c r="AG26" t="s">
        <v>13</v>
      </c>
      <c r="AH26">
        <v>0</v>
      </c>
      <c r="AI26">
        <v>12.048999999999999</v>
      </c>
      <c r="AJ26" s="3">
        <v>214147</v>
      </c>
      <c r="AK26">
        <v>46.177999999999997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10"/>
        <v>4.988778472852001</v>
      </c>
      <c r="AU26" s="17">
        <f t="shared" si="11"/>
        <v>46080.938982592415</v>
      </c>
      <c r="AW26" s="6">
        <f t="shared" si="12"/>
        <v>0.97158602919999981</v>
      </c>
      <c r="AX26" s="7">
        <f t="shared" si="13"/>
        <v>42990.164812218325</v>
      </c>
      <c r="AZ26" s="11">
        <f t="shared" si="14"/>
        <v>4.4866185600000001</v>
      </c>
      <c r="BA26" s="12">
        <f t="shared" si="15"/>
        <v>49391.581351791901</v>
      </c>
      <c r="BC26" s="13">
        <f t="shared" si="16"/>
        <v>2.2908817709600005</v>
      </c>
      <c r="BD26" s="14">
        <f t="shared" si="17"/>
        <v>42525.835829255739</v>
      </c>
      <c r="BF26" s="16">
        <f t="shared" si="18"/>
        <v>4.988778472852001</v>
      </c>
      <c r="BG26" s="17">
        <f t="shared" si="19"/>
        <v>46080.938982592415</v>
      </c>
      <c r="BI26">
        <v>62</v>
      </c>
      <c r="BJ26" t="s">
        <v>52</v>
      </c>
      <c r="BK26" s="2">
        <v>45903.745578703703</v>
      </c>
      <c r="BL26">
        <v>204</v>
      </c>
      <c r="BM26" t="s">
        <v>13</v>
      </c>
      <c r="BN26">
        <v>0</v>
      </c>
      <c r="BO26">
        <v>2.8660000000000001</v>
      </c>
      <c r="BP26" s="3">
        <v>1017932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45903.766828703701</v>
      </c>
      <c r="D27">
        <v>25</v>
      </c>
      <c r="E27" t="s">
        <v>13</v>
      </c>
      <c r="F27">
        <v>0</v>
      </c>
      <c r="G27">
        <v>6.056</v>
      </c>
      <c r="H27" s="3">
        <v>11319</v>
      </c>
      <c r="I27">
        <v>2.5999999999999999E-2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45903.766828703701</v>
      </c>
      <c r="R27">
        <v>25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45903.766828703701</v>
      </c>
      <c r="AF27">
        <v>25</v>
      </c>
      <c r="AG27" t="s">
        <v>13</v>
      </c>
      <c r="AH27">
        <v>0</v>
      </c>
      <c r="AI27">
        <v>12.121</v>
      </c>
      <c r="AJ27" s="3">
        <v>164758</v>
      </c>
      <c r="AK27">
        <v>35.631999999999998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10"/>
        <v>33.502862502856999</v>
      </c>
      <c r="AU27" s="17">
        <f t="shared" si="11"/>
        <v>35675.860591250319</v>
      </c>
      <c r="AW27" s="6">
        <f t="shared" si="12"/>
        <v>24.096693234449056</v>
      </c>
      <c r="AX27" s="7">
        <f t="shared" si="13"/>
        <v>33259.033132646728</v>
      </c>
      <c r="AZ27" s="11">
        <f t="shared" si="14"/>
        <v>23.821672136902997</v>
      </c>
      <c r="BA27" s="12">
        <f t="shared" si="15"/>
        <v>37923.317978732404</v>
      </c>
      <c r="BC27" s="13">
        <f t="shared" si="16"/>
        <v>28.455780013023201</v>
      </c>
      <c r="BD27" s="14">
        <f t="shared" si="17"/>
        <v>32786.576278507084</v>
      </c>
      <c r="BF27" s="16">
        <f t="shared" si="18"/>
        <v>33.502862502856999</v>
      </c>
      <c r="BG27" s="17">
        <f t="shared" si="19"/>
        <v>35675.860591250319</v>
      </c>
      <c r="BI27">
        <v>63</v>
      </c>
      <c r="BJ27" t="s">
        <v>53</v>
      </c>
      <c r="BK27" s="2">
        <v>45903.766828703701</v>
      </c>
      <c r="BL27">
        <v>25</v>
      </c>
      <c r="BM27" t="s">
        <v>13</v>
      </c>
      <c r="BN27">
        <v>0</v>
      </c>
      <c r="BO27">
        <v>2.8679999999999999</v>
      </c>
      <c r="BP27" s="3">
        <v>982222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45903.78806712963</v>
      </c>
      <c r="D28">
        <v>203</v>
      </c>
      <c r="E28" t="s">
        <v>13</v>
      </c>
      <c r="F28">
        <v>0</v>
      </c>
      <c r="G28">
        <v>6.06</v>
      </c>
      <c r="H28" s="3">
        <v>8635</v>
      </c>
      <c r="I28">
        <v>0.02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45903.78806712963</v>
      </c>
      <c r="R28">
        <v>203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45903.78806712963</v>
      </c>
      <c r="AF28">
        <v>203</v>
      </c>
      <c r="AG28" t="s">
        <v>13</v>
      </c>
      <c r="AH28">
        <v>0</v>
      </c>
      <c r="AI28">
        <v>12.285</v>
      </c>
      <c r="AJ28" s="3">
        <v>711</v>
      </c>
      <c r="AK28">
        <v>0.06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10">
        <v>64</v>
      </c>
      <c r="AT28" s="16">
        <f t="shared" si="10"/>
        <v>27.431335469924996</v>
      </c>
      <c r="AU28" s="17">
        <f t="shared" si="11"/>
        <v>27.869894084529989</v>
      </c>
      <c r="AW28" s="6">
        <f t="shared" si="12"/>
        <v>16.238398092499999</v>
      </c>
      <c r="AX28" s="7">
        <f t="shared" si="13"/>
        <v>43.250799104079974</v>
      </c>
      <c r="AZ28" s="11">
        <f t="shared" si="14"/>
        <v>11.838366500000001</v>
      </c>
      <c r="BA28" s="12">
        <f t="shared" si="15"/>
        <v>151.53343187190001</v>
      </c>
      <c r="BC28" s="13">
        <f t="shared" si="16"/>
        <v>21.631197676500001</v>
      </c>
      <c r="BD28" s="14">
        <f t="shared" si="17"/>
        <v>179.82476984419998</v>
      </c>
      <c r="BF28" s="16">
        <f t="shared" si="18"/>
        <v>27.431335469924996</v>
      </c>
      <c r="BG28" s="17">
        <f t="shared" si="19"/>
        <v>27.869894084529989</v>
      </c>
      <c r="BI28">
        <v>64</v>
      </c>
      <c r="BJ28" t="s">
        <v>54</v>
      </c>
      <c r="BK28" s="2">
        <v>45903.78806712963</v>
      </c>
      <c r="BL28">
        <v>203</v>
      </c>
      <c r="BM28" t="s">
        <v>13</v>
      </c>
      <c r="BN28">
        <v>0</v>
      </c>
      <c r="BO28">
        <v>2.8809999999999998</v>
      </c>
      <c r="BP28" s="3">
        <v>880198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45903.809317129628</v>
      </c>
      <c r="D29">
        <v>287</v>
      </c>
      <c r="E29" t="s">
        <v>13</v>
      </c>
      <c r="F29">
        <v>0</v>
      </c>
      <c r="G29">
        <v>6.0540000000000003</v>
      </c>
      <c r="H29" s="3">
        <v>10973</v>
      </c>
      <c r="I29">
        <v>2.5000000000000001E-2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45903.809317129628</v>
      </c>
      <c r="R29">
        <v>287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45903.809317129628</v>
      </c>
      <c r="AF29">
        <v>287</v>
      </c>
      <c r="AG29" t="s">
        <v>13</v>
      </c>
      <c r="AH29">
        <v>0</v>
      </c>
      <c r="AI29">
        <v>12.079000000000001</v>
      </c>
      <c r="AJ29" s="3">
        <v>203646</v>
      </c>
      <c r="AK29" s="15">
        <v>43.942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10"/>
        <v>32.576919030273004</v>
      </c>
      <c r="AU29" s="17">
        <f t="shared" si="11"/>
        <v>43872.966816984073</v>
      </c>
      <c r="AW29" s="6">
        <f t="shared" si="12"/>
        <v>23.284906442046339</v>
      </c>
      <c r="AX29" s="7">
        <f t="shared" si="13"/>
        <v>40931.570586575683</v>
      </c>
      <c r="AZ29" s="11">
        <f t="shared" si="14"/>
        <v>22.780957588366995</v>
      </c>
      <c r="BA29" s="12">
        <f t="shared" si="15"/>
        <v>46969.921943375601</v>
      </c>
      <c r="BC29" s="13">
        <f t="shared" si="16"/>
        <v>27.454953536664803</v>
      </c>
      <c r="BD29" s="14">
        <f t="shared" si="17"/>
        <v>40464.905009616523</v>
      </c>
      <c r="BF29" s="16">
        <f t="shared" si="18"/>
        <v>32.576919030273004</v>
      </c>
      <c r="BG29" s="17">
        <f t="shared" si="19"/>
        <v>43872.966816984073</v>
      </c>
      <c r="BI29">
        <v>65</v>
      </c>
      <c r="BJ29" t="s">
        <v>55</v>
      </c>
      <c r="BK29" s="2">
        <v>45903.809317129628</v>
      </c>
      <c r="BL29">
        <v>287</v>
      </c>
      <c r="BM29" t="s">
        <v>13</v>
      </c>
      <c r="BN29">
        <v>0</v>
      </c>
      <c r="BO29">
        <v>2.871</v>
      </c>
      <c r="BP29" s="3">
        <v>900812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45903.830543981479</v>
      </c>
      <c r="D30">
        <v>30</v>
      </c>
      <c r="E30" t="s">
        <v>13</v>
      </c>
      <c r="F30">
        <v>0</v>
      </c>
      <c r="G30">
        <v>6.056</v>
      </c>
      <c r="H30" s="3">
        <v>8984</v>
      </c>
      <c r="I30">
        <v>2.1000000000000001E-2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45903.830543981479</v>
      </c>
      <c r="R30">
        <v>30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45903.830543981479</v>
      </c>
      <c r="AF30">
        <v>30</v>
      </c>
      <c r="AG30" t="s">
        <v>13</v>
      </c>
      <c r="AH30">
        <v>0</v>
      </c>
      <c r="AI30">
        <v>12.093</v>
      </c>
      <c r="AJ30" s="3">
        <v>153704</v>
      </c>
      <c r="AK30">
        <v>33.261000000000003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ref="AT30:AT58" si="20">IF(H30&lt;10000,((H30^2*0.000000008493)+(H30*0.003482)+(-3.269)),(IF(H30&lt;200000,((H30^2*-0.000000000263)+(H30*0.002682)+(3.179)),(IF(H30&lt;8000000,((H30^2*-0.000000000005099)+(H30*0.002054)+(174.8)),((V30^2*-0.00000001014)+(V30*0.2415)+(1123)))))))</f>
        <v>28.698777190207998</v>
      </c>
      <c r="AU30" s="17">
        <f t="shared" ref="AU30:AU58" si="21">IF(AJ30&lt;45000,((-0.00000004907*AJ30^2)+(0.2277*AJ30)+(-134)),((-0.00000001062*AJ30^2)+(0.2147*AJ30)+(590.6)))</f>
        <v>33339.952153678081</v>
      </c>
      <c r="AW30" s="6">
        <f t="shared" ref="AW30:AW58" si="22">IF(H30&lt;10000,((0.0000001453*H30^2)+(0.0008349*H30)+(-1.805)),(IF(H30&lt;700000,((-0.00000000008054*H30^2)+(0.002348*H30)+(-2.47)), ((-0.00000001938*V30^2)+(0.2471*V30)+(226.8)))))</f>
        <v>17.423232396800003</v>
      </c>
      <c r="AX30" s="7">
        <f t="shared" ref="AX30:AX58" si="23">(-0.00000002552*AJ30^2)+(0.2067*AJ30)+(-103.7)</f>
        <v>31064.008851399678</v>
      </c>
      <c r="AZ30" s="11">
        <f t="shared" ref="AZ30:AZ58" si="24">IF(H30&lt;10000,((H30^2*0.00000054)+(H30*-0.004765)+(12.72)),(IF(H30&lt;200000,((H30^2*-0.000000001577)+(H30*0.003043)+(-10.42)),(IF(H30&lt;8000000,((H30^2*-0.0000000000186)+(H30*0.00194)+(154.1)),((V30^2*-0.00000002)+(V30*0.2565)+(-1032)))))))</f>
        <v>13.495858240000006</v>
      </c>
      <c r="BA30" s="12">
        <f t="shared" ref="BA30:BA58" si="25">IF(AJ30&lt;45000,((-0.0000004561*AJ30^2)+(0.244*AJ30)+(-21.72)),((-0.0000000409*AJ30^2)+(0.2477*AJ30)+(-1777)))</f>
        <v>35329.221587705601</v>
      </c>
      <c r="BC30" s="13">
        <f t="shared" ref="BC30:BC58" si="26">IF(H30&lt;10000,((H30^2*0.00000005714)+(H30*0.002453)+(-3.811)),(IF(H30&lt;200000,((H30^2*-0.0000000002888)+(H30*0.002899)+(-4.321)),(IF(H30&lt;8000000,((H30^2*-0.0000000000062)+(H30*0.002143)+(157)),((V30^2*-0.000000031)+(V30*0.2771)+(-709.5)))))))</f>
        <v>22.838650307839998</v>
      </c>
      <c r="BD30" s="14">
        <f t="shared" ref="BD30:BD58" si="27">IF(AJ30&lt;45000,((-0.0000000598*AJ30^2)+(0.205*AJ30)+(34.1)),((-0.00000002403*AJ30^2)+(0.2063*AJ30)+(-550.7)))</f>
        <v>30590.728381627519</v>
      </c>
      <c r="BF30" s="16">
        <f t="shared" ref="BF30:BF58" si="28">IF(H30&lt;10000,((H30^2*0.000000008493)+(H30*0.003482)+(-3.269)),(IF(H30&lt;200000,((H30^2*-0.000000000263)+(H30*0.002682)+(3.179)),(IF(H30&lt;8000000,((H30^2*-0.000000000005099)+(H30*0.002054)+(174.8)),((V30^2*-0.00000001014)+(V30*0.2415)+(1123)))))))</f>
        <v>28.698777190207998</v>
      </c>
      <c r="BG30" s="17">
        <f t="shared" ref="BG30:BG58" si="29">IF(AJ30&lt;45000,((-0.00000004907*AJ30^2)+(0.2277*AJ30)+(-134)),((-0.00000001062*AJ30^2)+(0.2147*AJ30)+(590.6)))</f>
        <v>33339.952153678081</v>
      </c>
      <c r="BI30">
        <v>66</v>
      </c>
      <c r="BJ30" t="s">
        <v>56</v>
      </c>
      <c r="BK30" s="2">
        <v>45903.830543981479</v>
      </c>
      <c r="BL30">
        <v>30</v>
      </c>
      <c r="BM30" t="s">
        <v>13</v>
      </c>
      <c r="BN30">
        <v>0</v>
      </c>
      <c r="BO30">
        <v>2.8719999999999999</v>
      </c>
      <c r="BP30" s="3">
        <v>900263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45903.851793981485</v>
      </c>
      <c r="D31">
        <v>152</v>
      </c>
      <c r="E31" t="s">
        <v>13</v>
      </c>
      <c r="F31">
        <v>0</v>
      </c>
      <c r="G31">
        <v>6.0519999999999996</v>
      </c>
      <c r="H31" s="3">
        <v>26633</v>
      </c>
      <c r="I31">
        <v>0.06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45903.851793981485</v>
      </c>
      <c r="R31">
        <v>152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45903.851793981485</v>
      </c>
      <c r="AF31">
        <v>152</v>
      </c>
      <c r="AG31" t="s">
        <v>13</v>
      </c>
      <c r="AH31">
        <v>0</v>
      </c>
      <c r="AI31">
        <v>12.276999999999999</v>
      </c>
      <c r="AJ31" s="3">
        <v>959</v>
      </c>
      <c r="AK31">
        <v>0.114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10">
        <v>67</v>
      </c>
      <c r="AT31" s="16">
        <f t="shared" si="20"/>
        <v>74.422155710792993</v>
      </c>
      <c r="AU31" s="17">
        <f t="shared" si="21"/>
        <v>84.319171253330012</v>
      </c>
      <c r="AW31" s="6">
        <f t="shared" si="22"/>
        <v>60.007155633867931</v>
      </c>
      <c r="AX31" s="7">
        <f t="shared" si="23"/>
        <v>94.501829740880012</v>
      </c>
      <c r="AZ31" s="11">
        <f t="shared" si="24"/>
        <v>69.50562658144699</v>
      </c>
      <c r="BA31" s="12">
        <f t="shared" si="25"/>
        <v>211.85653349589998</v>
      </c>
      <c r="BC31" s="13">
        <f t="shared" si="26"/>
        <v>72.683216340216802</v>
      </c>
      <c r="BD31" s="14">
        <f t="shared" si="27"/>
        <v>230.6400030762</v>
      </c>
      <c r="BF31" s="16">
        <f t="shared" si="28"/>
        <v>74.422155710792993</v>
      </c>
      <c r="BG31" s="17">
        <f t="shared" si="29"/>
        <v>84.319171253330012</v>
      </c>
      <c r="BI31">
        <v>67</v>
      </c>
      <c r="BJ31" t="s">
        <v>57</v>
      </c>
      <c r="BK31" s="2">
        <v>45903.851793981485</v>
      </c>
      <c r="BL31">
        <v>152</v>
      </c>
      <c r="BM31" t="s">
        <v>13</v>
      </c>
      <c r="BN31">
        <v>0</v>
      </c>
      <c r="BO31">
        <v>2.8719999999999999</v>
      </c>
      <c r="BP31" s="3">
        <v>947268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45903.87300925926</v>
      </c>
      <c r="D32">
        <v>177</v>
      </c>
      <c r="E32" t="s">
        <v>13</v>
      </c>
      <c r="F32">
        <v>0</v>
      </c>
      <c r="G32">
        <v>6.0919999999999996</v>
      </c>
      <c r="H32" s="3">
        <v>1473</v>
      </c>
      <c r="I32">
        <v>4.0000000000000001E-3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45903.87300925926</v>
      </c>
      <c r="R32">
        <v>177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45903.87300925926</v>
      </c>
      <c r="AF32">
        <v>177</v>
      </c>
      <c r="AG32" t="s">
        <v>13</v>
      </c>
      <c r="AH32">
        <v>0</v>
      </c>
      <c r="AI32">
        <v>12.081</v>
      </c>
      <c r="AJ32" s="3">
        <v>212387</v>
      </c>
      <c r="AK32">
        <v>45.804000000000002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68</v>
      </c>
      <c r="AT32" s="16">
        <f t="shared" si="20"/>
        <v>1.8784135083969993</v>
      </c>
      <c r="AU32" s="17">
        <f t="shared" si="21"/>
        <v>45711.039414893225</v>
      </c>
      <c r="AW32" s="6">
        <f t="shared" si="22"/>
        <v>-0.25993067629999977</v>
      </c>
      <c r="AX32" s="7">
        <f t="shared" si="23"/>
        <v>42645.530672135123</v>
      </c>
      <c r="AZ32" s="11">
        <f t="shared" si="24"/>
        <v>6.8728086600000005</v>
      </c>
      <c r="BA32" s="12">
        <f t="shared" si="25"/>
        <v>48986.332975247897</v>
      </c>
      <c r="BC32" s="13">
        <f t="shared" si="26"/>
        <v>-7.3752684940000091E-2</v>
      </c>
      <c r="BD32" s="14">
        <f t="shared" si="27"/>
        <v>42180.787146410934</v>
      </c>
      <c r="BF32" s="16">
        <f t="shared" si="28"/>
        <v>1.8784135083969993</v>
      </c>
      <c r="BG32" s="17">
        <f t="shared" si="29"/>
        <v>45711.039414893225</v>
      </c>
      <c r="BI32">
        <v>68</v>
      </c>
      <c r="BJ32" t="s">
        <v>58</v>
      </c>
      <c r="BK32" s="2">
        <v>45903.87300925926</v>
      </c>
      <c r="BL32">
        <v>177</v>
      </c>
      <c r="BM32" t="s">
        <v>13</v>
      </c>
      <c r="BN32">
        <v>0</v>
      </c>
      <c r="BO32">
        <v>2.8610000000000002</v>
      </c>
      <c r="BP32" s="3">
        <v>1131113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45903.894282407404</v>
      </c>
      <c r="D33">
        <v>120</v>
      </c>
      <c r="E33" t="s">
        <v>13</v>
      </c>
      <c r="F33">
        <v>0</v>
      </c>
      <c r="G33">
        <v>6.08</v>
      </c>
      <c r="H33" s="3">
        <v>1537</v>
      </c>
      <c r="I33">
        <v>4.0000000000000001E-3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45903.894282407404</v>
      </c>
      <c r="R33">
        <v>120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45903.894282407404</v>
      </c>
      <c r="AF33">
        <v>120</v>
      </c>
      <c r="AG33" t="s">
        <v>13</v>
      </c>
      <c r="AH33">
        <v>0</v>
      </c>
      <c r="AI33">
        <v>12.221</v>
      </c>
      <c r="AJ33" s="3">
        <v>54017</v>
      </c>
      <c r="AK33">
        <v>11.712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10">
        <v>69</v>
      </c>
      <c r="AT33" s="16">
        <f t="shared" si="20"/>
        <v>2.1028975999170001</v>
      </c>
      <c r="AU33" s="17">
        <f t="shared" si="21"/>
        <v>12157.06247861082</v>
      </c>
      <c r="AW33" s="6">
        <f t="shared" si="22"/>
        <v>-0.17850648429999993</v>
      </c>
      <c r="AX33" s="7">
        <f t="shared" si="23"/>
        <v>10987.150717904718</v>
      </c>
      <c r="AZ33" s="11">
        <f t="shared" si="24"/>
        <v>6.6718742600000009</v>
      </c>
      <c r="BA33" s="12">
        <f t="shared" si="25"/>
        <v>11483.6713957799</v>
      </c>
      <c r="BC33" s="13">
        <f t="shared" si="26"/>
        <v>9.4246764659999815E-2</v>
      </c>
      <c r="BD33" s="14">
        <f t="shared" si="27"/>
        <v>10522.89149397533</v>
      </c>
      <c r="BF33" s="16">
        <f t="shared" si="28"/>
        <v>2.1028975999170001</v>
      </c>
      <c r="BG33" s="17">
        <f t="shared" si="29"/>
        <v>12157.06247861082</v>
      </c>
      <c r="BI33">
        <v>69</v>
      </c>
      <c r="BJ33" t="s">
        <v>59</v>
      </c>
      <c r="BK33" s="2">
        <v>45903.894282407404</v>
      </c>
      <c r="BL33">
        <v>120</v>
      </c>
      <c r="BM33" t="s">
        <v>13</v>
      </c>
      <c r="BN33">
        <v>0</v>
      </c>
      <c r="BO33">
        <v>2.8620000000000001</v>
      </c>
      <c r="BP33" s="3">
        <v>1097905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45903.915520833332</v>
      </c>
      <c r="D34">
        <v>358</v>
      </c>
      <c r="E34" t="s">
        <v>13</v>
      </c>
      <c r="F34">
        <v>0</v>
      </c>
      <c r="G34">
        <v>6.0510000000000002</v>
      </c>
      <c r="H34" s="3">
        <v>25318</v>
      </c>
      <c r="I34">
        <v>5.7000000000000002E-2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45903.915520833332</v>
      </c>
      <c r="R34">
        <v>358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45903.915520833332</v>
      </c>
      <c r="AF34">
        <v>358</v>
      </c>
      <c r="AG34" t="s">
        <v>13</v>
      </c>
      <c r="AH34">
        <v>0</v>
      </c>
      <c r="AI34">
        <v>12.276</v>
      </c>
      <c r="AJ34" s="3">
        <v>731</v>
      </c>
      <c r="AK34">
        <v>6.4000000000000001E-2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20"/>
        <v>70.913292704387999</v>
      </c>
      <c r="AU34" s="17">
        <f t="shared" si="21"/>
        <v>32.422478905730003</v>
      </c>
      <c r="AW34" s="6">
        <f t="shared" si="22"/>
        <v>56.925037769473036</v>
      </c>
      <c r="AX34" s="7">
        <f t="shared" si="23"/>
        <v>47.384063107279999</v>
      </c>
      <c r="AZ34" s="11">
        <f t="shared" si="24"/>
        <v>65.611815227451999</v>
      </c>
      <c r="BA34" s="12">
        <f t="shared" si="25"/>
        <v>156.40027794790001</v>
      </c>
      <c r="BC34" s="13">
        <f t="shared" si="26"/>
        <v>68.890760875388807</v>
      </c>
      <c r="BD34" s="14">
        <f t="shared" si="27"/>
        <v>183.92304521219998</v>
      </c>
      <c r="BF34" s="16">
        <f t="shared" si="28"/>
        <v>70.913292704387999</v>
      </c>
      <c r="BG34" s="17">
        <f t="shared" si="29"/>
        <v>32.422478905730003</v>
      </c>
      <c r="BI34">
        <v>70</v>
      </c>
      <c r="BJ34" t="s">
        <v>60</v>
      </c>
      <c r="BK34" s="2">
        <v>45903.915520833332</v>
      </c>
      <c r="BL34">
        <v>358</v>
      </c>
      <c r="BM34" t="s">
        <v>13</v>
      </c>
      <c r="BN34">
        <v>0</v>
      </c>
      <c r="BO34">
        <v>2.875</v>
      </c>
      <c r="BP34" s="3">
        <v>890884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45903.93677083333</v>
      </c>
      <c r="D35">
        <v>335</v>
      </c>
      <c r="E35" t="s">
        <v>13</v>
      </c>
      <c r="F35">
        <v>0</v>
      </c>
      <c r="G35">
        <v>6.08</v>
      </c>
      <c r="H35" s="3">
        <v>1465</v>
      </c>
      <c r="I35">
        <v>4.0000000000000001E-3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45903.93677083333</v>
      </c>
      <c r="R35">
        <v>335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45903.93677083333</v>
      </c>
      <c r="AF35">
        <v>335</v>
      </c>
      <c r="AG35" t="s">
        <v>13</v>
      </c>
      <c r="AH35">
        <v>0</v>
      </c>
      <c r="AI35">
        <v>12.218999999999999</v>
      </c>
      <c r="AJ35" s="3">
        <v>51957</v>
      </c>
      <c r="AK35">
        <v>11.263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10">
        <v>71</v>
      </c>
      <c r="AT35" s="16">
        <f t="shared" si="20"/>
        <v>1.8503578889249992</v>
      </c>
      <c r="AU35" s="17">
        <f t="shared" si="21"/>
        <v>11717.09889300362</v>
      </c>
      <c r="AW35" s="6">
        <f t="shared" si="22"/>
        <v>-0.27002500750000014</v>
      </c>
      <c r="AX35" s="7">
        <f t="shared" si="23"/>
        <v>10566.919898253518</v>
      </c>
      <c r="AZ35" s="11">
        <f t="shared" si="24"/>
        <v>6.8982365000000003</v>
      </c>
      <c r="BA35" s="12">
        <f t="shared" si="25"/>
        <v>10982.3381291759</v>
      </c>
      <c r="BC35" s="13">
        <f t="shared" si="26"/>
        <v>-9.471970350000003E-2</v>
      </c>
      <c r="BD35" s="14">
        <f t="shared" si="27"/>
        <v>10103.15939772853</v>
      </c>
      <c r="BF35" s="16">
        <f t="shared" si="28"/>
        <v>1.8503578889249992</v>
      </c>
      <c r="BG35" s="17">
        <f t="shared" si="29"/>
        <v>11717.09889300362</v>
      </c>
      <c r="BI35">
        <v>71</v>
      </c>
      <c r="BJ35" t="s">
        <v>61</v>
      </c>
      <c r="BK35" s="2">
        <v>45903.93677083333</v>
      </c>
      <c r="BL35">
        <v>335</v>
      </c>
      <c r="BM35" t="s">
        <v>13</v>
      </c>
      <c r="BN35">
        <v>0</v>
      </c>
      <c r="BO35">
        <v>2.871</v>
      </c>
      <c r="BP35" s="3">
        <v>928341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45903.957986111112</v>
      </c>
      <c r="D36">
        <v>285</v>
      </c>
      <c r="E36" t="s">
        <v>13</v>
      </c>
      <c r="F36">
        <v>0</v>
      </c>
      <c r="G36">
        <v>6.085</v>
      </c>
      <c r="H36" s="3">
        <v>894</v>
      </c>
      <c r="I36">
        <v>2E-3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45903.957986111112</v>
      </c>
      <c r="R36">
        <v>285</v>
      </c>
      <c r="S36" t="s">
        <v>13</v>
      </c>
      <c r="T36">
        <v>0</v>
      </c>
      <c r="U36" t="s">
        <v>14</v>
      </c>
      <c r="V36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45903.957986111112</v>
      </c>
      <c r="AF36">
        <v>285</v>
      </c>
      <c r="AG36" t="s">
        <v>13</v>
      </c>
      <c r="AH36">
        <v>0</v>
      </c>
      <c r="AI36">
        <v>12.09</v>
      </c>
      <c r="AJ36" s="3">
        <v>217868</v>
      </c>
      <c r="AK36">
        <v>46.97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20"/>
        <v>-0.14930408865200029</v>
      </c>
      <c r="AU36" s="17">
        <f t="shared" si="21"/>
        <v>46862.765737197115</v>
      </c>
      <c r="AW36" s="6">
        <f t="shared" si="22"/>
        <v>-0.94247040919999991</v>
      </c>
      <c r="AX36" s="7">
        <f t="shared" si="23"/>
        <v>43718.271402379527</v>
      </c>
      <c r="AZ36" s="11">
        <f t="shared" si="24"/>
        <v>8.8916774400000005</v>
      </c>
      <c r="BA36" s="12">
        <f t="shared" si="25"/>
        <v>50247.525164158396</v>
      </c>
      <c r="BC36" s="13">
        <f t="shared" si="26"/>
        <v>-1.57234965496</v>
      </c>
      <c r="BD36" s="14">
        <f t="shared" si="27"/>
        <v>43254.849235861286</v>
      </c>
      <c r="BF36" s="16">
        <f t="shared" si="28"/>
        <v>-0.14930408865200029</v>
      </c>
      <c r="BG36" s="17">
        <f t="shared" si="29"/>
        <v>46862.765737197115</v>
      </c>
      <c r="BI36">
        <v>72</v>
      </c>
      <c r="BJ36" t="s">
        <v>62</v>
      </c>
      <c r="BK36" s="2">
        <v>45903.957986111112</v>
      </c>
      <c r="BL36">
        <v>285</v>
      </c>
      <c r="BM36" t="s">
        <v>13</v>
      </c>
      <c r="BN36">
        <v>0</v>
      </c>
      <c r="BO36">
        <v>2.87</v>
      </c>
      <c r="BP36" s="3">
        <v>1087121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45903.979212962964</v>
      </c>
      <c r="D37">
        <v>277</v>
      </c>
      <c r="E37" t="s">
        <v>13</v>
      </c>
      <c r="F37">
        <v>0</v>
      </c>
      <c r="G37">
        <v>6.056</v>
      </c>
      <c r="H37" s="3">
        <v>6673</v>
      </c>
      <c r="I37">
        <v>1.4999999999999999E-2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45903.979212962964</v>
      </c>
      <c r="R37">
        <v>277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45903.979212962964</v>
      </c>
      <c r="AF37">
        <v>277</v>
      </c>
      <c r="AG37" t="s">
        <v>13</v>
      </c>
      <c r="AH37">
        <v>0</v>
      </c>
      <c r="AI37">
        <v>12.275</v>
      </c>
      <c r="AJ37" s="3">
        <v>2551</v>
      </c>
      <c r="AK37">
        <v>0.46300000000000002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20"/>
        <v>20.344570193997001</v>
      </c>
      <c r="AU37" s="17">
        <f t="shared" si="21"/>
        <v>446.54337201892997</v>
      </c>
      <c r="AW37" s="6">
        <f t="shared" si="22"/>
        <v>10.236341083700001</v>
      </c>
      <c r="AX37" s="7">
        <f t="shared" si="23"/>
        <v>423.42562602248</v>
      </c>
      <c r="AZ37" s="11">
        <f t="shared" si="24"/>
        <v>4.9687766600000014</v>
      </c>
      <c r="BA37" s="12">
        <f t="shared" si="25"/>
        <v>597.75588318389998</v>
      </c>
      <c r="BC37" s="13">
        <f t="shared" si="26"/>
        <v>15.102252003060002</v>
      </c>
      <c r="BD37" s="14">
        <f t="shared" si="27"/>
        <v>556.66584546019999</v>
      </c>
      <c r="BF37" s="16">
        <f t="shared" si="28"/>
        <v>20.344570193997001</v>
      </c>
      <c r="BG37" s="17">
        <f t="shared" si="29"/>
        <v>446.54337201892997</v>
      </c>
      <c r="BI37">
        <v>73</v>
      </c>
      <c r="BJ37" t="s">
        <v>63</v>
      </c>
      <c r="BK37" s="2">
        <v>45903.979212962964</v>
      </c>
      <c r="BL37">
        <v>277</v>
      </c>
      <c r="BM37" t="s">
        <v>13</v>
      </c>
      <c r="BN37">
        <v>0</v>
      </c>
      <c r="BO37">
        <v>2.8639999999999999</v>
      </c>
      <c r="BP37" s="3">
        <v>1080572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45904.414502314816</v>
      </c>
      <c r="D38">
        <v>279</v>
      </c>
      <c r="E38" t="s">
        <v>13</v>
      </c>
      <c r="F38">
        <v>0</v>
      </c>
      <c r="G38">
        <v>6.093</v>
      </c>
      <c r="H38" s="3">
        <v>1815</v>
      </c>
      <c r="I38">
        <v>4.0000000000000001E-3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45904.414502314816</v>
      </c>
      <c r="R38">
        <v>279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45904.414502314816</v>
      </c>
      <c r="AF38">
        <v>279</v>
      </c>
      <c r="AG38" t="s">
        <v>13</v>
      </c>
      <c r="AH38">
        <v>0</v>
      </c>
      <c r="AI38">
        <v>12.369</v>
      </c>
      <c r="AJ38" s="3">
        <v>2318</v>
      </c>
      <c r="AK38">
        <v>0.41199999999999998</v>
      </c>
      <c r="AL38" t="s">
        <v>14</v>
      </c>
      <c r="AM38" t="s">
        <v>14</v>
      </c>
      <c r="AN38" t="s">
        <v>14</v>
      </c>
      <c r="AO38" t="s">
        <v>14</v>
      </c>
      <c r="AQ38">
        <v>2</v>
      </c>
      <c r="AR38" t="s">
        <v>91</v>
      </c>
      <c r="AS38" s="10">
        <v>74</v>
      </c>
      <c r="AT38" s="16">
        <f t="shared" si="20"/>
        <v>3.0788078529249994</v>
      </c>
      <c r="AU38" s="17">
        <f t="shared" si="21"/>
        <v>393.54494080532004</v>
      </c>
      <c r="AW38" s="6">
        <f t="shared" si="22"/>
        <v>0.18899439249999994</v>
      </c>
      <c r="AX38" s="7">
        <f t="shared" si="23"/>
        <v>375.29347787552001</v>
      </c>
      <c r="AZ38" s="11">
        <f t="shared" si="24"/>
        <v>5.850406500000001</v>
      </c>
      <c r="BA38" s="12">
        <f t="shared" si="25"/>
        <v>541.42131814359993</v>
      </c>
      <c r="BC38" s="13">
        <f t="shared" si="26"/>
        <v>0.8294270164999995</v>
      </c>
      <c r="BD38" s="14">
        <f t="shared" si="27"/>
        <v>508.96868718480005</v>
      </c>
      <c r="BF38" s="16">
        <f t="shared" si="28"/>
        <v>3.0788078529249994</v>
      </c>
      <c r="BG38" s="17">
        <f t="shared" si="29"/>
        <v>393.54494080532004</v>
      </c>
      <c r="BI38">
        <v>74</v>
      </c>
      <c r="BJ38" t="s">
        <v>64</v>
      </c>
      <c r="BK38" s="2">
        <v>45904.414502314816</v>
      </c>
      <c r="BL38">
        <v>279</v>
      </c>
      <c r="BM38" t="s">
        <v>13</v>
      </c>
      <c r="BN38">
        <v>0</v>
      </c>
      <c r="BO38">
        <v>2.7320000000000002</v>
      </c>
      <c r="BP38" s="3">
        <v>4799870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A39">
        <v>75</v>
      </c>
      <c r="B39" t="s">
        <v>65</v>
      </c>
      <c r="C39" s="2">
        <v>45904.550833333335</v>
      </c>
      <c r="D39">
        <v>414</v>
      </c>
      <c r="E39" t="s">
        <v>13</v>
      </c>
      <c r="F39">
        <v>0</v>
      </c>
      <c r="G39">
        <v>6.0679999999999996</v>
      </c>
      <c r="H39" s="3">
        <v>21494</v>
      </c>
      <c r="I39">
        <v>4.9000000000000002E-2</v>
      </c>
      <c r="J39" t="s">
        <v>14</v>
      </c>
      <c r="K39" t="s">
        <v>14</v>
      </c>
      <c r="L39" t="s">
        <v>14</v>
      </c>
      <c r="M39" t="s">
        <v>14</v>
      </c>
      <c r="O39">
        <v>75</v>
      </c>
      <c r="P39" t="s">
        <v>65</v>
      </c>
      <c r="Q39" s="2">
        <v>45904.550833333335</v>
      </c>
      <c r="R39">
        <v>414</v>
      </c>
      <c r="S39" t="s">
        <v>13</v>
      </c>
      <c r="T39">
        <v>0</v>
      </c>
      <c r="U39" t="s">
        <v>14</v>
      </c>
      <c r="V39" s="3" t="s">
        <v>14</v>
      </c>
      <c r="W39" t="s">
        <v>14</v>
      </c>
      <c r="X39" t="s">
        <v>14</v>
      </c>
      <c r="Y39" t="s">
        <v>14</v>
      </c>
      <c r="Z39" t="s">
        <v>14</v>
      </c>
      <c r="AA39" t="s">
        <v>14</v>
      </c>
      <c r="AC39">
        <v>75</v>
      </c>
      <c r="AD39" t="s">
        <v>65</v>
      </c>
      <c r="AE39" s="2">
        <v>45904.550833333335</v>
      </c>
      <c r="AF39">
        <v>414</v>
      </c>
      <c r="AG39" t="s">
        <v>13</v>
      </c>
      <c r="AH39">
        <v>0</v>
      </c>
      <c r="AI39">
        <v>12.324999999999999</v>
      </c>
      <c r="AJ39" s="3">
        <v>8038</v>
      </c>
      <c r="AK39">
        <v>1.667</v>
      </c>
      <c r="AL39" t="s">
        <v>14</v>
      </c>
      <c r="AM39" t="s">
        <v>14</v>
      </c>
      <c r="AN39" t="s">
        <v>14</v>
      </c>
      <c r="AO39" t="s">
        <v>14</v>
      </c>
      <c r="AQ39">
        <v>2</v>
      </c>
      <c r="AR39" t="s">
        <v>91</v>
      </c>
      <c r="AS39" s="10">
        <v>75</v>
      </c>
      <c r="AT39" s="16">
        <f t="shared" si="20"/>
        <v>60.704404094531995</v>
      </c>
      <c r="AU39" s="17">
        <f t="shared" si="21"/>
        <v>1693.08221458292</v>
      </c>
      <c r="AW39" s="6">
        <f t="shared" si="22"/>
        <v>47.960703161420561</v>
      </c>
      <c r="AX39" s="7">
        <f t="shared" si="23"/>
        <v>1556.10576698912</v>
      </c>
      <c r="AZ39" s="11">
        <f t="shared" si="24"/>
        <v>54.257680559228007</v>
      </c>
      <c r="BA39" s="12">
        <f t="shared" si="25"/>
        <v>1910.0836325916</v>
      </c>
      <c r="BC39" s="13">
        <f t="shared" si="26"/>
        <v>57.856682700003205</v>
      </c>
      <c r="BD39" s="14">
        <f t="shared" si="27"/>
        <v>1678.0263552488</v>
      </c>
      <c r="BF39" s="16">
        <f t="shared" si="28"/>
        <v>60.704404094531995</v>
      </c>
      <c r="BG39" s="17">
        <f t="shared" si="29"/>
        <v>1693.08221458292</v>
      </c>
      <c r="BI39">
        <v>75</v>
      </c>
      <c r="BJ39" t="s">
        <v>65</v>
      </c>
      <c r="BK39" s="2">
        <v>45904.550833333335</v>
      </c>
      <c r="BL39">
        <v>414</v>
      </c>
      <c r="BM39" t="s">
        <v>13</v>
      </c>
      <c r="BN39">
        <v>0</v>
      </c>
      <c r="BO39">
        <v>2.84</v>
      </c>
      <c r="BP39" s="3">
        <v>1692880</v>
      </c>
      <c r="BQ39">
        <v>0</v>
      </c>
      <c r="BR39" t="s">
        <v>14</v>
      </c>
      <c r="BS39" t="s">
        <v>14</v>
      </c>
      <c r="BT39" t="s">
        <v>14</v>
      </c>
      <c r="BU39" t="s">
        <v>14</v>
      </c>
    </row>
    <row r="40" spans="1:73" x14ac:dyDescent="0.35">
      <c r="A40">
        <v>76</v>
      </c>
      <c r="B40" t="s">
        <v>66</v>
      </c>
      <c r="C40" s="2">
        <v>45904.572025462963</v>
      </c>
      <c r="D40">
        <v>328</v>
      </c>
      <c r="E40" t="s">
        <v>13</v>
      </c>
      <c r="F40">
        <v>0</v>
      </c>
      <c r="G40">
        <v>6.0490000000000004</v>
      </c>
      <c r="H40" s="3">
        <v>78145</v>
      </c>
      <c r="I40">
        <v>0.17699999999999999</v>
      </c>
      <c r="J40" t="s">
        <v>14</v>
      </c>
      <c r="K40" t="s">
        <v>14</v>
      </c>
      <c r="L40" t="s">
        <v>14</v>
      </c>
      <c r="M40" t="s">
        <v>14</v>
      </c>
      <c r="O40">
        <v>76</v>
      </c>
      <c r="P40" t="s">
        <v>66</v>
      </c>
      <c r="Q40" s="2">
        <v>45904.572025462963</v>
      </c>
      <c r="R40">
        <v>328</v>
      </c>
      <c r="S40" t="s">
        <v>13</v>
      </c>
      <c r="T40">
        <v>0</v>
      </c>
      <c r="U40" t="s">
        <v>14</v>
      </c>
      <c r="V40" t="s">
        <v>14</v>
      </c>
      <c r="W40" t="s">
        <v>14</v>
      </c>
      <c r="X40" t="s">
        <v>14</v>
      </c>
      <c r="Y40" t="s">
        <v>14</v>
      </c>
      <c r="Z40" t="s">
        <v>14</v>
      </c>
      <c r="AA40" t="s">
        <v>14</v>
      </c>
      <c r="AC40">
        <v>76</v>
      </c>
      <c r="AD40" t="s">
        <v>66</v>
      </c>
      <c r="AE40" s="2">
        <v>45904.572025462963</v>
      </c>
      <c r="AF40">
        <v>328</v>
      </c>
      <c r="AG40" t="s">
        <v>13</v>
      </c>
      <c r="AH40">
        <v>0</v>
      </c>
      <c r="AI40">
        <v>12.278</v>
      </c>
      <c r="AJ40" s="3">
        <v>19081</v>
      </c>
      <c r="AK40">
        <v>4.085</v>
      </c>
      <c r="AL40" t="s">
        <v>14</v>
      </c>
      <c r="AM40" t="s">
        <v>14</v>
      </c>
      <c r="AN40" t="s">
        <v>14</v>
      </c>
      <c r="AO40" t="s">
        <v>14</v>
      </c>
      <c r="AQ40">
        <v>1</v>
      </c>
      <c r="AS40" s="10">
        <v>76</v>
      </c>
      <c r="AT40" s="16">
        <f t="shared" si="20"/>
        <v>211.15784341042502</v>
      </c>
      <c r="AU40" s="17">
        <f t="shared" si="21"/>
        <v>4192.8780705917297</v>
      </c>
      <c r="AW40" s="6">
        <f t="shared" si="22"/>
        <v>180.52263113184648</v>
      </c>
      <c r="AX40" s="7">
        <f t="shared" si="23"/>
        <v>3831.05126200328</v>
      </c>
      <c r="AZ40" s="11">
        <f t="shared" si="24"/>
        <v>217.74506210357504</v>
      </c>
      <c r="BA40" s="12">
        <f t="shared" si="25"/>
        <v>4467.9850317278997</v>
      </c>
      <c r="BC40" s="13">
        <f t="shared" si="26"/>
        <v>220.45775707198001</v>
      </c>
      <c r="BD40" s="14">
        <f t="shared" si="27"/>
        <v>3923.9327432521995</v>
      </c>
      <c r="BF40" s="16">
        <f t="shared" si="28"/>
        <v>211.15784341042502</v>
      </c>
      <c r="BG40" s="17">
        <f t="shared" si="29"/>
        <v>4192.8780705917297</v>
      </c>
      <c r="BI40">
        <v>76</v>
      </c>
      <c r="BJ40" t="s">
        <v>66</v>
      </c>
      <c r="BK40" s="2">
        <v>45904.572025462963</v>
      </c>
      <c r="BL40">
        <v>328</v>
      </c>
      <c r="BM40" t="s">
        <v>13</v>
      </c>
      <c r="BN40">
        <v>0</v>
      </c>
      <c r="BO40">
        <v>2.8639999999999999</v>
      </c>
      <c r="BP40" s="3">
        <v>1073579</v>
      </c>
      <c r="BQ40">
        <v>0</v>
      </c>
      <c r="BR40" t="s">
        <v>14</v>
      </c>
      <c r="BS40" t="s">
        <v>14</v>
      </c>
      <c r="BT40" t="s">
        <v>14</v>
      </c>
      <c r="BU40" t="s">
        <v>14</v>
      </c>
    </row>
    <row r="41" spans="1:73" x14ac:dyDescent="0.35">
      <c r="A41">
        <v>77</v>
      </c>
      <c r="B41" t="s">
        <v>67</v>
      </c>
      <c r="C41" s="2">
        <v>45904.593252314815</v>
      </c>
      <c r="D41">
        <v>267</v>
      </c>
      <c r="E41" t="s">
        <v>13</v>
      </c>
      <c r="F41">
        <v>0</v>
      </c>
      <c r="G41">
        <v>6.05</v>
      </c>
      <c r="H41" s="3">
        <v>37385</v>
      </c>
      <c r="I41">
        <v>8.5000000000000006E-2</v>
      </c>
      <c r="J41" t="s">
        <v>14</v>
      </c>
      <c r="K41" t="s">
        <v>14</v>
      </c>
      <c r="L41" t="s">
        <v>14</v>
      </c>
      <c r="M41" t="s">
        <v>14</v>
      </c>
      <c r="O41">
        <v>77</v>
      </c>
      <c r="P41" t="s">
        <v>67</v>
      </c>
      <c r="Q41" s="2">
        <v>45904.593252314815</v>
      </c>
      <c r="R41">
        <v>267</v>
      </c>
      <c r="S41" t="s">
        <v>13</v>
      </c>
      <c r="T41">
        <v>0</v>
      </c>
      <c r="U41" t="s">
        <v>14</v>
      </c>
      <c r="V41" t="s">
        <v>14</v>
      </c>
      <c r="W41" t="s">
        <v>14</v>
      </c>
      <c r="X41" t="s">
        <v>14</v>
      </c>
      <c r="Y41" t="s">
        <v>14</v>
      </c>
      <c r="Z41" t="s">
        <v>14</v>
      </c>
      <c r="AA41" t="s">
        <v>14</v>
      </c>
      <c r="AC41">
        <v>77</v>
      </c>
      <c r="AD41" t="s">
        <v>67</v>
      </c>
      <c r="AE41" s="2">
        <v>45904.593252314815</v>
      </c>
      <c r="AF41">
        <v>267</v>
      </c>
      <c r="AG41" t="s">
        <v>13</v>
      </c>
      <c r="AH41">
        <v>0</v>
      </c>
      <c r="AI41">
        <v>12.279</v>
      </c>
      <c r="AJ41" s="3">
        <v>14295</v>
      </c>
      <c r="AK41">
        <v>3.0379999999999998</v>
      </c>
      <c r="AL41" t="s">
        <v>14</v>
      </c>
      <c r="AM41" t="s">
        <v>14</v>
      </c>
      <c r="AN41" t="s">
        <v>14</v>
      </c>
      <c r="AO41" t="s">
        <v>14</v>
      </c>
      <c r="AQ41">
        <v>1</v>
      </c>
      <c r="AS41" s="10">
        <v>77</v>
      </c>
      <c r="AT41" s="16">
        <f t="shared" si="20"/>
        <v>103.077991146825</v>
      </c>
      <c r="AU41" s="17">
        <f t="shared" si="21"/>
        <v>3110.9441914832501</v>
      </c>
      <c r="AW41" s="6">
        <f t="shared" si="22"/>
        <v>85.197414217358499</v>
      </c>
      <c r="AX41" s="7">
        <f t="shared" si="23"/>
        <v>2845.8615639220002</v>
      </c>
      <c r="AZ41" s="11">
        <f t="shared" si="24"/>
        <v>101.13847951917501</v>
      </c>
      <c r="BA41" s="12">
        <f t="shared" si="25"/>
        <v>3373.0573218975001</v>
      </c>
      <c r="BC41" s="13">
        <f t="shared" si="26"/>
        <v>103.65447708062</v>
      </c>
      <c r="BD41" s="14">
        <f t="shared" si="27"/>
        <v>2952.355047905</v>
      </c>
      <c r="BF41" s="16">
        <f t="shared" si="28"/>
        <v>103.077991146825</v>
      </c>
      <c r="BG41" s="17">
        <f t="shared" si="29"/>
        <v>3110.9441914832501</v>
      </c>
      <c r="BI41">
        <v>77</v>
      </c>
      <c r="BJ41" t="s">
        <v>67</v>
      </c>
      <c r="BK41" s="2">
        <v>45904.593252314815</v>
      </c>
      <c r="BL41">
        <v>267</v>
      </c>
      <c r="BM41" t="s">
        <v>13</v>
      </c>
      <c r="BN41">
        <v>0</v>
      </c>
      <c r="BO41">
        <v>2.86</v>
      </c>
      <c r="BP41" s="3">
        <v>1141015</v>
      </c>
      <c r="BQ41">
        <v>0</v>
      </c>
      <c r="BR41" t="s">
        <v>14</v>
      </c>
      <c r="BS41" t="s">
        <v>14</v>
      </c>
      <c r="BT41" t="s">
        <v>14</v>
      </c>
      <c r="BU41" t="s">
        <v>14</v>
      </c>
    </row>
    <row r="42" spans="1:73" x14ac:dyDescent="0.35">
      <c r="A42">
        <v>78</v>
      </c>
      <c r="B42" t="s">
        <v>68</v>
      </c>
      <c r="C42" s="2">
        <v>45904.614490740743</v>
      </c>
      <c r="D42">
        <v>297</v>
      </c>
      <c r="E42" t="s">
        <v>13</v>
      </c>
      <c r="F42">
        <v>0</v>
      </c>
      <c r="G42">
        <v>6.0510000000000002</v>
      </c>
      <c r="H42" s="3">
        <v>24159</v>
      </c>
      <c r="I42">
        <v>5.5E-2</v>
      </c>
      <c r="J42" t="s">
        <v>14</v>
      </c>
      <c r="K42" t="s">
        <v>14</v>
      </c>
      <c r="L42" t="s">
        <v>14</v>
      </c>
      <c r="M42" t="s">
        <v>14</v>
      </c>
      <c r="O42">
        <v>78</v>
      </c>
      <c r="P42" t="s">
        <v>68</v>
      </c>
      <c r="Q42" s="2">
        <v>45904.614490740743</v>
      </c>
      <c r="R42">
        <v>297</v>
      </c>
      <c r="S42" t="s">
        <v>13</v>
      </c>
      <c r="T42">
        <v>0</v>
      </c>
      <c r="U42" t="s">
        <v>14</v>
      </c>
      <c r="V42" t="s">
        <v>14</v>
      </c>
      <c r="W42" t="s">
        <v>14</v>
      </c>
      <c r="X42" t="s">
        <v>14</v>
      </c>
      <c r="Y42" t="s">
        <v>14</v>
      </c>
      <c r="Z42" t="s">
        <v>14</v>
      </c>
      <c r="AA42" t="s">
        <v>14</v>
      </c>
      <c r="AC42">
        <v>78</v>
      </c>
      <c r="AD42" t="s">
        <v>68</v>
      </c>
      <c r="AE42" s="2">
        <v>45904.614490740743</v>
      </c>
      <c r="AF42">
        <v>297</v>
      </c>
      <c r="AG42" t="s">
        <v>13</v>
      </c>
      <c r="AH42">
        <v>0</v>
      </c>
      <c r="AI42">
        <v>12.224</v>
      </c>
      <c r="AJ42" s="3">
        <v>25743</v>
      </c>
      <c r="AK42">
        <v>5.5430000000000001</v>
      </c>
      <c r="AL42" t="s">
        <v>14</v>
      </c>
      <c r="AM42" t="s">
        <v>14</v>
      </c>
      <c r="AN42" t="s">
        <v>14</v>
      </c>
      <c r="AO42" t="s">
        <v>14</v>
      </c>
      <c r="AQ42">
        <v>1</v>
      </c>
      <c r="AS42" s="10">
        <v>78</v>
      </c>
      <c r="AT42" s="16">
        <f t="shared" si="20"/>
        <v>67.819936135096995</v>
      </c>
      <c r="AU42" s="17">
        <f t="shared" si="21"/>
        <v>5695.1623104555711</v>
      </c>
      <c r="AW42" s="6">
        <f t="shared" si="22"/>
        <v>54.208324242588255</v>
      </c>
      <c r="AX42" s="7">
        <f t="shared" si="23"/>
        <v>5200.4659437095197</v>
      </c>
      <c r="AZ42" s="11">
        <f t="shared" si="24"/>
        <v>62.175409467863005</v>
      </c>
      <c r="BA42" s="12">
        <f t="shared" si="25"/>
        <v>5957.313595451099</v>
      </c>
      <c r="BC42" s="13">
        <f t="shared" si="26"/>
        <v>65.547380777247199</v>
      </c>
      <c r="BD42" s="14">
        <f t="shared" si="27"/>
        <v>5271.7854174697995</v>
      </c>
      <c r="BF42" s="16">
        <f t="shared" si="28"/>
        <v>67.819936135096995</v>
      </c>
      <c r="BG42" s="17">
        <f t="shared" si="29"/>
        <v>5695.1623104555711</v>
      </c>
      <c r="BI42">
        <v>78</v>
      </c>
      <c r="BJ42" t="s">
        <v>68</v>
      </c>
      <c r="BK42" s="2">
        <v>45904.614490740743</v>
      </c>
      <c r="BL42">
        <v>297</v>
      </c>
      <c r="BM42" t="s">
        <v>13</v>
      </c>
      <c r="BN42">
        <v>0</v>
      </c>
      <c r="BO42">
        <v>2.859</v>
      </c>
      <c r="BP42" s="3">
        <v>1152853</v>
      </c>
      <c r="BQ42">
        <v>0</v>
      </c>
      <c r="BR42" t="s">
        <v>14</v>
      </c>
      <c r="BS42" t="s">
        <v>14</v>
      </c>
      <c r="BT42" t="s">
        <v>14</v>
      </c>
      <c r="BU42" t="s">
        <v>14</v>
      </c>
    </row>
    <row r="43" spans="1:73" x14ac:dyDescent="0.35">
      <c r="A43">
        <v>79</v>
      </c>
      <c r="B43" t="s">
        <v>69</v>
      </c>
      <c r="C43" s="2">
        <v>45904.635694444441</v>
      </c>
      <c r="D43">
        <v>410</v>
      </c>
      <c r="E43" t="s">
        <v>13</v>
      </c>
      <c r="F43">
        <v>0</v>
      </c>
      <c r="G43">
        <v>6.0510000000000002</v>
      </c>
      <c r="H43" s="3">
        <v>14068</v>
      </c>
      <c r="I43">
        <v>3.2000000000000001E-2</v>
      </c>
      <c r="J43" t="s">
        <v>14</v>
      </c>
      <c r="K43" t="s">
        <v>14</v>
      </c>
      <c r="L43" t="s">
        <v>14</v>
      </c>
      <c r="M43" t="s">
        <v>14</v>
      </c>
      <c r="O43">
        <v>79</v>
      </c>
      <c r="P43" t="s">
        <v>69</v>
      </c>
      <c r="Q43" s="2">
        <v>45904.635694444441</v>
      </c>
      <c r="R43">
        <v>410</v>
      </c>
      <c r="S43" t="s">
        <v>13</v>
      </c>
      <c r="T43">
        <v>0</v>
      </c>
      <c r="U43" t="s">
        <v>14</v>
      </c>
      <c r="V43" t="s">
        <v>14</v>
      </c>
      <c r="W43" t="s">
        <v>14</v>
      </c>
      <c r="X43" t="s">
        <v>14</v>
      </c>
      <c r="Y43" t="s">
        <v>14</v>
      </c>
      <c r="Z43" t="s">
        <v>14</v>
      </c>
      <c r="AA43" t="s">
        <v>14</v>
      </c>
      <c r="AC43">
        <v>79</v>
      </c>
      <c r="AD43" t="s">
        <v>69</v>
      </c>
      <c r="AE43" s="2">
        <v>45904.635694444441</v>
      </c>
      <c r="AF43">
        <v>410</v>
      </c>
      <c r="AG43" t="s">
        <v>13</v>
      </c>
      <c r="AH43">
        <v>0</v>
      </c>
      <c r="AI43">
        <v>12.282</v>
      </c>
      <c r="AJ43" s="3">
        <v>7699</v>
      </c>
      <c r="AK43">
        <v>1.5920000000000001</v>
      </c>
      <c r="AL43" t="s">
        <v>14</v>
      </c>
      <c r="AM43" t="s">
        <v>14</v>
      </c>
      <c r="AN43" t="s">
        <v>14</v>
      </c>
      <c r="AO43" t="s">
        <v>14</v>
      </c>
      <c r="AQ43">
        <v>1</v>
      </c>
      <c r="AS43" s="10">
        <v>79</v>
      </c>
      <c r="AT43" s="16">
        <f t="shared" si="20"/>
        <v>40.857326031888</v>
      </c>
      <c r="AU43" s="17">
        <f t="shared" si="21"/>
        <v>1616.1536953289301</v>
      </c>
      <c r="AW43" s="6">
        <f t="shared" si="22"/>
        <v>30.54572443942304</v>
      </c>
      <c r="AX43" s="7">
        <f t="shared" si="23"/>
        <v>1486.17061218248</v>
      </c>
      <c r="AZ43" s="11">
        <f t="shared" si="24"/>
        <v>32.076822099952004</v>
      </c>
      <c r="BA43" s="12">
        <f t="shared" si="25"/>
        <v>1829.8008544838999</v>
      </c>
      <c r="BC43" s="13">
        <f t="shared" si="26"/>
        <v>36.404975989388802</v>
      </c>
      <c r="BD43" s="14">
        <f t="shared" si="27"/>
        <v>1608.8503788601997</v>
      </c>
      <c r="BF43" s="16">
        <f t="shared" si="28"/>
        <v>40.857326031888</v>
      </c>
      <c r="BG43" s="17">
        <f t="shared" si="29"/>
        <v>1616.1536953289301</v>
      </c>
      <c r="BI43">
        <v>79</v>
      </c>
      <c r="BJ43" t="s">
        <v>69</v>
      </c>
      <c r="BK43" s="2">
        <v>45904.635694444441</v>
      </c>
      <c r="BL43">
        <v>410</v>
      </c>
      <c r="BM43" t="s">
        <v>13</v>
      </c>
      <c r="BN43">
        <v>0</v>
      </c>
      <c r="BO43">
        <v>2.8679999999999999</v>
      </c>
      <c r="BP43" s="3">
        <v>1007497</v>
      </c>
      <c r="BQ43">
        <v>0</v>
      </c>
      <c r="BR43" t="s">
        <v>14</v>
      </c>
      <c r="BS43" t="s">
        <v>14</v>
      </c>
      <c r="BT43" t="s">
        <v>14</v>
      </c>
      <c r="BU43" t="s">
        <v>14</v>
      </c>
    </row>
    <row r="44" spans="1:73" x14ac:dyDescent="0.35">
      <c r="A44">
        <v>80</v>
      </c>
      <c r="B44" t="s">
        <v>70</v>
      </c>
      <c r="C44" s="2">
        <v>45904.656898148147</v>
      </c>
      <c r="D44">
        <v>10</v>
      </c>
      <c r="E44" t="s">
        <v>13</v>
      </c>
      <c r="F44">
        <v>0</v>
      </c>
      <c r="G44">
        <v>6.0609999999999999</v>
      </c>
      <c r="H44" s="3">
        <v>6577</v>
      </c>
      <c r="I44">
        <v>1.4999999999999999E-2</v>
      </c>
      <c r="J44" t="s">
        <v>14</v>
      </c>
      <c r="K44" t="s">
        <v>14</v>
      </c>
      <c r="L44" t="s">
        <v>14</v>
      </c>
      <c r="M44" t="s">
        <v>14</v>
      </c>
      <c r="O44">
        <v>80</v>
      </c>
      <c r="P44" t="s">
        <v>70</v>
      </c>
      <c r="Q44" s="2">
        <v>45904.656898148147</v>
      </c>
      <c r="R44">
        <v>10</v>
      </c>
      <c r="S44" t="s">
        <v>13</v>
      </c>
      <c r="T44">
        <v>0</v>
      </c>
      <c r="U44" t="s">
        <v>14</v>
      </c>
      <c r="V44" t="s">
        <v>14</v>
      </c>
      <c r="W44" t="s">
        <v>14</v>
      </c>
      <c r="X44" t="s">
        <v>14</v>
      </c>
      <c r="Y44" t="s">
        <v>14</v>
      </c>
      <c r="Z44" t="s">
        <v>14</v>
      </c>
      <c r="AA44" t="s">
        <v>14</v>
      </c>
      <c r="AC44">
        <v>80</v>
      </c>
      <c r="AD44" t="s">
        <v>70</v>
      </c>
      <c r="AE44" s="2">
        <v>45904.656898148147</v>
      </c>
      <c r="AF44">
        <v>10</v>
      </c>
      <c r="AG44" t="s">
        <v>13</v>
      </c>
      <c r="AH44">
        <v>0</v>
      </c>
      <c r="AI44" t="s">
        <v>14</v>
      </c>
      <c r="AJ44" t="s">
        <v>14</v>
      </c>
      <c r="AK44" t="s">
        <v>14</v>
      </c>
      <c r="AL44" t="s">
        <v>14</v>
      </c>
      <c r="AM44" t="s">
        <v>14</v>
      </c>
      <c r="AN44" t="s">
        <v>14</v>
      </c>
      <c r="AO44" t="s">
        <v>14</v>
      </c>
      <c r="AQ44">
        <v>2</v>
      </c>
      <c r="AR44" t="s">
        <v>89</v>
      </c>
      <c r="AS44" s="10">
        <v>80</v>
      </c>
      <c r="AT44" s="16">
        <f t="shared" si="20"/>
        <v>19.999495097996999</v>
      </c>
      <c r="AU44" s="17" t="e">
        <f t="shared" si="21"/>
        <v>#VALUE!</v>
      </c>
      <c r="AW44" s="6">
        <f t="shared" si="22"/>
        <v>9.9713690837000009</v>
      </c>
      <c r="AX44" s="7" t="e">
        <f t="shared" si="23"/>
        <v>#VALUE!</v>
      </c>
      <c r="AZ44" s="11">
        <f t="shared" si="24"/>
        <v>4.7393366600000011</v>
      </c>
      <c r="BA44" s="12" t="e">
        <f t="shared" si="25"/>
        <v>#VALUE!</v>
      </c>
      <c r="BC44" s="13">
        <f t="shared" si="26"/>
        <v>14.794081923059998</v>
      </c>
      <c r="BD44" s="14" t="e">
        <f t="shared" si="27"/>
        <v>#VALUE!</v>
      </c>
      <c r="BF44" s="16">
        <f t="shared" si="28"/>
        <v>19.999495097996999</v>
      </c>
      <c r="BG44" s="17" t="e">
        <f t="shared" si="29"/>
        <v>#VALUE!</v>
      </c>
      <c r="BI44">
        <v>80</v>
      </c>
      <c r="BJ44" t="s">
        <v>70</v>
      </c>
      <c r="BK44" s="2">
        <v>45904.656898148147</v>
      </c>
      <c r="BL44">
        <v>10</v>
      </c>
      <c r="BM44" t="s">
        <v>13</v>
      </c>
      <c r="BN44">
        <v>0</v>
      </c>
      <c r="BO44">
        <v>2.8690000000000002</v>
      </c>
      <c r="BP44" s="3">
        <v>1037937</v>
      </c>
      <c r="BQ44">
        <v>0</v>
      </c>
      <c r="BR44" t="s">
        <v>14</v>
      </c>
      <c r="BS44" t="s">
        <v>14</v>
      </c>
      <c r="BT44" t="s">
        <v>14</v>
      </c>
      <c r="BU44" t="s">
        <v>14</v>
      </c>
    </row>
    <row r="45" spans="1:73" x14ac:dyDescent="0.35">
      <c r="A45">
        <v>81</v>
      </c>
      <c r="B45" t="s">
        <v>71</v>
      </c>
      <c r="C45" s="2">
        <v>45904.678148148145</v>
      </c>
      <c r="D45">
        <v>74</v>
      </c>
      <c r="E45" t="s">
        <v>13</v>
      </c>
      <c r="F45">
        <v>0</v>
      </c>
      <c r="G45">
        <v>6.0449999999999999</v>
      </c>
      <c r="H45" s="3">
        <v>153639</v>
      </c>
      <c r="I45">
        <v>0.34699999999999998</v>
      </c>
      <c r="J45" t="s">
        <v>14</v>
      </c>
      <c r="K45" t="s">
        <v>14</v>
      </c>
      <c r="L45" t="s">
        <v>14</v>
      </c>
      <c r="M45" t="s">
        <v>14</v>
      </c>
      <c r="O45">
        <v>81</v>
      </c>
      <c r="P45" t="s">
        <v>71</v>
      </c>
      <c r="Q45" s="2">
        <v>45904.678148148145</v>
      </c>
      <c r="R45">
        <v>74</v>
      </c>
      <c r="S45" t="s">
        <v>13</v>
      </c>
      <c r="T45">
        <v>0</v>
      </c>
      <c r="U45" t="s">
        <v>14</v>
      </c>
      <c r="V45" t="s">
        <v>14</v>
      </c>
      <c r="W45" t="s">
        <v>14</v>
      </c>
      <c r="X45" t="s">
        <v>14</v>
      </c>
      <c r="Y45" t="s">
        <v>14</v>
      </c>
      <c r="Z45" t="s">
        <v>14</v>
      </c>
      <c r="AA45" t="s">
        <v>14</v>
      </c>
      <c r="AC45">
        <v>81</v>
      </c>
      <c r="AD45" t="s">
        <v>71</v>
      </c>
      <c r="AE45" s="2">
        <v>45904.678148148145</v>
      </c>
      <c r="AF45">
        <v>74</v>
      </c>
      <c r="AG45" t="s">
        <v>13</v>
      </c>
      <c r="AH45">
        <v>0</v>
      </c>
      <c r="AI45" t="s">
        <v>14</v>
      </c>
      <c r="AJ45" t="s">
        <v>14</v>
      </c>
      <c r="AK45" t="s">
        <v>14</v>
      </c>
      <c r="AL45" t="s">
        <v>14</v>
      </c>
      <c r="AM45" t="s">
        <v>14</v>
      </c>
      <c r="AN45" t="s">
        <v>14</v>
      </c>
      <c r="AO45" t="s">
        <v>14</v>
      </c>
      <c r="AQ45">
        <v>2</v>
      </c>
      <c r="AR45" t="s">
        <v>89</v>
      </c>
      <c r="AS45" s="10">
        <v>81</v>
      </c>
      <c r="AT45" s="16">
        <f t="shared" si="20"/>
        <v>409.03069816957697</v>
      </c>
      <c r="AU45" s="17" t="e">
        <f t="shared" si="21"/>
        <v>#VALUE!</v>
      </c>
      <c r="AW45" s="6">
        <f t="shared" si="22"/>
        <v>356.37322994546662</v>
      </c>
      <c r="AX45" s="7" t="e">
        <f t="shared" si="23"/>
        <v>#VALUE!</v>
      </c>
      <c r="AZ45" s="11">
        <f t="shared" si="24"/>
        <v>419.87848295978301</v>
      </c>
      <c r="BA45" s="12" t="e">
        <f t="shared" si="25"/>
        <v>#VALUE!</v>
      </c>
      <c r="BC45" s="13">
        <f t="shared" si="26"/>
        <v>434.26135365769522</v>
      </c>
      <c r="BD45" s="14" t="e">
        <f t="shared" si="27"/>
        <v>#VALUE!</v>
      </c>
      <c r="BF45" s="16">
        <f t="shared" si="28"/>
        <v>409.03069816957697</v>
      </c>
      <c r="BG45" s="17" t="e">
        <f t="shared" si="29"/>
        <v>#VALUE!</v>
      </c>
      <c r="BI45">
        <v>81</v>
      </c>
      <c r="BJ45" t="s">
        <v>71</v>
      </c>
      <c r="BK45" s="2">
        <v>45904.678148148145</v>
      </c>
      <c r="BL45">
        <v>74</v>
      </c>
      <c r="BM45" t="s">
        <v>13</v>
      </c>
      <c r="BN45">
        <v>0</v>
      </c>
      <c r="BO45">
        <v>2.8730000000000002</v>
      </c>
      <c r="BP45" s="3">
        <v>860035</v>
      </c>
      <c r="BQ45">
        <v>0</v>
      </c>
      <c r="BR45" t="s">
        <v>14</v>
      </c>
      <c r="BS45" t="s">
        <v>14</v>
      </c>
      <c r="BT45" t="s">
        <v>14</v>
      </c>
      <c r="BU45" t="s">
        <v>14</v>
      </c>
    </row>
    <row r="46" spans="1:73" x14ac:dyDescent="0.35">
      <c r="A46">
        <v>82</v>
      </c>
      <c r="B46" t="s">
        <v>72</v>
      </c>
      <c r="C46" s="2">
        <v>45904.699374999997</v>
      </c>
      <c r="D46">
        <v>308</v>
      </c>
      <c r="E46" t="s">
        <v>13</v>
      </c>
      <c r="F46">
        <v>0</v>
      </c>
      <c r="G46">
        <v>6.0460000000000003</v>
      </c>
      <c r="H46" s="3">
        <v>107610</v>
      </c>
      <c r="I46">
        <v>0.24299999999999999</v>
      </c>
      <c r="J46" t="s">
        <v>14</v>
      </c>
      <c r="K46" t="s">
        <v>14</v>
      </c>
      <c r="L46" t="s">
        <v>14</v>
      </c>
      <c r="M46" t="s">
        <v>14</v>
      </c>
      <c r="O46">
        <v>82</v>
      </c>
      <c r="P46" t="s">
        <v>72</v>
      </c>
      <c r="Q46" s="2">
        <v>45904.699374999997</v>
      </c>
      <c r="R46">
        <v>308</v>
      </c>
      <c r="S46" t="s">
        <v>13</v>
      </c>
      <c r="T46">
        <v>0</v>
      </c>
      <c r="U46" t="s">
        <v>14</v>
      </c>
      <c r="V46" t="s">
        <v>14</v>
      </c>
      <c r="W46" t="s">
        <v>14</v>
      </c>
      <c r="X46" t="s">
        <v>14</v>
      </c>
      <c r="Y46" t="s">
        <v>14</v>
      </c>
      <c r="Z46" t="s">
        <v>14</v>
      </c>
      <c r="AA46" t="s">
        <v>14</v>
      </c>
      <c r="AC46">
        <v>82</v>
      </c>
      <c r="AD46" t="s">
        <v>72</v>
      </c>
      <c r="AE46" s="2">
        <v>45904.699374999997</v>
      </c>
      <c r="AF46">
        <v>308</v>
      </c>
      <c r="AG46" t="s">
        <v>13</v>
      </c>
      <c r="AH46">
        <v>0</v>
      </c>
      <c r="AI46">
        <v>12.2</v>
      </c>
      <c r="AJ46" s="3">
        <v>103822</v>
      </c>
      <c r="AK46">
        <v>22.516999999999999</v>
      </c>
      <c r="AL46" t="s">
        <v>14</v>
      </c>
      <c r="AM46" t="s">
        <v>14</v>
      </c>
      <c r="AN46" t="s">
        <v>14</v>
      </c>
      <c r="AO46" t="s">
        <v>14</v>
      </c>
      <c r="AQ46">
        <v>1</v>
      </c>
      <c r="AS46" s="10">
        <v>82</v>
      </c>
      <c r="AT46" s="16">
        <f t="shared" si="20"/>
        <v>288.74350311770002</v>
      </c>
      <c r="AU46" s="17">
        <f t="shared" si="21"/>
        <v>22766.710338395918</v>
      </c>
      <c r="AW46" s="6">
        <f t="shared" si="22"/>
        <v>249.26563387946598</v>
      </c>
      <c r="AX46" s="7">
        <f t="shared" si="23"/>
        <v>21081.227123904318</v>
      </c>
      <c r="AZ46" s="11">
        <f t="shared" si="24"/>
        <v>298.77570861830003</v>
      </c>
      <c r="BA46" s="12">
        <f t="shared" si="25"/>
        <v>23498.847985724398</v>
      </c>
      <c r="BC46" s="13">
        <f t="shared" si="26"/>
        <v>304.29611138551996</v>
      </c>
      <c r="BD46" s="14">
        <f t="shared" si="27"/>
        <v>20608.759045353483</v>
      </c>
      <c r="BF46" s="16">
        <f t="shared" si="28"/>
        <v>288.74350311770002</v>
      </c>
      <c r="BG46" s="17">
        <f t="shared" si="29"/>
        <v>22766.710338395918</v>
      </c>
      <c r="BI46">
        <v>82</v>
      </c>
      <c r="BJ46" t="s">
        <v>72</v>
      </c>
      <c r="BK46" s="2">
        <v>45904.699374999997</v>
      </c>
      <c r="BL46">
        <v>308</v>
      </c>
      <c r="BM46" t="s">
        <v>13</v>
      </c>
      <c r="BN46">
        <v>0</v>
      </c>
      <c r="BO46">
        <v>2.863</v>
      </c>
      <c r="BP46" s="3">
        <v>1055345</v>
      </c>
      <c r="BQ46">
        <v>0</v>
      </c>
      <c r="BR46" t="s">
        <v>14</v>
      </c>
      <c r="BS46" t="s">
        <v>14</v>
      </c>
      <c r="BT46" t="s">
        <v>14</v>
      </c>
      <c r="BU46" t="s">
        <v>14</v>
      </c>
    </row>
    <row r="47" spans="1:73" x14ac:dyDescent="0.35">
      <c r="A47">
        <v>83</v>
      </c>
      <c r="B47" t="s">
        <v>73</v>
      </c>
      <c r="C47" s="2">
        <v>45904.720601851855</v>
      </c>
      <c r="D47">
        <v>172</v>
      </c>
      <c r="E47" t="s">
        <v>13</v>
      </c>
      <c r="F47">
        <v>0</v>
      </c>
      <c r="G47">
        <v>6.0640000000000001</v>
      </c>
      <c r="H47" s="3">
        <v>2161</v>
      </c>
      <c r="I47">
        <v>5.0000000000000001E-3</v>
      </c>
      <c r="J47" t="s">
        <v>14</v>
      </c>
      <c r="K47" t="s">
        <v>14</v>
      </c>
      <c r="L47" t="s">
        <v>14</v>
      </c>
      <c r="M47" t="s">
        <v>14</v>
      </c>
      <c r="O47">
        <v>83</v>
      </c>
      <c r="P47" t="s">
        <v>73</v>
      </c>
      <c r="Q47" s="2">
        <v>45904.720601851855</v>
      </c>
      <c r="R47">
        <v>172</v>
      </c>
      <c r="S47" t="s">
        <v>13</v>
      </c>
      <c r="T47">
        <v>0</v>
      </c>
      <c r="U47" t="s">
        <v>14</v>
      </c>
      <c r="V47" t="s">
        <v>14</v>
      </c>
      <c r="W47" t="s">
        <v>14</v>
      </c>
      <c r="X47" t="s">
        <v>14</v>
      </c>
      <c r="Y47" t="s">
        <v>14</v>
      </c>
      <c r="Z47" t="s">
        <v>14</v>
      </c>
      <c r="AA47" t="s">
        <v>14</v>
      </c>
      <c r="AC47">
        <v>83</v>
      </c>
      <c r="AD47" t="s">
        <v>73</v>
      </c>
      <c r="AE47" s="2">
        <v>45904.720601851855</v>
      </c>
      <c r="AF47">
        <v>172</v>
      </c>
      <c r="AG47" t="s">
        <v>13</v>
      </c>
      <c r="AH47">
        <v>0</v>
      </c>
      <c r="AI47">
        <v>12.2</v>
      </c>
      <c r="AJ47" s="3">
        <v>85414</v>
      </c>
      <c r="AK47">
        <v>18.532</v>
      </c>
      <c r="AL47" t="s">
        <v>14</v>
      </c>
      <c r="AM47" t="s">
        <v>14</v>
      </c>
      <c r="AN47" t="s">
        <v>14</v>
      </c>
      <c r="AO47" t="s">
        <v>14</v>
      </c>
      <c r="AQ47">
        <v>1</v>
      </c>
      <c r="AS47" s="10">
        <v>83</v>
      </c>
      <c r="AT47" s="16">
        <f t="shared" si="20"/>
        <v>4.2952636390529992</v>
      </c>
      <c r="AU47" s="17">
        <f t="shared" si="21"/>
        <v>18851.507044174479</v>
      </c>
      <c r="AW47" s="6">
        <f t="shared" si="22"/>
        <v>0.67775842129999986</v>
      </c>
      <c r="AX47" s="7">
        <f t="shared" si="23"/>
        <v>17365.191328374076</v>
      </c>
      <c r="AZ47" s="11">
        <f t="shared" si="24"/>
        <v>4.9445923400000016</v>
      </c>
      <c r="BA47" s="12">
        <f t="shared" si="25"/>
        <v>19081.659747903599</v>
      </c>
      <c r="BC47" s="13">
        <f t="shared" si="26"/>
        <v>1.7567722859399995</v>
      </c>
      <c r="BD47" s="14">
        <f t="shared" si="27"/>
        <v>16894.89609995412</v>
      </c>
      <c r="BF47" s="16">
        <f t="shared" si="28"/>
        <v>4.2952636390529992</v>
      </c>
      <c r="BG47" s="17">
        <f t="shared" si="29"/>
        <v>18851.507044174479</v>
      </c>
      <c r="BI47">
        <v>83</v>
      </c>
      <c r="BJ47" t="s">
        <v>73</v>
      </c>
      <c r="BK47" s="2">
        <v>45904.720601851855</v>
      </c>
      <c r="BL47">
        <v>172</v>
      </c>
      <c r="BM47" t="s">
        <v>13</v>
      </c>
      <c r="BN47">
        <v>0</v>
      </c>
      <c r="BO47">
        <v>2.8610000000000002</v>
      </c>
      <c r="BP47" s="3">
        <v>1114987</v>
      </c>
      <c r="BQ47">
        <v>0</v>
      </c>
      <c r="BR47" t="s">
        <v>14</v>
      </c>
      <c r="BS47" t="s">
        <v>14</v>
      </c>
      <c r="BT47" t="s">
        <v>14</v>
      </c>
      <c r="BU47" t="s">
        <v>14</v>
      </c>
    </row>
    <row r="48" spans="1:73" x14ac:dyDescent="0.35">
      <c r="A48">
        <v>84</v>
      </c>
      <c r="B48" t="s">
        <v>74</v>
      </c>
      <c r="C48" s="2">
        <v>45904.741828703707</v>
      </c>
      <c r="D48">
        <v>78</v>
      </c>
      <c r="E48" t="s">
        <v>13</v>
      </c>
      <c r="F48">
        <v>0</v>
      </c>
      <c r="G48">
        <v>6.05</v>
      </c>
      <c r="H48" s="3">
        <v>9366</v>
      </c>
      <c r="I48">
        <v>2.1999999999999999E-2</v>
      </c>
      <c r="J48" t="s">
        <v>14</v>
      </c>
      <c r="K48" t="s">
        <v>14</v>
      </c>
      <c r="L48" t="s">
        <v>14</v>
      </c>
      <c r="M48" t="s">
        <v>14</v>
      </c>
      <c r="O48">
        <v>84</v>
      </c>
      <c r="P48" t="s">
        <v>74</v>
      </c>
      <c r="Q48" s="2">
        <v>45904.741828703707</v>
      </c>
      <c r="R48">
        <v>78</v>
      </c>
      <c r="S48" t="s">
        <v>13</v>
      </c>
      <c r="T48">
        <v>0</v>
      </c>
      <c r="U48" t="s">
        <v>14</v>
      </c>
      <c r="V48" t="s">
        <v>14</v>
      </c>
      <c r="W48" t="s">
        <v>14</v>
      </c>
      <c r="X48" t="s">
        <v>14</v>
      </c>
      <c r="Y48" t="s">
        <v>14</v>
      </c>
      <c r="Z48" t="s">
        <v>14</v>
      </c>
      <c r="AA48" t="s">
        <v>14</v>
      </c>
      <c r="AC48">
        <v>84</v>
      </c>
      <c r="AD48" t="s">
        <v>74</v>
      </c>
      <c r="AE48" s="2">
        <v>45904.741828703707</v>
      </c>
      <c r="AF48">
        <v>78</v>
      </c>
      <c r="AG48" t="s">
        <v>13</v>
      </c>
      <c r="AH48">
        <v>0</v>
      </c>
      <c r="AI48">
        <v>12.269</v>
      </c>
      <c r="AJ48">
        <v>49</v>
      </c>
      <c r="AK48">
        <v>-8.5999999999999993E-2</v>
      </c>
      <c r="AL48" t="s">
        <v>14</v>
      </c>
      <c r="AM48" t="s">
        <v>14</v>
      </c>
      <c r="AN48" t="s">
        <v>14</v>
      </c>
      <c r="AO48" t="s">
        <v>14</v>
      </c>
      <c r="AQ48">
        <v>1</v>
      </c>
      <c r="AS48" s="10">
        <v>84</v>
      </c>
      <c r="AT48" s="16">
        <f t="shared" si="20"/>
        <v>30.088434572308003</v>
      </c>
      <c r="AU48" s="17">
        <f t="shared" si="21"/>
        <v>-122.84281781707</v>
      </c>
      <c r="AW48" s="6">
        <f t="shared" si="22"/>
        <v>18.760673606800001</v>
      </c>
      <c r="AX48" s="7">
        <f t="shared" si="23"/>
        <v>-93.571761273519996</v>
      </c>
      <c r="AZ48" s="11">
        <f t="shared" si="24"/>
        <v>15.460866240000003</v>
      </c>
      <c r="BA48" s="12">
        <f t="shared" si="25"/>
        <v>-9.7650950960999996</v>
      </c>
      <c r="BC48" s="13">
        <f t="shared" si="26"/>
        <v>24.176230565840001</v>
      </c>
      <c r="BD48" s="14">
        <f t="shared" si="27"/>
        <v>44.1448564202</v>
      </c>
      <c r="BF48" s="16">
        <f t="shared" si="28"/>
        <v>30.088434572308003</v>
      </c>
      <c r="BG48" s="17">
        <f t="shared" si="29"/>
        <v>-122.84281781707</v>
      </c>
      <c r="BI48">
        <v>84</v>
      </c>
      <c r="BJ48" t="s">
        <v>74</v>
      </c>
      <c r="BK48" s="2">
        <v>45904.741828703707</v>
      </c>
      <c r="BL48">
        <v>78</v>
      </c>
      <c r="BM48" t="s">
        <v>13</v>
      </c>
      <c r="BN48">
        <v>0</v>
      </c>
      <c r="BO48">
        <v>2.8730000000000002</v>
      </c>
      <c r="BP48" s="3">
        <v>897395</v>
      </c>
      <c r="BQ48">
        <v>0</v>
      </c>
      <c r="BR48" t="s">
        <v>14</v>
      </c>
      <c r="BS48" t="s">
        <v>14</v>
      </c>
      <c r="BT48" t="s">
        <v>14</v>
      </c>
      <c r="BU48" t="s">
        <v>14</v>
      </c>
    </row>
    <row r="49" spans="1:73" x14ac:dyDescent="0.35">
      <c r="A49">
        <v>85</v>
      </c>
      <c r="B49" t="s">
        <v>75</v>
      </c>
      <c r="C49" s="2">
        <v>45904.763055555559</v>
      </c>
      <c r="D49">
        <v>73</v>
      </c>
      <c r="E49" t="s">
        <v>13</v>
      </c>
      <c r="F49">
        <v>0</v>
      </c>
      <c r="G49">
        <v>6.0449999999999999</v>
      </c>
      <c r="H49" s="3">
        <v>263100</v>
      </c>
      <c r="I49">
        <v>0.59399999999999997</v>
      </c>
      <c r="J49" t="s">
        <v>14</v>
      </c>
      <c r="K49" t="s">
        <v>14</v>
      </c>
      <c r="L49" t="s">
        <v>14</v>
      </c>
      <c r="M49" t="s">
        <v>14</v>
      </c>
      <c r="O49">
        <v>85</v>
      </c>
      <c r="P49" t="s">
        <v>75</v>
      </c>
      <c r="Q49" s="2">
        <v>45904.763055555559</v>
      </c>
      <c r="R49">
        <v>73</v>
      </c>
      <c r="S49" t="s">
        <v>13</v>
      </c>
      <c r="T49">
        <v>0</v>
      </c>
      <c r="U49">
        <v>5.9870000000000001</v>
      </c>
      <c r="V49" s="3">
        <v>2113</v>
      </c>
      <c r="W49">
        <v>0.61299999999999999</v>
      </c>
      <c r="X49" t="s">
        <v>14</v>
      </c>
      <c r="Y49" t="s">
        <v>14</v>
      </c>
      <c r="Z49" t="s">
        <v>14</v>
      </c>
      <c r="AA49" t="s">
        <v>14</v>
      </c>
      <c r="AC49">
        <v>85</v>
      </c>
      <c r="AD49" t="s">
        <v>75</v>
      </c>
      <c r="AE49" s="2">
        <v>45904.763055555559</v>
      </c>
      <c r="AF49">
        <v>73</v>
      </c>
      <c r="AG49" t="s">
        <v>13</v>
      </c>
      <c r="AH49">
        <v>0</v>
      </c>
      <c r="AI49">
        <v>12.2</v>
      </c>
      <c r="AJ49" s="3">
        <v>66234</v>
      </c>
      <c r="AK49">
        <v>14.37</v>
      </c>
      <c r="AL49" t="s">
        <v>14</v>
      </c>
      <c r="AM49" t="s">
        <v>14</v>
      </c>
      <c r="AN49" t="s">
        <v>14</v>
      </c>
      <c r="AO49" t="s">
        <v>14</v>
      </c>
      <c r="AQ49">
        <v>1</v>
      </c>
      <c r="AS49" s="10">
        <v>85</v>
      </c>
      <c r="AT49" s="16">
        <f t="shared" si="20"/>
        <v>714.85443901060989</v>
      </c>
      <c r="AU49" s="17">
        <f t="shared" si="21"/>
        <v>14764.450467931281</v>
      </c>
      <c r="AW49" s="6">
        <f t="shared" si="22"/>
        <v>609.71369153059993</v>
      </c>
      <c r="AX49" s="7">
        <f t="shared" si="23"/>
        <v>13474.913020866878</v>
      </c>
      <c r="AZ49" s="11">
        <f t="shared" si="24"/>
        <v>663.22647805400004</v>
      </c>
      <c r="BA49" s="12">
        <f t="shared" si="25"/>
        <v>14449.735841279602</v>
      </c>
      <c r="BC49" s="13">
        <f t="shared" si="26"/>
        <v>720.39412601800007</v>
      </c>
      <c r="BD49" s="14">
        <f t="shared" si="27"/>
        <v>13007.955965573321</v>
      </c>
      <c r="BF49" s="16">
        <f t="shared" si="28"/>
        <v>714.85443901060989</v>
      </c>
      <c r="BG49" s="17">
        <f t="shared" si="29"/>
        <v>14764.450467931281</v>
      </c>
      <c r="BI49">
        <v>85</v>
      </c>
      <c r="BJ49" t="s">
        <v>75</v>
      </c>
      <c r="BK49" s="2">
        <v>45904.763055555559</v>
      </c>
      <c r="BL49">
        <v>73</v>
      </c>
      <c r="BM49" t="s">
        <v>13</v>
      </c>
      <c r="BN49">
        <v>0</v>
      </c>
      <c r="BO49">
        <v>2.8690000000000002</v>
      </c>
      <c r="BP49" s="3">
        <v>945454</v>
      </c>
      <c r="BQ49">
        <v>0</v>
      </c>
      <c r="BR49" t="s">
        <v>14</v>
      </c>
      <c r="BS49" t="s">
        <v>14</v>
      </c>
      <c r="BT49" t="s">
        <v>14</v>
      </c>
      <c r="BU49" t="s">
        <v>14</v>
      </c>
    </row>
    <row r="50" spans="1:73" x14ac:dyDescent="0.35">
      <c r="A50">
        <v>86</v>
      </c>
      <c r="B50" t="s">
        <v>76</v>
      </c>
      <c r="C50" s="2">
        <v>45904.784270833334</v>
      </c>
      <c r="D50">
        <v>392</v>
      </c>
      <c r="E50" t="s">
        <v>13</v>
      </c>
      <c r="F50">
        <v>0</v>
      </c>
      <c r="G50">
        <v>6.0570000000000004</v>
      </c>
      <c r="H50" s="3">
        <v>12174</v>
      </c>
      <c r="I50">
        <v>2.8000000000000001E-2</v>
      </c>
      <c r="J50" t="s">
        <v>14</v>
      </c>
      <c r="K50" t="s">
        <v>14</v>
      </c>
      <c r="L50" t="s">
        <v>14</v>
      </c>
      <c r="M50" t="s">
        <v>14</v>
      </c>
      <c r="O50">
        <v>86</v>
      </c>
      <c r="P50" t="s">
        <v>76</v>
      </c>
      <c r="Q50" s="2">
        <v>45904.784270833334</v>
      </c>
      <c r="R50">
        <v>392</v>
      </c>
      <c r="S50" t="s">
        <v>13</v>
      </c>
      <c r="T50">
        <v>0</v>
      </c>
      <c r="U50" t="s">
        <v>14</v>
      </c>
      <c r="V50" t="s">
        <v>14</v>
      </c>
      <c r="W50" t="s">
        <v>14</v>
      </c>
      <c r="X50" t="s">
        <v>14</v>
      </c>
      <c r="Y50" t="s">
        <v>14</v>
      </c>
      <c r="Z50" t="s">
        <v>14</v>
      </c>
      <c r="AA50" t="s">
        <v>14</v>
      </c>
      <c r="AC50">
        <v>86</v>
      </c>
      <c r="AD50" t="s">
        <v>76</v>
      </c>
      <c r="AE50" s="2">
        <v>45904.784270833334</v>
      </c>
      <c r="AF50">
        <v>392</v>
      </c>
      <c r="AG50" t="s">
        <v>13</v>
      </c>
      <c r="AH50">
        <v>0</v>
      </c>
      <c r="AI50">
        <v>12.318</v>
      </c>
      <c r="AJ50">
        <v>57</v>
      </c>
      <c r="AK50">
        <v>-8.4000000000000005E-2</v>
      </c>
      <c r="AL50" t="s">
        <v>14</v>
      </c>
      <c r="AM50" t="s">
        <v>14</v>
      </c>
      <c r="AN50" t="s">
        <v>14</v>
      </c>
      <c r="AO50" t="s">
        <v>14</v>
      </c>
      <c r="AQ50">
        <v>1</v>
      </c>
      <c r="AS50" s="10">
        <v>86</v>
      </c>
      <c r="AT50" s="16">
        <f t="shared" si="20"/>
        <v>35.790689749411996</v>
      </c>
      <c r="AU50" s="17">
        <f t="shared" si="21"/>
        <v>-121.02125942843</v>
      </c>
      <c r="AW50" s="6">
        <f t="shared" si="22"/>
        <v>26.10261546653096</v>
      </c>
      <c r="AX50" s="7">
        <f t="shared" si="23"/>
        <v>-91.918182914479999</v>
      </c>
      <c r="AZ50" s="11">
        <f t="shared" si="24"/>
        <v>26.391760702747995</v>
      </c>
      <c r="BA50" s="12">
        <f t="shared" si="25"/>
        <v>-7.8134818688999985</v>
      </c>
      <c r="BC50" s="13">
        <f t="shared" si="26"/>
        <v>30.928624027491203</v>
      </c>
      <c r="BD50" s="14">
        <f t="shared" si="27"/>
        <v>45.784805709799997</v>
      </c>
      <c r="BF50" s="16">
        <f t="shared" si="28"/>
        <v>35.790689749411996</v>
      </c>
      <c r="BG50" s="17">
        <f t="shared" si="29"/>
        <v>-121.02125942843</v>
      </c>
      <c r="BI50">
        <v>86</v>
      </c>
      <c r="BJ50" t="s">
        <v>76</v>
      </c>
      <c r="BK50" s="2">
        <v>45904.784270833334</v>
      </c>
      <c r="BL50">
        <v>392</v>
      </c>
      <c r="BM50" t="s">
        <v>13</v>
      </c>
      <c r="BN50">
        <v>0</v>
      </c>
      <c r="BO50">
        <v>2.8740000000000001</v>
      </c>
      <c r="BP50" s="3">
        <v>1000606</v>
      </c>
      <c r="BQ50">
        <v>0</v>
      </c>
      <c r="BR50" t="s">
        <v>14</v>
      </c>
      <c r="BS50" t="s">
        <v>14</v>
      </c>
      <c r="BT50" t="s">
        <v>14</v>
      </c>
      <c r="BU50" t="s">
        <v>14</v>
      </c>
    </row>
    <row r="51" spans="1:73" x14ac:dyDescent="0.35">
      <c r="A51">
        <v>87</v>
      </c>
      <c r="B51" t="s">
        <v>77</v>
      </c>
      <c r="C51" s="2">
        <v>45904.805509259262</v>
      </c>
      <c r="D51">
        <v>50</v>
      </c>
      <c r="E51" t="s">
        <v>13</v>
      </c>
      <c r="F51">
        <v>0</v>
      </c>
      <c r="G51">
        <v>6.0759999999999996</v>
      </c>
      <c r="H51" s="3">
        <v>1442</v>
      </c>
      <c r="I51">
        <v>4.0000000000000001E-3</v>
      </c>
      <c r="J51" t="s">
        <v>14</v>
      </c>
      <c r="K51" t="s">
        <v>14</v>
      </c>
      <c r="L51" t="s">
        <v>14</v>
      </c>
      <c r="M51" t="s">
        <v>14</v>
      </c>
      <c r="O51">
        <v>87</v>
      </c>
      <c r="P51" t="s">
        <v>77</v>
      </c>
      <c r="Q51" s="2">
        <v>45904.805509259262</v>
      </c>
      <c r="R51">
        <v>50</v>
      </c>
      <c r="S51" t="s">
        <v>13</v>
      </c>
      <c r="T51">
        <v>0</v>
      </c>
      <c r="U51" t="s">
        <v>14</v>
      </c>
      <c r="V51" t="s">
        <v>14</v>
      </c>
      <c r="W51" t="s">
        <v>14</v>
      </c>
      <c r="X51" t="s">
        <v>14</v>
      </c>
      <c r="Y51" t="s">
        <v>14</v>
      </c>
      <c r="Z51" t="s">
        <v>14</v>
      </c>
      <c r="AA51" t="s">
        <v>14</v>
      </c>
      <c r="AC51">
        <v>87</v>
      </c>
      <c r="AD51" t="s">
        <v>77</v>
      </c>
      <c r="AE51" s="2">
        <v>45904.805509259262</v>
      </c>
      <c r="AF51">
        <v>50</v>
      </c>
      <c r="AG51" t="s">
        <v>13</v>
      </c>
      <c r="AH51">
        <v>0</v>
      </c>
      <c r="AI51">
        <v>12.246</v>
      </c>
      <c r="AJ51" s="3">
        <v>2728</v>
      </c>
      <c r="AK51">
        <v>0.502</v>
      </c>
      <c r="AL51" t="s">
        <v>14</v>
      </c>
      <c r="AM51" t="s">
        <v>14</v>
      </c>
      <c r="AN51" t="s">
        <v>14</v>
      </c>
      <c r="AO51" t="s">
        <v>14</v>
      </c>
      <c r="AQ51">
        <v>1</v>
      </c>
      <c r="AS51" s="10">
        <v>87</v>
      </c>
      <c r="AT51" s="16">
        <f t="shared" si="20"/>
        <v>1.7697040384519998</v>
      </c>
      <c r="AU51" s="17">
        <f t="shared" si="21"/>
        <v>486.80042184512001</v>
      </c>
      <c r="AW51" s="6">
        <f t="shared" si="22"/>
        <v>-0.29894261079999995</v>
      </c>
      <c r="AX51" s="7">
        <f t="shared" si="23"/>
        <v>459.98768056832006</v>
      </c>
      <c r="AZ51" s="11">
        <f t="shared" si="24"/>
        <v>6.9717265600000005</v>
      </c>
      <c r="BA51" s="12">
        <f t="shared" si="25"/>
        <v>640.51771109759989</v>
      </c>
      <c r="BC51" s="13">
        <f t="shared" si="26"/>
        <v>-0.15495914103999997</v>
      </c>
      <c r="BD51" s="14">
        <f t="shared" si="27"/>
        <v>592.89496935680006</v>
      </c>
      <c r="BF51" s="16">
        <f t="shared" si="28"/>
        <v>1.7697040384519998</v>
      </c>
      <c r="BG51" s="17">
        <f t="shared" si="29"/>
        <v>486.80042184512001</v>
      </c>
      <c r="BI51">
        <v>87</v>
      </c>
      <c r="BJ51" t="s">
        <v>77</v>
      </c>
      <c r="BK51" s="2">
        <v>45904.805509259262</v>
      </c>
      <c r="BL51">
        <v>50</v>
      </c>
      <c r="BM51" t="s">
        <v>13</v>
      </c>
      <c r="BN51">
        <v>0</v>
      </c>
      <c r="BO51">
        <v>2.738</v>
      </c>
      <c r="BP51" s="3">
        <v>4652519</v>
      </c>
      <c r="BQ51">
        <v>0</v>
      </c>
      <c r="BR51" t="s">
        <v>14</v>
      </c>
      <c r="BS51" t="s">
        <v>14</v>
      </c>
      <c r="BT51" t="s">
        <v>14</v>
      </c>
      <c r="BU51" t="s">
        <v>14</v>
      </c>
    </row>
    <row r="52" spans="1:73" x14ac:dyDescent="0.35">
      <c r="A52">
        <v>88</v>
      </c>
      <c r="B52" t="s">
        <v>78</v>
      </c>
      <c r="C52" s="2">
        <v>45904.82671296296</v>
      </c>
      <c r="D52">
        <v>274</v>
      </c>
      <c r="E52" t="s">
        <v>13</v>
      </c>
      <c r="F52">
        <v>0</v>
      </c>
      <c r="G52">
        <v>6.0579999999999998</v>
      </c>
      <c r="H52" s="3">
        <v>10771</v>
      </c>
      <c r="I52">
        <v>2.5000000000000001E-2</v>
      </c>
      <c r="J52" t="s">
        <v>14</v>
      </c>
      <c r="K52" t="s">
        <v>14</v>
      </c>
      <c r="L52" t="s">
        <v>14</v>
      </c>
      <c r="M52" t="s">
        <v>14</v>
      </c>
      <c r="O52">
        <v>88</v>
      </c>
      <c r="P52" t="s">
        <v>78</v>
      </c>
      <c r="Q52" s="2">
        <v>45904.82671296296</v>
      </c>
      <c r="R52">
        <v>274</v>
      </c>
      <c r="S52" t="s">
        <v>13</v>
      </c>
      <c r="T52">
        <v>0</v>
      </c>
      <c r="U52" t="s">
        <v>14</v>
      </c>
      <c r="V52" t="s">
        <v>14</v>
      </c>
      <c r="W52" t="s">
        <v>14</v>
      </c>
      <c r="X52" t="s">
        <v>14</v>
      </c>
      <c r="Y52" t="s">
        <v>14</v>
      </c>
      <c r="Z52" t="s">
        <v>14</v>
      </c>
      <c r="AA52" t="s">
        <v>14</v>
      </c>
      <c r="AC52">
        <v>88</v>
      </c>
      <c r="AD52" t="s">
        <v>78</v>
      </c>
      <c r="AE52" s="2">
        <v>45904.82671296296</v>
      </c>
      <c r="AF52">
        <v>274</v>
      </c>
      <c r="AG52" t="s">
        <v>13</v>
      </c>
      <c r="AH52">
        <v>0</v>
      </c>
      <c r="AI52">
        <v>12.275</v>
      </c>
      <c r="AJ52" s="3">
        <v>9683</v>
      </c>
      <c r="AK52">
        <v>2.0270000000000001</v>
      </c>
      <c r="AL52" t="s">
        <v>14</v>
      </c>
      <c r="AM52" t="s">
        <v>14</v>
      </c>
      <c r="AN52" t="s">
        <v>14</v>
      </c>
      <c r="AO52" t="s">
        <v>14</v>
      </c>
      <c r="AQ52">
        <v>1</v>
      </c>
      <c r="AS52" s="10">
        <v>88</v>
      </c>
      <c r="AT52" s="16">
        <f t="shared" si="20"/>
        <v>32.036310202016999</v>
      </c>
      <c r="AU52" s="17">
        <f t="shared" si="21"/>
        <v>2066.2182728047701</v>
      </c>
      <c r="AW52" s="6">
        <f t="shared" si="22"/>
        <v>22.810964196921862</v>
      </c>
      <c r="AX52" s="7">
        <f t="shared" si="23"/>
        <v>1895.3833323207198</v>
      </c>
      <c r="AZ52" s="11">
        <f t="shared" si="24"/>
        <v>22.173198226543001</v>
      </c>
      <c r="BA52" s="12">
        <f t="shared" si="25"/>
        <v>2298.1678409671003</v>
      </c>
      <c r="BC52" s="13">
        <f t="shared" si="26"/>
        <v>26.870624029439206</v>
      </c>
      <c r="BD52" s="14">
        <f t="shared" si="27"/>
        <v>2013.5081227577998</v>
      </c>
      <c r="BF52" s="16">
        <f t="shared" si="28"/>
        <v>32.036310202016999</v>
      </c>
      <c r="BG52" s="17">
        <f t="shared" si="29"/>
        <v>2066.2182728047701</v>
      </c>
      <c r="BI52">
        <v>88</v>
      </c>
      <c r="BJ52" t="s">
        <v>78</v>
      </c>
      <c r="BK52" s="2">
        <v>45904.82671296296</v>
      </c>
      <c r="BL52">
        <v>274</v>
      </c>
      <c r="BM52" t="s">
        <v>13</v>
      </c>
      <c r="BN52">
        <v>0</v>
      </c>
      <c r="BO52">
        <v>2.863</v>
      </c>
      <c r="BP52" s="3">
        <v>1223454</v>
      </c>
      <c r="BQ52">
        <v>0</v>
      </c>
      <c r="BR52" t="s">
        <v>14</v>
      </c>
      <c r="BS52" t="s">
        <v>14</v>
      </c>
      <c r="BT52" t="s">
        <v>14</v>
      </c>
      <c r="BU52" t="s">
        <v>14</v>
      </c>
    </row>
    <row r="53" spans="1:73" x14ac:dyDescent="0.35">
      <c r="A53">
        <v>89</v>
      </c>
      <c r="B53" t="s">
        <v>79</v>
      </c>
      <c r="C53" s="2">
        <v>45904.847962962966</v>
      </c>
      <c r="D53">
        <v>122</v>
      </c>
      <c r="E53" t="s">
        <v>13</v>
      </c>
      <c r="F53">
        <v>0</v>
      </c>
      <c r="G53">
        <v>6.0490000000000004</v>
      </c>
      <c r="H53" s="3">
        <v>28723</v>
      </c>
      <c r="I53">
        <v>6.5000000000000002E-2</v>
      </c>
      <c r="J53" t="s">
        <v>14</v>
      </c>
      <c r="K53" t="s">
        <v>14</v>
      </c>
      <c r="L53" t="s">
        <v>14</v>
      </c>
      <c r="M53" t="s">
        <v>14</v>
      </c>
      <c r="O53">
        <v>89</v>
      </c>
      <c r="P53" t="s">
        <v>79</v>
      </c>
      <c r="Q53" s="2">
        <v>45904.847962962966</v>
      </c>
      <c r="R53">
        <v>122</v>
      </c>
      <c r="S53" t="s">
        <v>13</v>
      </c>
      <c r="T53">
        <v>0</v>
      </c>
      <c r="U53" t="s">
        <v>14</v>
      </c>
      <c r="V53" t="s">
        <v>14</v>
      </c>
      <c r="W53" t="s">
        <v>14</v>
      </c>
      <c r="X53" t="s">
        <v>14</v>
      </c>
      <c r="Y53" t="s">
        <v>14</v>
      </c>
      <c r="Z53" t="s">
        <v>14</v>
      </c>
      <c r="AA53" t="s">
        <v>14</v>
      </c>
      <c r="AC53">
        <v>89</v>
      </c>
      <c r="AD53" t="s">
        <v>79</v>
      </c>
      <c r="AE53" s="2">
        <v>45904.847962962966</v>
      </c>
      <c r="AF53">
        <v>122</v>
      </c>
      <c r="AG53" t="s">
        <v>13</v>
      </c>
      <c r="AH53">
        <v>0</v>
      </c>
      <c r="AI53">
        <v>12.255000000000001</v>
      </c>
      <c r="AJ53" s="3">
        <v>21617</v>
      </c>
      <c r="AK53">
        <v>4.6399999999999997</v>
      </c>
      <c r="AL53" t="s">
        <v>14</v>
      </c>
      <c r="AM53" t="s">
        <v>14</v>
      </c>
      <c r="AN53" t="s">
        <v>14</v>
      </c>
      <c r="AO53" t="s">
        <v>14</v>
      </c>
      <c r="AQ53">
        <v>1</v>
      </c>
      <c r="AS53" s="10">
        <v>89</v>
      </c>
      <c r="AT53" s="16">
        <f t="shared" si="20"/>
        <v>79.997108178272995</v>
      </c>
      <c r="AU53" s="17">
        <f t="shared" si="21"/>
        <v>4765.2607496107703</v>
      </c>
      <c r="AW53" s="6">
        <f t="shared" si="22"/>
        <v>64.90515763588634</v>
      </c>
      <c r="AX53" s="7">
        <f t="shared" si="23"/>
        <v>4352.6085395367199</v>
      </c>
      <c r="AZ53" s="11">
        <f t="shared" si="24"/>
        <v>75.683047080367004</v>
      </c>
      <c r="BA53" s="12">
        <f t="shared" si="25"/>
        <v>5039.6948923470991</v>
      </c>
      <c r="BC53" s="13">
        <f t="shared" si="26"/>
        <v>78.708713901464805</v>
      </c>
      <c r="BD53" s="14">
        <f t="shared" si="27"/>
        <v>4437.6407775978005</v>
      </c>
      <c r="BF53" s="16">
        <f t="shared" si="28"/>
        <v>79.997108178272995</v>
      </c>
      <c r="BG53" s="17">
        <f t="shared" si="29"/>
        <v>4765.2607496107703</v>
      </c>
      <c r="BI53">
        <v>89</v>
      </c>
      <c r="BJ53" t="s">
        <v>79</v>
      </c>
      <c r="BK53" s="2">
        <v>45904.847962962966</v>
      </c>
      <c r="BL53">
        <v>122</v>
      </c>
      <c r="BM53" t="s">
        <v>13</v>
      </c>
      <c r="BN53">
        <v>0</v>
      </c>
      <c r="BO53">
        <v>2.8690000000000002</v>
      </c>
      <c r="BP53" s="3">
        <v>955767</v>
      </c>
      <c r="BQ53">
        <v>0</v>
      </c>
      <c r="BR53" t="s">
        <v>14</v>
      </c>
      <c r="BS53" t="s">
        <v>14</v>
      </c>
      <c r="BT53" t="s">
        <v>14</v>
      </c>
      <c r="BU53" t="s">
        <v>14</v>
      </c>
    </row>
    <row r="54" spans="1:73" x14ac:dyDescent="0.35">
      <c r="A54">
        <v>90</v>
      </c>
      <c r="B54" t="s">
        <v>80</v>
      </c>
      <c r="C54" s="2">
        <v>45904.869189814817</v>
      </c>
      <c r="D54">
        <v>377</v>
      </c>
      <c r="E54" t="s">
        <v>13</v>
      </c>
      <c r="F54">
        <v>0</v>
      </c>
      <c r="G54">
        <v>6.056</v>
      </c>
      <c r="H54" s="3">
        <v>16532</v>
      </c>
      <c r="I54">
        <v>3.7999999999999999E-2</v>
      </c>
      <c r="J54" t="s">
        <v>14</v>
      </c>
      <c r="K54" t="s">
        <v>14</v>
      </c>
      <c r="L54" t="s">
        <v>14</v>
      </c>
      <c r="M54" t="s">
        <v>14</v>
      </c>
      <c r="O54">
        <v>90</v>
      </c>
      <c r="P54" t="s">
        <v>80</v>
      </c>
      <c r="Q54" s="2">
        <v>45904.869189814817</v>
      </c>
      <c r="R54">
        <v>377</v>
      </c>
      <c r="S54" t="s">
        <v>13</v>
      </c>
      <c r="T54">
        <v>0</v>
      </c>
      <c r="U54" t="s">
        <v>14</v>
      </c>
      <c r="V54" t="s">
        <v>14</v>
      </c>
      <c r="W54" t="s">
        <v>14</v>
      </c>
      <c r="X54" t="s">
        <v>14</v>
      </c>
      <c r="Y54" t="s">
        <v>14</v>
      </c>
      <c r="Z54" t="s">
        <v>14</v>
      </c>
      <c r="AA54" t="s">
        <v>14</v>
      </c>
      <c r="AC54">
        <v>90</v>
      </c>
      <c r="AD54" t="s">
        <v>80</v>
      </c>
      <c r="AE54" s="2">
        <v>45904.869189814817</v>
      </c>
      <c r="AF54">
        <v>377</v>
      </c>
      <c r="AG54" t="s">
        <v>13</v>
      </c>
      <c r="AH54">
        <v>0</v>
      </c>
      <c r="AI54">
        <v>12.672000000000001</v>
      </c>
      <c r="AJ54">
        <v>9</v>
      </c>
      <c r="AK54">
        <v>-9.5000000000000001E-2</v>
      </c>
      <c r="AL54" t="s">
        <v>14</v>
      </c>
      <c r="AM54" t="s">
        <v>14</v>
      </c>
      <c r="AN54" t="s">
        <v>14</v>
      </c>
      <c r="AO54" t="s">
        <v>14</v>
      </c>
      <c r="AQ54">
        <v>1</v>
      </c>
      <c r="AS54" s="10">
        <v>90</v>
      </c>
      <c r="AT54" s="16">
        <f t="shared" si="20"/>
        <v>47.445944252687994</v>
      </c>
      <c r="AU54" s="17">
        <f t="shared" si="21"/>
        <v>-131.95070397467001</v>
      </c>
      <c r="AW54" s="6">
        <f t="shared" si="22"/>
        <v>36.325123852287042</v>
      </c>
      <c r="AX54" s="7">
        <f t="shared" si="23"/>
        <v>-101.83970206712</v>
      </c>
      <c r="AZ54" s="11">
        <f t="shared" si="24"/>
        <v>39.455870823152004</v>
      </c>
      <c r="BA54" s="12">
        <f t="shared" si="25"/>
        <v>-19.524036944100001</v>
      </c>
      <c r="BC54" s="13">
        <f t="shared" si="26"/>
        <v>43.526336931468805</v>
      </c>
      <c r="BD54" s="14">
        <f t="shared" si="27"/>
        <v>35.944995156200001</v>
      </c>
      <c r="BF54" s="16">
        <f t="shared" si="28"/>
        <v>47.445944252687994</v>
      </c>
      <c r="BG54" s="17">
        <f t="shared" si="29"/>
        <v>-131.95070397467001</v>
      </c>
      <c r="BI54">
        <v>90</v>
      </c>
      <c r="BJ54" t="s">
        <v>80</v>
      </c>
      <c r="BK54" s="2">
        <v>45904.869189814817</v>
      </c>
      <c r="BL54">
        <v>377</v>
      </c>
      <c r="BM54" t="s">
        <v>13</v>
      </c>
      <c r="BN54">
        <v>0</v>
      </c>
      <c r="BO54">
        <v>2.8719999999999999</v>
      </c>
      <c r="BP54" s="3">
        <v>1028733</v>
      </c>
      <c r="BQ54">
        <v>0</v>
      </c>
      <c r="BR54" t="s">
        <v>14</v>
      </c>
      <c r="BS54" t="s">
        <v>14</v>
      </c>
      <c r="BT54" t="s">
        <v>14</v>
      </c>
      <c r="BU54" t="s">
        <v>14</v>
      </c>
    </row>
    <row r="55" spans="1:73" x14ac:dyDescent="0.35">
      <c r="A55">
        <v>91</v>
      </c>
      <c r="B55" t="s">
        <v>81</v>
      </c>
      <c r="C55" s="2">
        <v>45904.890416666669</v>
      </c>
      <c r="D55">
        <v>185</v>
      </c>
      <c r="E55" t="s">
        <v>13</v>
      </c>
      <c r="F55">
        <v>0</v>
      </c>
      <c r="G55">
        <v>6.0469999999999997</v>
      </c>
      <c r="H55" s="3">
        <v>34172</v>
      </c>
      <c r="I55">
        <v>7.6999999999999999E-2</v>
      </c>
      <c r="J55" t="s">
        <v>14</v>
      </c>
      <c r="K55" t="s">
        <v>14</v>
      </c>
      <c r="L55" t="s">
        <v>14</v>
      </c>
      <c r="M55" t="s">
        <v>14</v>
      </c>
      <c r="O55">
        <v>91</v>
      </c>
      <c r="P55" t="s">
        <v>81</v>
      </c>
      <c r="Q55" s="2">
        <v>45904.890416666669</v>
      </c>
      <c r="R55">
        <v>185</v>
      </c>
      <c r="S55" t="s">
        <v>13</v>
      </c>
      <c r="T55">
        <v>0</v>
      </c>
      <c r="U55" t="s">
        <v>14</v>
      </c>
      <c r="V55" t="s">
        <v>14</v>
      </c>
      <c r="W55" t="s">
        <v>14</v>
      </c>
      <c r="X55" t="s">
        <v>14</v>
      </c>
      <c r="Y55" t="s">
        <v>14</v>
      </c>
      <c r="Z55" t="s">
        <v>14</v>
      </c>
      <c r="AA55" t="s">
        <v>14</v>
      </c>
      <c r="AC55">
        <v>91</v>
      </c>
      <c r="AD55" t="s">
        <v>81</v>
      </c>
      <c r="AE55" s="2">
        <v>45904.890416666669</v>
      </c>
      <c r="AF55">
        <v>185</v>
      </c>
      <c r="AG55" t="s">
        <v>13</v>
      </c>
      <c r="AH55">
        <v>0</v>
      </c>
      <c r="AI55" t="s">
        <v>14</v>
      </c>
      <c r="AJ55" t="s">
        <v>14</v>
      </c>
      <c r="AK55" t="s">
        <v>14</v>
      </c>
      <c r="AL55" t="s">
        <v>14</v>
      </c>
      <c r="AM55" t="s">
        <v>14</v>
      </c>
      <c r="AN55" t="s">
        <v>14</v>
      </c>
      <c r="AO55" t="s">
        <v>14</v>
      </c>
      <c r="AQ55">
        <v>2</v>
      </c>
      <c r="AR55" t="s">
        <v>89</v>
      </c>
      <c r="AS55" s="10">
        <v>91</v>
      </c>
      <c r="AT55" s="16">
        <f t="shared" si="20"/>
        <v>94.521192171408003</v>
      </c>
      <c r="AU55" s="17" t="e">
        <f t="shared" si="21"/>
        <v>#VALUE!</v>
      </c>
      <c r="AW55" s="6">
        <f t="shared" si="22"/>
        <v>77.671807381464646</v>
      </c>
      <c r="AX55" s="7" t="e">
        <f t="shared" si="23"/>
        <v>#VALUE!</v>
      </c>
      <c r="AZ55" s="11">
        <f t="shared" si="24"/>
        <v>91.723892754032008</v>
      </c>
      <c r="BA55" s="12" t="e">
        <f t="shared" si="25"/>
        <v>#VALUE!</v>
      </c>
      <c r="BC55" s="13">
        <f t="shared" si="26"/>
        <v>94.406388851340807</v>
      </c>
      <c r="BD55" s="14" t="e">
        <f t="shared" si="27"/>
        <v>#VALUE!</v>
      </c>
      <c r="BF55" s="16">
        <f t="shared" si="28"/>
        <v>94.521192171408003</v>
      </c>
      <c r="BG55" s="17" t="e">
        <f t="shared" si="29"/>
        <v>#VALUE!</v>
      </c>
      <c r="BI55">
        <v>91</v>
      </c>
      <c r="BJ55" t="s">
        <v>81</v>
      </c>
      <c r="BK55" s="2">
        <v>45904.890416666669</v>
      </c>
      <c r="BL55">
        <v>185</v>
      </c>
      <c r="BM55" t="s">
        <v>13</v>
      </c>
      <c r="BN55">
        <v>0</v>
      </c>
      <c r="BO55">
        <v>2.867</v>
      </c>
      <c r="BP55" s="3">
        <v>988122</v>
      </c>
      <c r="BQ55">
        <v>0</v>
      </c>
      <c r="BR55" t="s">
        <v>14</v>
      </c>
      <c r="BS55" t="s">
        <v>14</v>
      </c>
      <c r="BT55" t="s">
        <v>14</v>
      </c>
      <c r="BU55" t="s">
        <v>14</v>
      </c>
    </row>
    <row r="56" spans="1:73" x14ac:dyDescent="0.35">
      <c r="A56">
        <v>92</v>
      </c>
      <c r="B56" t="s">
        <v>82</v>
      </c>
      <c r="C56" s="2">
        <v>45905.452222222222</v>
      </c>
      <c r="D56" t="s">
        <v>83</v>
      </c>
      <c r="E56" t="s">
        <v>13</v>
      </c>
      <c r="F56">
        <v>0</v>
      </c>
      <c r="G56">
        <v>6.0720000000000001</v>
      </c>
      <c r="H56" s="3">
        <v>5006</v>
      </c>
      <c r="I56">
        <v>1.2E-2</v>
      </c>
      <c r="J56" t="s">
        <v>14</v>
      </c>
      <c r="K56" t="s">
        <v>14</v>
      </c>
      <c r="L56" t="s">
        <v>14</v>
      </c>
      <c r="M56" t="s">
        <v>14</v>
      </c>
      <c r="O56">
        <v>92</v>
      </c>
      <c r="P56" t="s">
        <v>82</v>
      </c>
      <c r="Q56" s="2">
        <v>45905.452222222222</v>
      </c>
      <c r="R56" t="s">
        <v>83</v>
      </c>
      <c r="S56" t="s">
        <v>13</v>
      </c>
      <c r="T56">
        <v>0</v>
      </c>
      <c r="U56" t="s">
        <v>14</v>
      </c>
      <c r="V56" t="s">
        <v>14</v>
      </c>
      <c r="W56" t="s">
        <v>14</v>
      </c>
      <c r="X56" t="s">
        <v>14</v>
      </c>
      <c r="Y56" t="s">
        <v>14</v>
      </c>
      <c r="Z56" t="s">
        <v>14</v>
      </c>
      <c r="AA56" t="s">
        <v>14</v>
      </c>
      <c r="AC56">
        <v>92</v>
      </c>
      <c r="AD56" t="s">
        <v>82</v>
      </c>
      <c r="AE56" s="2">
        <v>45905.452222222222</v>
      </c>
      <c r="AF56" t="s">
        <v>83</v>
      </c>
      <c r="AG56" t="s">
        <v>13</v>
      </c>
      <c r="AH56">
        <v>0</v>
      </c>
      <c r="AI56">
        <v>12.2</v>
      </c>
      <c r="AJ56" s="3">
        <v>24452</v>
      </c>
      <c r="AK56">
        <v>5.26</v>
      </c>
      <c r="AL56" t="s">
        <v>14</v>
      </c>
      <c r="AM56" t="s">
        <v>14</v>
      </c>
      <c r="AN56" t="s">
        <v>14</v>
      </c>
      <c r="AO56" t="s">
        <v>14</v>
      </c>
      <c r="AQ56">
        <v>2</v>
      </c>
      <c r="AR56" t="s">
        <v>88</v>
      </c>
      <c r="AS56" s="10">
        <v>92</v>
      </c>
      <c r="AT56" s="16">
        <f t="shared" si="20"/>
        <v>14.374726885747998</v>
      </c>
      <c r="AU56" s="17">
        <f t="shared" si="21"/>
        <v>5404.3814320827205</v>
      </c>
      <c r="AW56" s="6">
        <f t="shared" si="22"/>
        <v>6.0157326308000005</v>
      </c>
      <c r="AX56" s="7">
        <f t="shared" si="23"/>
        <v>4935.2699842419197</v>
      </c>
      <c r="AZ56" s="11">
        <f t="shared" si="24"/>
        <v>2.3988294400000001</v>
      </c>
      <c r="BA56" s="12">
        <f t="shared" si="25"/>
        <v>5671.8656713455994</v>
      </c>
      <c r="BC56" s="13">
        <f t="shared" si="26"/>
        <v>9.9006484570399991</v>
      </c>
      <c r="BD56" s="14">
        <f t="shared" si="27"/>
        <v>5011.0055618207998</v>
      </c>
      <c r="BF56" s="16">
        <f t="shared" si="28"/>
        <v>14.374726885747998</v>
      </c>
      <c r="BG56" s="17">
        <f t="shared" si="29"/>
        <v>5404.3814320827205</v>
      </c>
      <c r="BI56">
        <v>92</v>
      </c>
      <c r="BJ56" t="s">
        <v>82</v>
      </c>
      <c r="BK56" s="2">
        <v>45905.452222222222</v>
      </c>
      <c r="BL56" t="s">
        <v>83</v>
      </c>
      <c r="BM56" t="s">
        <v>13</v>
      </c>
      <c r="BN56">
        <v>0</v>
      </c>
      <c r="BO56">
        <v>2.839</v>
      </c>
      <c r="BP56" s="3">
        <v>1704298</v>
      </c>
      <c r="BQ56">
        <v>0</v>
      </c>
      <c r="BR56" t="s">
        <v>14</v>
      </c>
      <c r="BS56" t="s">
        <v>14</v>
      </c>
      <c r="BT56" t="s">
        <v>14</v>
      </c>
      <c r="BU56" t="s">
        <v>14</v>
      </c>
    </row>
    <row r="57" spans="1:73" x14ac:dyDescent="0.35">
      <c r="A57">
        <v>93</v>
      </c>
      <c r="B57" t="s">
        <v>84</v>
      </c>
      <c r="C57" s="2">
        <v>45905.473437499997</v>
      </c>
      <c r="D57" t="s">
        <v>85</v>
      </c>
      <c r="E57" t="s">
        <v>13</v>
      </c>
      <c r="F57">
        <v>0</v>
      </c>
      <c r="G57">
        <v>6.048</v>
      </c>
      <c r="H57" s="3">
        <v>113349</v>
      </c>
      <c r="I57">
        <v>0.25600000000000001</v>
      </c>
      <c r="J57" t="s">
        <v>14</v>
      </c>
      <c r="K57" t="s">
        <v>14</v>
      </c>
      <c r="L57" t="s">
        <v>14</v>
      </c>
      <c r="M57" t="s">
        <v>14</v>
      </c>
      <c r="O57">
        <v>93</v>
      </c>
      <c r="P57" t="s">
        <v>84</v>
      </c>
      <c r="Q57" s="2">
        <v>45905.473437499997</v>
      </c>
      <c r="R57" t="s">
        <v>85</v>
      </c>
      <c r="S57" t="s">
        <v>13</v>
      </c>
      <c r="T57">
        <v>0</v>
      </c>
      <c r="U57" t="s">
        <v>14</v>
      </c>
      <c r="V57" t="s">
        <v>14</v>
      </c>
      <c r="W57" t="s">
        <v>14</v>
      </c>
      <c r="X57" t="s">
        <v>14</v>
      </c>
      <c r="Y57" t="s">
        <v>14</v>
      </c>
      <c r="Z57" t="s">
        <v>14</v>
      </c>
      <c r="AA57" t="s">
        <v>14</v>
      </c>
      <c r="AC57">
        <v>93</v>
      </c>
      <c r="AD57" t="s">
        <v>84</v>
      </c>
      <c r="AE57" s="2">
        <v>45905.473437499997</v>
      </c>
      <c r="AF57" t="s">
        <v>85</v>
      </c>
      <c r="AG57" t="s">
        <v>13</v>
      </c>
      <c r="AH57">
        <v>0</v>
      </c>
      <c r="AI57">
        <v>12.183</v>
      </c>
      <c r="AJ57" s="3">
        <v>18731</v>
      </c>
      <c r="AK57">
        <v>4.0090000000000003</v>
      </c>
      <c r="AL57" t="s">
        <v>14</v>
      </c>
      <c r="AM57" t="s">
        <v>14</v>
      </c>
      <c r="AN57" t="s">
        <v>14</v>
      </c>
      <c r="AO57" t="s">
        <v>14</v>
      </c>
      <c r="AQ57">
        <v>2</v>
      </c>
      <c r="AR57" t="s">
        <v>88</v>
      </c>
      <c r="AS57" s="10">
        <v>93</v>
      </c>
      <c r="AT57" s="16">
        <f t="shared" si="20"/>
        <v>303.80199510433692</v>
      </c>
      <c r="AU57" s="17">
        <f t="shared" si="21"/>
        <v>4113.8324727857307</v>
      </c>
      <c r="AW57" s="6">
        <f t="shared" si="22"/>
        <v>262.63867441818741</v>
      </c>
      <c r="AX57" s="7">
        <f t="shared" si="23"/>
        <v>3759.0439987872801</v>
      </c>
      <c r="AZ57" s="11">
        <f t="shared" si="24"/>
        <v>314.23971762182299</v>
      </c>
      <c r="BA57" s="12">
        <f t="shared" si="25"/>
        <v>4388.6211503478989</v>
      </c>
      <c r="BC57" s="13">
        <f t="shared" si="26"/>
        <v>320.56724981267115</v>
      </c>
      <c r="BD57" s="14">
        <f t="shared" si="27"/>
        <v>3852.9741484121996</v>
      </c>
      <c r="BF57" s="16">
        <f t="shared" si="28"/>
        <v>303.80199510433692</v>
      </c>
      <c r="BG57" s="17">
        <f t="shared" si="29"/>
        <v>4113.8324727857307</v>
      </c>
      <c r="BI57">
        <v>93</v>
      </c>
      <c r="BJ57" t="s">
        <v>84</v>
      </c>
      <c r="BK57" s="2">
        <v>45905.473437499997</v>
      </c>
      <c r="BL57" t="s">
        <v>85</v>
      </c>
      <c r="BM57" t="s">
        <v>13</v>
      </c>
      <c r="BN57">
        <v>0</v>
      </c>
      <c r="BO57">
        <v>2.8410000000000002</v>
      </c>
      <c r="BP57" s="3">
        <v>1569978</v>
      </c>
      <c r="BQ57">
        <v>0</v>
      </c>
      <c r="BR57" t="s">
        <v>14</v>
      </c>
      <c r="BS57" t="s">
        <v>14</v>
      </c>
      <c r="BT57" t="s">
        <v>14</v>
      </c>
      <c r="BU57" t="s">
        <v>14</v>
      </c>
    </row>
    <row r="58" spans="1:73" x14ac:dyDescent="0.35">
      <c r="A58">
        <v>94</v>
      </c>
      <c r="B58" t="s">
        <v>86</v>
      </c>
      <c r="C58" s="2">
        <v>45905.494664351849</v>
      </c>
      <c r="D58" t="s">
        <v>87</v>
      </c>
      <c r="E58" t="s">
        <v>13</v>
      </c>
      <c r="F58">
        <v>0</v>
      </c>
      <c r="G58">
        <v>6.0460000000000003</v>
      </c>
      <c r="H58" s="3">
        <v>27659</v>
      </c>
      <c r="I58">
        <v>6.3E-2</v>
      </c>
      <c r="J58" t="s">
        <v>14</v>
      </c>
      <c r="K58" t="s">
        <v>14</v>
      </c>
      <c r="L58" t="s">
        <v>14</v>
      </c>
      <c r="M58" t="s">
        <v>14</v>
      </c>
      <c r="O58">
        <v>94</v>
      </c>
      <c r="P58" t="s">
        <v>86</v>
      </c>
      <c r="Q58" s="2">
        <v>45905.494664351849</v>
      </c>
      <c r="R58" t="s">
        <v>87</v>
      </c>
      <c r="S58" t="s">
        <v>13</v>
      </c>
      <c r="T58">
        <v>0</v>
      </c>
      <c r="U58" t="s">
        <v>14</v>
      </c>
      <c r="V58" t="s">
        <v>14</v>
      </c>
      <c r="W58" t="s">
        <v>14</v>
      </c>
      <c r="X58" t="s">
        <v>14</v>
      </c>
      <c r="Y58" t="s">
        <v>14</v>
      </c>
      <c r="Z58" t="s">
        <v>14</v>
      </c>
      <c r="AA58" t="s">
        <v>14</v>
      </c>
      <c r="AC58">
        <v>94</v>
      </c>
      <c r="AD58" t="s">
        <v>86</v>
      </c>
      <c r="AE58" s="2">
        <v>45905.494664351849</v>
      </c>
      <c r="AF58" t="s">
        <v>87</v>
      </c>
      <c r="AG58" t="s">
        <v>13</v>
      </c>
      <c r="AH58">
        <v>0</v>
      </c>
      <c r="AI58">
        <v>12.22</v>
      </c>
      <c r="AJ58" s="3">
        <v>9285</v>
      </c>
      <c r="AK58">
        <v>1.94</v>
      </c>
      <c r="AL58" t="s">
        <v>14</v>
      </c>
      <c r="AM58" t="s">
        <v>14</v>
      </c>
      <c r="AN58" t="s">
        <v>14</v>
      </c>
      <c r="AO58" t="s">
        <v>14</v>
      </c>
      <c r="AQ58">
        <v>2</v>
      </c>
      <c r="AR58" t="s">
        <v>88</v>
      </c>
      <c r="AS58" s="10">
        <v>94</v>
      </c>
      <c r="AT58" s="16">
        <f t="shared" si="20"/>
        <v>77.159237666096999</v>
      </c>
      <c r="AU58" s="17">
        <f t="shared" si="21"/>
        <v>1975.9641151892502</v>
      </c>
      <c r="AW58" s="6">
        <f t="shared" si="22"/>
        <v>62.41171726656826</v>
      </c>
      <c r="AX58" s="7">
        <f t="shared" si="23"/>
        <v>1813.3093895379998</v>
      </c>
      <c r="AZ58" s="11">
        <f t="shared" si="24"/>
        <v>72.539900016863001</v>
      </c>
      <c r="BA58" s="12">
        <f t="shared" si="25"/>
        <v>2204.4990602775001</v>
      </c>
      <c r="BC58" s="13">
        <f t="shared" si="26"/>
        <v>75.641503142847199</v>
      </c>
      <c r="BD58" s="14">
        <f t="shared" si="27"/>
        <v>1932.3695687449999</v>
      </c>
      <c r="BF58" s="16">
        <f t="shared" si="28"/>
        <v>77.159237666096999</v>
      </c>
      <c r="BG58" s="17">
        <f t="shared" si="29"/>
        <v>1975.9641151892502</v>
      </c>
      <c r="BI58">
        <v>94</v>
      </c>
      <c r="BJ58" t="s">
        <v>86</v>
      </c>
      <c r="BK58" s="2">
        <v>45905.494664351849</v>
      </c>
      <c r="BL58" t="s">
        <v>87</v>
      </c>
      <c r="BM58" t="s">
        <v>13</v>
      </c>
      <c r="BN58">
        <v>0</v>
      </c>
      <c r="BO58">
        <v>2.8319999999999999</v>
      </c>
      <c r="BP58" s="3">
        <v>1663952</v>
      </c>
      <c r="BQ58">
        <v>0</v>
      </c>
      <c r="BR58" t="s">
        <v>14</v>
      </c>
      <c r="BS58" t="s">
        <v>14</v>
      </c>
      <c r="BT58" t="s">
        <v>14</v>
      </c>
      <c r="BU58" t="s">
        <v>14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2025-09-05T18:15:24Z</dcterms:modified>
</cp:coreProperties>
</file>