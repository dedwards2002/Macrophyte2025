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B24C47C2-003F-49AA-88C0-A3D770BF14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30" i="1" l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19" i="1" l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</calcChain>
</file>

<file path=xl/sharedStrings.xml><?xml version="1.0" encoding="utf-8"?>
<sst xmlns="http://schemas.openxmlformats.org/spreadsheetml/2006/main" count="790" uniqueCount="70">
  <si>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</si>
  <si>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</si>
  <si>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</si>
  <si>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</si>
  <si>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</si>
  <si>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</si>
  <si>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</si>
  <si>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</si>
  <si>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</si>
  <si>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</si>
  <si>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</si>
  <si>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</si>
  <si>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</si>
  <si>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</si>
  <si>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</si>
  <si>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</si>
  <si>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</si>
  <si>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</si>
  <si>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</si>
  <si>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</si>
  <si>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</si>
  <si>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</si>
  <si>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</si>
  <si>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</si>
  <si>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</si>
  <si>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</si>
  <si>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</si>
  <si>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</si>
  <si>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</si>
  <si>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 xml:space="preserve">QC spiked air 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</si>
  <si>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</si>
  <si>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</si>
  <si>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</si>
  <si>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</si>
  <si>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</si>
  <si>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DXE20250909_001.gcd</t>
  </si>
  <si>
    <t>DXE20250909_002.gcd</t>
  </si>
  <si>
    <t>DXE20250909_003.gcd</t>
  </si>
  <si>
    <t>DXE20250909_004.gcd</t>
  </si>
  <si>
    <t>DXE20250909_005.gcd</t>
  </si>
  <si>
    <t>DXE20250909_006.gcd</t>
  </si>
  <si>
    <t>DXE20250909_007.gcd</t>
  </si>
  <si>
    <t>DXE20250909_008.gcd</t>
  </si>
  <si>
    <t>DXE20250909_009.gcd</t>
  </si>
  <si>
    <t>DXE20250909_010.gcd</t>
  </si>
  <si>
    <t>DXE20250909_011.gcd</t>
  </si>
  <si>
    <t>DXE20250909_012.gcd</t>
  </si>
  <si>
    <t>DXE20250909_013.gcd</t>
  </si>
  <si>
    <t>DXE20250909_014.gcd</t>
  </si>
  <si>
    <t>DXE20250909_015.gcd</t>
  </si>
  <si>
    <t>DXE20250909_016.gcd</t>
  </si>
  <si>
    <t>DXE20250909_017.gcd</t>
  </si>
  <si>
    <t>DXE20250909_018.gcd</t>
  </si>
  <si>
    <t>DXE20250909_019.gcd</t>
  </si>
  <si>
    <t>DXE20250909_020.gcd</t>
  </si>
  <si>
    <t>DXE20250909_021.gcd</t>
  </si>
  <si>
    <t>DXE20250909_022.gcd</t>
  </si>
  <si>
    <t>069 rerun</t>
  </si>
  <si>
    <t>DXE20250909_023.gcd</t>
  </si>
  <si>
    <t>375 rerun</t>
  </si>
  <si>
    <t>DXE20250909_024.gcd</t>
  </si>
  <si>
    <t>186 rerun</t>
  </si>
  <si>
    <t>DXE20250909_025.gcd</t>
  </si>
  <si>
    <t>229 rerun</t>
  </si>
  <si>
    <t>resampled due to AOC error</t>
  </si>
  <si>
    <t>Resampled due to AOC, and CO2 interference. Do not use CO2. Use CH4.</t>
  </si>
  <si>
    <t>CO2 interference. Do not use CO2. Use CH4.</t>
  </si>
  <si>
    <t>bad reinjection- do not use.</t>
  </si>
  <si>
    <t>Reinjection. Use CO2. Do not use CH4. Resampled multiple times- if dups don't match, discard this one.</t>
  </si>
  <si>
    <t>Reinjection. Use CO2. Do not use CH4. Integration still messy- if dups don't match,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</si>
</sst>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Z1" workbookViewId="0">
      <selection activeCell="AR32" sqref="AR32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30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33</v>
      </c>
      <c r="BE8" s="8"/>
      <c r="BF8" s="5" t="s">
        <v>31</v>
      </c>
      <c r="BG8" s="5" t="s">
        <v>32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45909.524583333332</v>
      </c>
      <c r="D9" t="s">
        <v>34</v>
      </c>
      <c r="E9" t="s">
        <v>13</v>
      </c>
      <c r="F9">
        <v>0</v>
      </c>
      <c r="G9">
        <v>6.1</v>
      </c>
      <c r="H9" s="3">
        <v>1697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45909.524583333332</v>
      </c>
      <c r="R9" t="s">
        <v>34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45909.524583333332</v>
      </c>
      <c r="AF9" t="s">
        <v>34</v>
      </c>
      <c r="AG9" t="s">
        <v>13</v>
      </c>
      <c r="AH9">
        <v>0</v>
      </c>
      <c r="AI9">
        <v>12.365</v>
      </c>
      <c r="AJ9" s="3">
        <v>2425</v>
      </c>
      <c r="AK9">
        <v>0.436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8" si="0">IF(H9&lt;10000,((H9^2*0.000000008493)+(H9*0.003482)+(-3.269)),(IF(H9&lt;200000,((H9^2*-0.000000000263)+(H9*0.002682)+(3.179)),(IF(H9&lt;8000000,((H9^2*-0.000000000005099)+(H9*0.002054)+(174.8)),((V9^2*-0.00000001014)+(V9*0.2415)+(1123)))))))</f>
        <v>2.6644122178369996</v>
      </c>
      <c r="AU9" s="17">
        <f t="shared" ref="AU9:AU18" si="1">IF(AJ9&lt;45000,((-0.00000004907*AJ9^2)+(0.2277*AJ9)+(-134)),((-0.00000001062*AJ9^2)+(0.2147*AJ9)+(590.6)))</f>
        <v>417.88393773125006</v>
      </c>
      <c r="AW9" s="6">
        <f t="shared" ref="AW9:AW18" si="2">IF(H9&lt;10000,((0.0000001453*H9^2)+(0.0008349*H9)+(-1.805)),(IF(H9&lt;700000,((-0.00000000008054*H9^2)+(0.002348*H9)+(-2.47)), ((-0.00000001938*V9^2)+(0.2471*V9)+(226.8)))))</f>
        <v>3.0261547700000113E-2</v>
      </c>
      <c r="AX9" s="7">
        <f t="shared" ref="AX9:AX18" si="3">(-0.00000002552*AJ9^2)+(0.2067*AJ9)+(-103.7)</f>
        <v>397.39742645000001</v>
      </c>
      <c r="AZ9" s="11">
        <f t="shared" ref="AZ9:AZ18" si="4">IF(H9&lt;10000,((H9^2*0.00000054)+(H9*-0.004765)+(12.72)),(IF(H9&lt;200000,((H9^2*-0.000000001577)+(H9*0.003043)+(-10.42)),(IF(H9&lt;8000000,((H9^2*-0.0000000000186)+(H9*0.00194)+(154.1)),((V9^2*-0.00000002)+(V9*0.2565)+(-1032)))))))</f>
        <v>6.1888918600000009</v>
      </c>
      <c r="BA9" s="12">
        <f t="shared" ref="BA9:BA18" si="5">IF(AJ9&lt;45000,((-0.0000004561*AJ9^2)+(0.244*AJ9)+(-21.72)),((-0.0000000409*AJ9^2)+(0.2477*AJ9)+(-1777)))</f>
        <v>567.29784693749991</v>
      </c>
      <c r="BC9" s="13">
        <f t="shared" ref="BC9:BC18" si="6">IF(H9&lt;10000,((H9^2*0.00000005714)+(H9*0.002453)+(-3.811)),(IF(H9&lt;200000,((H9^2*-0.0000000002888)+(H9*0.002899)+(-4.321)),(IF(H9&lt;8000000,((H9^2*-0.0000000000062)+(H9*0.002143)+(157)),((V9^2*-0.000000031)+(V9*0.2771)+(-709.5)))))))</f>
        <v>0.51629328625999982</v>
      </c>
      <c r="BD9" s="14">
        <f t="shared" ref="BD9:BD18" si="7">IF(AJ9&lt;45000,((-0.0000000598*AJ9^2)+(0.205*AJ9)+(34.1)),((-0.00000002403*AJ9^2)+(0.2063*AJ9)+(-550.7)))</f>
        <v>530.87333862499997</v>
      </c>
      <c r="BF9" s="16">
        <f t="shared" ref="BF9:BF18" si="8">IF(H9&lt;10000,((H9^2*0.000000008493)+(H9*0.003482)+(-3.269)),(IF(H9&lt;200000,((H9^2*-0.000000000263)+(H9*0.002682)+(3.179)),(IF(H9&lt;8000000,((H9^2*-0.000000000005099)+(H9*0.002054)+(174.8)),((V9^2*-0.00000001014)+(V9*0.2415)+(1123)))))))</f>
        <v>2.6644122178369996</v>
      </c>
      <c r="BG9" s="17">
        <f t="shared" ref="BG9:BG18" si="9">IF(AJ9&lt;45000,((-0.00000004907*AJ9^2)+(0.2277*AJ9)+(-134)),((-0.00000001062*AJ9^2)+(0.2147*AJ9)+(590.6)))</f>
        <v>417.88393773125006</v>
      </c>
      <c r="BI9">
        <v>45</v>
      </c>
      <c r="BJ9" t="s">
        <v>35</v>
      </c>
      <c r="BK9" s="2">
        <v>45909.524583333332</v>
      </c>
      <c r="BL9" t="s">
        <v>34</v>
      </c>
      <c r="BM9" t="s">
        <v>13</v>
      </c>
      <c r="BN9">
        <v>0</v>
      </c>
      <c r="BO9">
        <v>2.7280000000000002</v>
      </c>
      <c r="BP9" s="3">
        <v>5039089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45909.575289351851</v>
      </c>
      <c r="D10" t="s">
        <v>29</v>
      </c>
      <c r="E10" t="s">
        <v>13</v>
      </c>
      <c r="F10">
        <v>0</v>
      </c>
      <c r="G10">
        <v>6.069</v>
      </c>
      <c r="H10" s="3">
        <v>1036230</v>
      </c>
      <c r="I10">
        <v>2.3410000000000002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45909.575289351851</v>
      </c>
      <c r="R10" t="s">
        <v>29</v>
      </c>
      <c r="S10" t="s">
        <v>13</v>
      </c>
      <c r="T10">
        <v>0</v>
      </c>
      <c r="U10">
        <v>6.0250000000000004</v>
      </c>
      <c r="V10" s="3">
        <v>8383</v>
      </c>
      <c r="W10">
        <v>2.1640000000000001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45909.575289351851</v>
      </c>
      <c r="AF10" t="s">
        <v>29</v>
      </c>
      <c r="AG10" t="s">
        <v>13</v>
      </c>
      <c r="AH10">
        <v>0</v>
      </c>
      <c r="AI10">
        <v>12.379</v>
      </c>
      <c r="AJ10" s="3">
        <v>8786</v>
      </c>
      <c r="AK10">
        <v>1.831</v>
      </c>
      <c r="AL10" t="s">
        <v>14</v>
      </c>
      <c r="AM10" t="s">
        <v>14</v>
      </c>
      <c r="AN10" t="s">
        <v>14</v>
      </c>
      <c r="AO10" t="s">
        <v>14</v>
      </c>
      <c r="AQ10">
        <v>2</v>
      </c>
      <c r="AR10" t="s">
        <v>64</v>
      </c>
      <c r="AS10" s="10">
        <v>46</v>
      </c>
      <c r="AT10" s="16">
        <f t="shared" si="0"/>
        <v>2297.7412534468231</v>
      </c>
      <c r="AU10" s="17">
        <f t="shared" si="1"/>
        <v>1862.7843004302802</v>
      </c>
      <c r="AW10" s="6">
        <f t="shared" si="2"/>
        <v>2296.8773765271803</v>
      </c>
      <c r="AX10" s="7">
        <f t="shared" si="3"/>
        <v>1710.3962143260799</v>
      </c>
      <c r="AZ10" s="11">
        <f t="shared" si="4"/>
        <v>2144.4140294000599</v>
      </c>
      <c r="BA10" s="12">
        <f t="shared" si="5"/>
        <v>2086.8559096444005</v>
      </c>
      <c r="BC10" s="13">
        <f t="shared" si="6"/>
        <v>2370.9834998000201</v>
      </c>
      <c r="BD10" s="14">
        <f t="shared" si="7"/>
        <v>1830.6138109991998</v>
      </c>
      <c r="BF10" s="16">
        <f t="shared" si="8"/>
        <v>2297.7412534468231</v>
      </c>
      <c r="BG10" s="17">
        <f t="shared" si="9"/>
        <v>1862.7843004302802</v>
      </c>
      <c r="BI10">
        <v>46</v>
      </c>
      <c r="BJ10" t="s">
        <v>36</v>
      </c>
      <c r="BK10" s="2">
        <v>45909.575289351851</v>
      </c>
      <c r="BL10" t="s">
        <v>29</v>
      </c>
      <c r="BM10" t="s">
        <v>13</v>
      </c>
      <c r="BN10">
        <v>0</v>
      </c>
      <c r="BO10">
        <v>2.726</v>
      </c>
      <c r="BP10" s="3">
        <v>5133064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45909.596493055556</v>
      </c>
      <c r="D11" t="s">
        <v>28</v>
      </c>
      <c r="E11" t="s">
        <v>13</v>
      </c>
      <c r="F11">
        <v>0</v>
      </c>
      <c r="G11">
        <v>6.0830000000000002</v>
      </c>
      <c r="H11" s="3">
        <v>2739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45909.596493055556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45909.596493055556</v>
      </c>
      <c r="AF11" t="s">
        <v>28</v>
      </c>
      <c r="AG11" t="s">
        <v>13</v>
      </c>
      <c r="AH11">
        <v>0</v>
      </c>
      <c r="AI11">
        <v>12.359</v>
      </c>
      <c r="AJ11" s="3">
        <v>1628</v>
      </c>
      <c r="AK11">
        <v>0.26100000000000001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6.3319135136529994</v>
      </c>
      <c r="AU11" s="17">
        <f t="shared" si="1"/>
        <v>236.56554565712003</v>
      </c>
      <c r="AW11" s="6">
        <f t="shared" si="2"/>
        <v>1.5718492813000002</v>
      </c>
      <c r="AX11" s="7">
        <f t="shared" si="3"/>
        <v>232.73996220031995</v>
      </c>
      <c r="AZ11" s="11">
        <f t="shared" si="4"/>
        <v>3.7198103400000004</v>
      </c>
      <c r="BA11" s="12">
        <f t="shared" si="5"/>
        <v>374.30315985760001</v>
      </c>
      <c r="BC11" s="13">
        <f t="shared" si="6"/>
        <v>3.3364381939399994</v>
      </c>
      <c r="BD11" s="14">
        <f t="shared" si="7"/>
        <v>367.68150703679999</v>
      </c>
      <c r="BF11" s="16">
        <f t="shared" si="8"/>
        <v>6.3319135136529994</v>
      </c>
      <c r="BG11" s="17">
        <f t="shared" si="9"/>
        <v>236.56554565712003</v>
      </c>
      <c r="BI11">
        <v>47</v>
      </c>
      <c r="BJ11" t="s">
        <v>37</v>
      </c>
      <c r="BK11" s="2">
        <v>45909.596493055556</v>
      </c>
      <c r="BL11" t="s">
        <v>28</v>
      </c>
      <c r="BM11" t="s">
        <v>13</v>
      </c>
      <c r="BN11">
        <v>0</v>
      </c>
      <c r="BO11">
        <v>2.7250000000000001</v>
      </c>
      <c r="BP11" s="3">
        <v>5088340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45909.617708333331</v>
      </c>
      <c r="D12">
        <v>326</v>
      </c>
      <c r="E12" t="s">
        <v>13</v>
      </c>
      <c r="F12">
        <v>0</v>
      </c>
      <c r="G12">
        <v>6.0940000000000003</v>
      </c>
      <c r="H12" s="3">
        <v>1400</v>
      </c>
      <c r="I12">
        <v>4.0000000000000001E-3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45909.617708333331</v>
      </c>
      <c r="R12">
        <v>326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45909.617708333331</v>
      </c>
      <c r="AF12">
        <v>326</v>
      </c>
      <c r="AG12" t="s">
        <v>13</v>
      </c>
      <c r="AH12">
        <v>0</v>
      </c>
      <c r="AI12">
        <v>12.103</v>
      </c>
      <c r="AJ12" s="3">
        <v>214507</v>
      </c>
      <c r="AK12">
        <v>46.255000000000003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1.6224462799999992</v>
      </c>
      <c r="AU12" s="17">
        <f t="shared" si="1"/>
        <v>46156.592152619618</v>
      </c>
      <c r="AW12" s="6">
        <f t="shared" si="2"/>
        <v>-0.35135199999999989</v>
      </c>
      <c r="AX12" s="7">
        <f t="shared" si="3"/>
        <v>43060.638682189521</v>
      </c>
      <c r="AZ12" s="11">
        <f t="shared" si="4"/>
        <v>7.1074000000000002</v>
      </c>
      <c r="BA12" s="12">
        <f t="shared" si="5"/>
        <v>49474.441850295902</v>
      </c>
      <c r="BC12" s="13">
        <f t="shared" si="6"/>
        <v>-0.26480560000000031</v>
      </c>
      <c r="BD12" s="14">
        <f t="shared" si="7"/>
        <v>42596.395629232531</v>
      </c>
      <c r="BF12" s="16">
        <f t="shared" si="8"/>
        <v>1.6224462799999992</v>
      </c>
      <c r="BG12" s="17">
        <f t="shared" si="9"/>
        <v>46156.592152619618</v>
      </c>
      <c r="BI12">
        <v>48</v>
      </c>
      <c r="BJ12" t="s">
        <v>38</v>
      </c>
      <c r="BK12" s="2">
        <v>45909.617708333331</v>
      </c>
      <c r="BL12">
        <v>326</v>
      </c>
      <c r="BM12" t="s">
        <v>13</v>
      </c>
      <c r="BN12">
        <v>0</v>
      </c>
      <c r="BO12">
        <v>2.8839999999999999</v>
      </c>
      <c r="BP12" s="3">
        <v>795189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45909.638912037037</v>
      </c>
      <c r="D13">
        <v>213</v>
      </c>
      <c r="E13" t="s">
        <v>13</v>
      </c>
      <c r="F13">
        <v>0</v>
      </c>
      <c r="G13">
        <v>6.0759999999999996</v>
      </c>
      <c r="H13" s="3">
        <v>2855</v>
      </c>
      <c r="I13">
        <v>7.0000000000000001E-3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45909.638912037037</v>
      </c>
      <c r="R13">
        <v>213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45909.638912037037</v>
      </c>
      <c r="AF13">
        <v>213</v>
      </c>
      <c r="AG13" t="s">
        <v>13</v>
      </c>
      <c r="AH13">
        <v>0</v>
      </c>
      <c r="AI13">
        <v>12.319000000000001</v>
      </c>
      <c r="AJ13" s="3">
        <v>6363</v>
      </c>
      <c r="AK13">
        <v>1.2989999999999999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6.741336655325</v>
      </c>
      <c r="AU13" s="17">
        <f t="shared" si="1"/>
        <v>1312.8683651751701</v>
      </c>
      <c r="AW13" s="6">
        <f t="shared" si="2"/>
        <v>1.7629834324999998</v>
      </c>
      <c r="AX13" s="7">
        <f t="shared" si="3"/>
        <v>1210.4988521351199</v>
      </c>
      <c r="AZ13" s="11">
        <f t="shared" si="4"/>
        <v>3.5174785000000011</v>
      </c>
      <c r="BA13" s="12">
        <f t="shared" si="5"/>
        <v>1512.3855285590998</v>
      </c>
      <c r="BC13" s="13">
        <f t="shared" si="6"/>
        <v>3.6580645684999995</v>
      </c>
      <c r="BD13" s="14">
        <f t="shared" si="7"/>
        <v>1336.0938314137998</v>
      </c>
      <c r="BF13" s="16">
        <f t="shared" si="8"/>
        <v>6.741336655325</v>
      </c>
      <c r="BG13" s="17">
        <f t="shared" si="9"/>
        <v>1312.8683651751701</v>
      </c>
      <c r="BI13">
        <v>49</v>
      </c>
      <c r="BJ13" t="s">
        <v>39</v>
      </c>
      <c r="BK13" s="2">
        <v>45909.638912037037</v>
      </c>
      <c r="BL13">
        <v>213</v>
      </c>
      <c r="BM13" t="s">
        <v>13</v>
      </c>
      <c r="BN13">
        <v>0</v>
      </c>
      <c r="BO13">
        <v>2.8839999999999999</v>
      </c>
      <c r="BP13" s="3">
        <v>813161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45909.660138888888</v>
      </c>
      <c r="D14">
        <v>167</v>
      </c>
      <c r="E14" t="s">
        <v>13</v>
      </c>
      <c r="F14">
        <v>0</v>
      </c>
      <c r="G14">
        <v>6.093</v>
      </c>
      <c r="H14" s="3">
        <v>1270</v>
      </c>
      <c r="I14">
        <v>3.0000000000000001E-3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45909.660138888888</v>
      </c>
      <c r="R14">
        <v>167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45909.660138888888</v>
      </c>
      <c r="AF14">
        <v>167</v>
      </c>
      <c r="AG14" t="s">
        <v>13</v>
      </c>
      <c r="AH14">
        <v>0</v>
      </c>
      <c r="AI14">
        <v>12.272</v>
      </c>
      <c r="AJ14" s="3">
        <v>44275</v>
      </c>
      <c r="AK14">
        <v>9.5890000000000004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1.1668383596999998</v>
      </c>
      <c r="AU14" s="17">
        <f t="shared" si="1"/>
        <v>9851.2267750812516</v>
      </c>
      <c r="AW14" s="6">
        <f t="shared" si="2"/>
        <v>-0.51032263000000011</v>
      </c>
      <c r="AX14" s="7">
        <f t="shared" si="3"/>
        <v>8997.9162660499987</v>
      </c>
      <c r="AZ14" s="11">
        <f t="shared" si="4"/>
        <v>7.539416000000001</v>
      </c>
      <c r="BA14" s="12">
        <f t="shared" si="5"/>
        <v>9887.2982874375011</v>
      </c>
      <c r="BC14" s="13">
        <f t="shared" si="6"/>
        <v>-0.60352889400000009</v>
      </c>
      <c r="BD14" s="14">
        <f t="shared" si="7"/>
        <v>8993.2505176249997</v>
      </c>
      <c r="BF14" s="16">
        <f t="shared" si="8"/>
        <v>1.1668383596999998</v>
      </c>
      <c r="BG14" s="17">
        <f t="shared" si="9"/>
        <v>9851.2267750812516</v>
      </c>
      <c r="BI14">
        <v>50</v>
      </c>
      <c r="BJ14" t="s">
        <v>40</v>
      </c>
      <c r="BK14" s="2">
        <v>45909.660138888888</v>
      </c>
      <c r="BL14">
        <v>167</v>
      </c>
      <c r="BM14" t="s">
        <v>13</v>
      </c>
      <c r="BN14">
        <v>0</v>
      </c>
      <c r="BO14">
        <v>2.8820000000000001</v>
      </c>
      <c r="BP14" s="3">
        <v>816109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45909.68136574074</v>
      </c>
      <c r="D15">
        <v>221</v>
      </c>
      <c r="E15" t="s">
        <v>13</v>
      </c>
      <c r="F15">
        <v>0</v>
      </c>
      <c r="G15">
        <v>6.0640000000000001</v>
      </c>
      <c r="H15" s="3">
        <v>17461</v>
      </c>
      <c r="I15">
        <v>0.04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45909.68136574074</v>
      </c>
      <c r="R15">
        <v>221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45909.68136574074</v>
      </c>
      <c r="AF15">
        <v>221</v>
      </c>
      <c r="AG15" t="s">
        <v>13</v>
      </c>
      <c r="AH15">
        <v>0</v>
      </c>
      <c r="AI15">
        <v>12.34</v>
      </c>
      <c r="AJ15" s="3">
        <v>491</v>
      </c>
      <c r="AK15">
        <v>1.0999999999999999E-2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si="0"/>
        <v>49.929216844976999</v>
      </c>
      <c r="AU15" s="17">
        <f t="shared" si="1"/>
        <v>-22.211129844669998</v>
      </c>
      <c r="AW15" s="6">
        <f t="shared" si="2"/>
        <v>38.503872439598659</v>
      </c>
      <c r="AX15" s="7">
        <f t="shared" si="3"/>
        <v>-2.2164523871200004</v>
      </c>
      <c r="AZ15" s="11">
        <f t="shared" si="4"/>
        <v>42.233016956382997</v>
      </c>
      <c r="BA15" s="12">
        <f t="shared" si="5"/>
        <v>97.974042955900003</v>
      </c>
      <c r="BC15" s="13">
        <f t="shared" si="6"/>
        <v>46.210387772735203</v>
      </c>
      <c r="BD15" s="14">
        <f t="shared" si="7"/>
        <v>134.74058335619998</v>
      </c>
      <c r="BF15" s="16">
        <f t="shared" si="8"/>
        <v>49.929216844976999</v>
      </c>
      <c r="BG15" s="17">
        <f t="shared" si="9"/>
        <v>-22.211129844669998</v>
      </c>
      <c r="BI15">
        <v>51</v>
      </c>
      <c r="BJ15" t="s">
        <v>41</v>
      </c>
      <c r="BK15" s="2">
        <v>45909.68136574074</v>
      </c>
      <c r="BL15">
        <v>221</v>
      </c>
      <c r="BM15" t="s">
        <v>13</v>
      </c>
      <c r="BN15">
        <v>0</v>
      </c>
      <c r="BO15">
        <v>2.879</v>
      </c>
      <c r="BP15" s="3">
        <v>916558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45909.702546296299</v>
      </c>
      <c r="D16">
        <v>281</v>
      </c>
      <c r="E16" t="s">
        <v>13</v>
      </c>
      <c r="F16">
        <v>0</v>
      </c>
      <c r="G16">
        <v>6.1029999999999998</v>
      </c>
      <c r="H16" s="3">
        <v>1399</v>
      </c>
      <c r="I16">
        <v>4.0000000000000001E-3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45909.702546296299</v>
      </c>
      <c r="R16">
        <v>281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45909.702546296299</v>
      </c>
      <c r="AF16">
        <v>281</v>
      </c>
      <c r="AG16" t="s">
        <v>13</v>
      </c>
      <c r="AH16">
        <v>0</v>
      </c>
      <c r="AI16">
        <v>12.106999999999999</v>
      </c>
      <c r="AJ16" s="3">
        <v>218059</v>
      </c>
      <c r="AK16">
        <v>47.01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0"/>
        <v>1.6189405080929991</v>
      </c>
      <c r="AU16" s="17">
        <f t="shared" si="1"/>
        <v>46902.88919415178</v>
      </c>
      <c r="AW16" s="6">
        <f t="shared" si="2"/>
        <v>-0.35259359470000007</v>
      </c>
      <c r="AX16" s="7">
        <f t="shared" si="3"/>
        <v>43755.626254684881</v>
      </c>
      <c r="AZ16" s="11">
        <f t="shared" si="4"/>
        <v>7.1106535400000004</v>
      </c>
      <c r="BA16" s="12">
        <f t="shared" si="5"/>
        <v>50291.430446027101</v>
      </c>
      <c r="BC16" s="13">
        <f t="shared" si="6"/>
        <v>-0.26741853486000045</v>
      </c>
      <c r="BD16" s="14">
        <f t="shared" si="7"/>
        <v>43292.25174863157</v>
      </c>
      <c r="BF16" s="16">
        <f t="shared" si="8"/>
        <v>1.6189405080929991</v>
      </c>
      <c r="BG16" s="17">
        <f t="shared" si="9"/>
        <v>46902.88919415178</v>
      </c>
      <c r="BI16">
        <v>52</v>
      </c>
      <c r="BJ16" t="s">
        <v>42</v>
      </c>
      <c r="BK16" s="2">
        <v>45909.702546296299</v>
      </c>
      <c r="BL16">
        <v>281</v>
      </c>
      <c r="BM16" t="s">
        <v>13</v>
      </c>
      <c r="BN16">
        <v>0</v>
      </c>
      <c r="BO16">
        <v>2.8809999999999998</v>
      </c>
      <c r="BP16" s="3">
        <v>843971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45909.723773148151</v>
      </c>
      <c r="D17">
        <v>12</v>
      </c>
      <c r="E17" t="s">
        <v>13</v>
      </c>
      <c r="F17">
        <v>0</v>
      </c>
      <c r="G17">
        <v>6.0579999999999998</v>
      </c>
      <c r="H17" s="3">
        <v>454513</v>
      </c>
      <c r="I17">
        <v>1.026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45909.723773148151</v>
      </c>
      <c r="R17">
        <v>12</v>
      </c>
      <c r="S17" t="s">
        <v>13</v>
      </c>
      <c r="T17">
        <v>0</v>
      </c>
      <c r="U17">
        <v>6.0140000000000002</v>
      </c>
      <c r="V17" s="3">
        <v>4577</v>
      </c>
      <c r="W17">
        <v>1.2230000000000001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45909.723773148151</v>
      </c>
      <c r="AF17">
        <v>12</v>
      </c>
      <c r="AG17" t="s">
        <v>13</v>
      </c>
      <c r="AH17">
        <v>0</v>
      </c>
      <c r="AI17">
        <v>12.135999999999999</v>
      </c>
      <c r="AJ17" s="3">
        <v>172810</v>
      </c>
      <c r="AK17">
        <v>37.356000000000002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0"/>
        <v>1107.3163400395051</v>
      </c>
      <c r="AU17" s="17">
        <f t="shared" si="1"/>
        <v>37375.758795417998</v>
      </c>
      <c r="AW17" s="6">
        <f t="shared" si="2"/>
        <v>1048.0884043102087</v>
      </c>
      <c r="AX17" s="7">
        <f t="shared" si="3"/>
        <v>34854.015683527999</v>
      </c>
      <c r="AZ17" s="11">
        <f t="shared" si="4"/>
        <v>1032.0127935506566</v>
      </c>
      <c r="BA17" s="12">
        <f t="shared" si="5"/>
        <v>39806.628189510004</v>
      </c>
      <c r="BC17" s="13">
        <f t="shared" si="6"/>
        <v>1129.7405501835522</v>
      </c>
      <c r="BD17" s="14">
        <f t="shared" si="7"/>
        <v>34382.387994717006</v>
      </c>
      <c r="BF17" s="16">
        <f t="shared" si="8"/>
        <v>1107.3163400395051</v>
      </c>
      <c r="BG17" s="17">
        <f t="shared" si="9"/>
        <v>37375.758795417998</v>
      </c>
      <c r="BI17">
        <v>53</v>
      </c>
      <c r="BJ17" t="s">
        <v>43</v>
      </c>
      <c r="BK17" s="2">
        <v>45909.723773148151</v>
      </c>
      <c r="BL17">
        <v>12</v>
      </c>
      <c r="BM17" t="s">
        <v>13</v>
      </c>
      <c r="BN17">
        <v>0</v>
      </c>
      <c r="BO17">
        <v>2.8849999999999998</v>
      </c>
      <c r="BP17" s="3">
        <v>752327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45909.745000000003</v>
      </c>
      <c r="D18">
        <v>42</v>
      </c>
      <c r="E18" t="s">
        <v>13</v>
      </c>
      <c r="F18">
        <v>0</v>
      </c>
      <c r="G18">
        <v>6.0579999999999998</v>
      </c>
      <c r="H18" s="3">
        <v>481267</v>
      </c>
      <c r="I18">
        <v>1.0860000000000001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45909.745000000003</v>
      </c>
      <c r="R18">
        <v>42</v>
      </c>
      <c r="S18" t="s">
        <v>13</v>
      </c>
      <c r="T18">
        <v>0</v>
      </c>
      <c r="U18">
        <v>6.0069999999999997</v>
      </c>
      <c r="V18" s="3">
        <v>3474</v>
      </c>
      <c r="W18">
        <v>0.95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45909.745000000003</v>
      </c>
      <c r="AF18">
        <v>42</v>
      </c>
      <c r="AG18" t="s">
        <v>13</v>
      </c>
      <c r="AH18">
        <v>0</v>
      </c>
      <c r="AI18">
        <v>12.135999999999999</v>
      </c>
      <c r="AJ18" s="3">
        <v>177733</v>
      </c>
      <c r="AK18">
        <v>38.408999999999999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0"/>
        <v>1162.1413981989513</v>
      </c>
      <c r="AU18" s="17">
        <f t="shared" si="1"/>
        <v>38414.399715150816</v>
      </c>
      <c r="AW18" s="6">
        <f t="shared" si="2"/>
        <v>1108.8904082972238</v>
      </c>
      <c r="AX18" s="7">
        <f t="shared" si="3"/>
        <v>35827.559327744719</v>
      </c>
      <c r="AZ18" s="11">
        <f t="shared" si="4"/>
        <v>1083.4498865896246</v>
      </c>
      <c r="BA18" s="12">
        <f t="shared" si="5"/>
        <v>40955.473211079894</v>
      </c>
      <c r="BC18" s="13">
        <f t="shared" si="6"/>
        <v>1186.9191498632081</v>
      </c>
      <c r="BD18" s="14">
        <f t="shared" si="7"/>
        <v>35356.533766485336</v>
      </c>
      <c r="BF18" s="16">
        <f t="shared" si="8"/>
        <v>1162.1413981989513</v>
      </c>
      <c r="BG18" s="17">
        <f t="shared" si="9"/>
        <v>38414.399715150816</v>
      </c>
      <c r="BI18">
        <v>54</v>
      </c>
      <c r="BJ18" t="s">
        <v>44</v>
      </c>
      <c r="BK18" s="2">
        <v>45909.745000000003</v>
      </c>
      <c r="BL18">
        <v>42</v>
      </c>
      <c r="BM18" t="s">
        <v>13</v>
      </c>
      <c r="BN18">
        <v>0</v>
      </c>
      <c r="BO18">
        <v>2.8809999999999998</v>
      </c>
      <c r="BP18" s="3">
        <v>814206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45909.766226851854</v>
      </c>
      <c r="D19">
        <v>69</v>
      </c>
      <c r="E19" t="s">
        <v>13</v>
      </c>
      <c r="F19">
        <v>0</v>
      </c>
      <c r="G19">
        <v>6.0579999999999998</v>
      </c>
      <c r="H19" s="3">
        <v>86544</v>
      </c>
      <c r="I19">
        <v>0.19500000000000001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45909.766226851854</v>
      </c>
      <c r="R19">
        <v>69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45909.766226851854</v>
      </c>
      <c r="AF19">
        <v>69</v>
      </c>
      <c r="AG19" t="s">
        <v>13</v>
      </c>
      <c r="AH19">
        <v>0</v>
      </c>
      <c r="AI19" t="s">
        <v>14</v>
      </c>
      <c r="AJ19" s="3" t="s">
        <v>14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66</v>
      </c>
      <c r="AS19" s="10">
        <v>55</v>
      </c>
      <c r="AT19" s="16">
        <f t="shared" ref="AT19:AT29" si="10">IF(H19&lt;10000,((H19^2*0.000000008493)+(H19*0.003482)+(-3.269)),(IF(H19&lt;200000,((H19^2*-0.000000000263)+(H19*0.002682)+(3.179)),(IF(H19&lt;8000000,((H19^2*-0.000000000005099)+(H19*0.002054)+(174.8)),((V19^2*-0.00000001014)+(V19*0.2415)+(1123)))))))</f>
        <v>233.32017378483201</v>
      </c>
      <c r="AU19" s="17" t="e">
        <f t="shared" ref="AU19:AU29" si="11">IF(AJ19&lt;45000,((-0.00000004907*AJ19^2)+(0.2277*AJ19)+(-134)),((-0.00000001062*AJ19^2)+(0.2147*AJ19)+(590.6)))</f>
        <v>#VALUE!</v>
      </c>
      <c r="AW19" s="6">
        <f t="shared" ref="AW19:AW29" si="12">IF(H19&lt;10000,((0.0000001453*H19^2)+(0.0008349*H19)+(-1.805)),(IF(H19&lt;700000,((-0.00000000008054*H19^2)+(0.002348*H19)+(-2.47)), ((-0.00000001938*V19^2)+(0.2471*V19)+(226.8)))))</f>
        <v>200.13207835859455</v>
      </c>
      <c r="AX19" s="7" t="e">
        <f t="shared" ref="AX19:AX29" si="13">(-0.00000002552*AJ19^2)+(0.2067*AJ19)+(-103.7)</f>
        <v>#VALUE!</v>
      </c>
      <c r="AZ19" s="11">
        <f t="shared" ref="AZ19:AZ29" si="14">IF(H19&lt;10000,((H19^2*0.00000054)+(H19*-0.004765)+(12.72)),(IF(H19&lt;200000,((H19^2*-0.000000001577)+(H19*0.003043)+(-10.42)),(IF(H19&lt;8000000,((H19^2*-0.0000000000186)+(H19*0.00194)+(154.1)),((V19^2*-0.00000002)+(V19*0.2565)+(-1032)))))))</f>
        <v>241.12187657292799</v>
      </c>
      <c r="BA19" s="12" t="e">
        <f t="shared" ref="BA19:BA29" si="15">IF(AJ19&lt;45000,((-0.0000004561*AJ19^2)+(0.244*AJ19)+(-21.72)),((-0.0000000409*AJ19^2)+(0.2477*AJ19)+(-1777)))</f>
        <v>#VALUE!</v>
      </c>
      <c r="BC19" s="13">
        <f t="shared" ref="BC19:BC29" si="16">IF(H19&lt;10000,((H19^2*0.00000005714)+(H19*0.002453)+(-3.811)),(IF(H19&lt;200000,((H19^2*-0.0000000002888)+(H19*0.002899)+(-4.321)),(IF(H19&lt;8000000,((H19^2*-0.0000000000062)+(H19*0.002143)+(157)),((V19^2*-0.000000031)+(V19*0.2771)+(-709.5)))))))</f>
        <v>244.40698329528323</v>
      </c>
      <c r="BD19" s="14" t="e">
        <f t="shared" ref="BD19:BD29" si="17">IF(AJ19&lt;45000,((-0.0000000598*AJ19^2)+(0.205*AJ19)+(34.1)),((-0.00000002403*AJ19^2)+(0.2063*AJ19)+(-550.7)))</f>
        <v>#VALUE!</v>
      </c>
      <c r="BF19" s="16">
        <f t="shared" ref="BF19:BF29" si="18">IF(H19&lt;10000,((H19^2*0.000000008493)+(H19*0.003482)+(-3.269)),(IF(H19&lt;200000,((H19^2*-0.000000000263)+(H19*0.002682)+(3.179)),(IF(H19&lt;8000000,((H19^2*-0.000000000005099)+(H19*0.002054)+(174.8)),((V19^2*-0.00000001014)+(V19*0.2415)+(1123)))))))</f>
        <v>233.32017378483201</v>
      </c>
      <c r="BG19" s="17" t="e">
        <f t="shared" ref="BG19:BG29" si="19">IF(AJ19&lt;45000,((-0.00000004907*AJ19^2)+(0.2277*AJ19)+(-134)),((-0.00000001062*AJ19^2)+(0.2147*AJ19)+(590.6)))</f>
        <v>#VALUE!</v>
      </c>
      <c r="BI19">
        <v>55</v>
      </c>
      <c r="BJ19" t="s">
        <v>45</v>
      </c>
      <c r="BK19" s="2">
        <v>45909.766226851854</v>
      </c>
      <c r="BL19">
        <v>69</v>
      </c>
      <c r="BM19" t="s">
        <v>13</v>
      </c>
      <c r="BN19">
        <v>0</v>
      </c>
      <c r="BO19">
        <v>2.8860000000000001</v>
      </c>
      <c r="BP19" s="3">
        <v>740704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45909.787476851852</v>
      </c>
      <c r="D20">
        <v>375</v>
      </c>
      <c r="E20" t="s">
        <v>13</v>
      </c>
      <c r="F20">
        <v>0</v>
      </c>
      <c r="G20">
        <v>6.0590000000000002</v>
      </c>
      <c r="H20" s="3">
        <v>76485</v>
      </c>
      <c r="I20">
        <v>0.17299999999999999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45909.787476851852</v>
      </c>
      <c r="R20">
        <v>375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45909.787476851852</v>
      </c>
      <c r="AF20">
        <v>375</v>
      </c>
      <c r="AG20" t="s">
        <v>13</v>
      </c>
      <c r="AH20">
        <v>0</v>
      </c>
      <c r="AI20" t="s">
        <v>14</v>
      </c>
      <c r="AJ20" s="3" t="s">
        <v>14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Q20">
        <v>2</v>
      </c>
      <c r="AR20" t="s">
        <v>66</v>
      </c>
      <c r="AS20" s="10">
        <v>56</v>
      </c>
      <c r="AT20" s="16">
        <f t="shared" si="10"/>
        <v>206.773231775825</v>
      </c>
      <c r="AU20" s="17" t="e">
        <f t="shared" si="11"/>
        <v>#VALUE!</v>
      </c>
      <c r="AW20" s="6">
        <f t="shared" si="12"/>
        <v>176.64562460617847</v>
      </c>
      <c r="AX20" s="7" t="e">
        <f t="shared" si="13"/>
        <v>#VALUE!</v>
      </c>
      <c r="AZ20" s="11">
        <f t="shared" si="14"/>
        <v>213.098475610175</v>
      </c>
      <c r="BA20" s="12" t="e">
        <f t="shared" si="15"/>
        <v>#VALUE!</v>
      </c>
      <c r="BC20" s="13">
        <f t="shared" si="16"/>
        <v>215.71954793102</v>
      </c>
      <c r="BD20" s="14" t="e">
        <f t="shared" si="17"/>
        <v>#VALUE!</v>
      </c>
      <c r="BF20" s="16">
        <f t="shared" si="18"/>
        <v>206.773231775825</v>
      </c>
      <c r="BG20" s="17" t="e">
        <f t="shared" si="19"/>
        <v>#VALUE!</v>
      </c>
      <c r="BI20">
        <v>56</v>
      </c>
      <c r="BJ20" t="s">
        <v>46</v>
      </c>
      <c r="BK20" s="2">
        <v>45909.787476851852</v>
      </c>
      <c r="BL20">
        <v>375</v>
      </c>
      <c r="BM20" t="s">
        <v>13</v>
      </c>
      <c r="BN20">
        <v>0</v>
      </c>
      <c r="BO20">
        <v>2.8780000000000001</v>
      </c>
      <c r="BP20" s="3">
        <v>883080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45909.808668981481</v>
      </c>
      <c r="D21">
        <v>184</v>
      </c>
      <c r="E21" t="s">
        <v>13</v>
      </c>
      <c r="F21">
        <v>0</v>
      </c>
      <c r="G21">
        <v>6.1020000000000003</v>
      </c>
      <c r="H21" s="3">
        <v>1593</v>
      </c>
      <c r="I21">
        <v>4.0000000000000001E-3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45909.808668981481</v>
      </c>
      <c r="R21">
        <v>184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45909.808668981481</v>
      </c>
      <c r="AF21">
        <v>184</v>
      </c>
      <c r="AG21" t="s">
        <v>13</v>
      </c>
      <c r="AH21">
        <v>0</v>
      </c>
      <c r="AI21">
        <v>12.215999999999999</v>
      </c>
      <c r="AJ21" s="3">
        <v>46697</v>
      </c>
      <c r="AK21">
        <v>10.117000000000001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2.2993782529569993</v>
      </c>
      <c r="AU21" s="17">
        <f t="shared" si="11"/>
        <v>10593.287823828421</v>
      </c>
      <c r="AW21" s="6">
        <f t="shared" si="12"/>
        <v>-0.10628390030000001</v>
      </c>
      <c r="AX21" s="7">
        <f t="shared" si="13"/>
        <v>9492.9207376743179</v>
      </c>
      <c r="AZ21" s="11">
        <f t="shared" si="14"/>
        <v>6.4996854600000002</v>
      </c>
      <c r="BA21" s="12">
        <f t="shared" si="15"/>
        <v>9700.6599588119007</v>
      </c>
      <c r="BC21" s="13">
        <f t="shared" si="16"/>
        <v>0.2416302638600003</v>
      </c>
      <c r="BD21" s="14">
        <f t="shared" si="17"/>
        <v>9030.4910462897296</v>
      </c>
      <c r="BF21" s="16">
        <f t="shared" si="18"/>
        <v>2.2993782529569993</v>
      </c>
      <c r="BG21" s="17">
        <f t="shared" si="19"/>
        <v>10593.287823828421</v>
      </c>
      <c r="BI21">
        <v>57</v>
      </c>
      <c r="BJ21" t="s">
        <v>47</v>
      </c>
      <c r="BK21" s="2">
        <v>45909.808668981481</v>
      </c>
      <c r="BL21">
        <v>184</v>
      </c>
      <c r="BM21" t="s">
        <v>13</v>
      </c>
      <c r="BN21">
        <v>0</v>
      </c>
      <c r="BO21">
        <v>2.8919999999999999</v>
      </c>
      <c r="BP21" s="3">
        <v>748033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45909.829861111109</v>
      </c>
      <c r="D22">
        <v>216</v>
      </c>
      <c r="E22" t="s">
        <v>13</v>
      </c>
      <c r="F22">
        <v>0</v>
      </c>
      <c r="G22">
        <v>6.069</v>
      </c>
      <c r="H22" s="3">
        <v>18236</v>
      </c>
      <c r="I22">
        <v>4.2000000000000003E-2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45909.829861111109</v>
      </c>
      <c r="R22">
        <v>216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45909.829861111109</v>
      </c>
      <c r="AF22">
        <v>216</v>
      </c>
      <c r="AG22" t="s">
        <v>13</v>
      </c>
      <c r="AH22">
        <v>0</v>
      </c>
      <c r="AI22">
        <v>12.301</v>
      </c>
      <c r="AJ22">
        <v>239</v>
      </c>
      <c r="AK22">
        <v>-4.3999999999999997E-2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52.000490903951999</v>
      </c>
      <c r="AU22" s="17">
        <f t="shared" si="11"/>
        <v>-79.582502927469989</v>
      </c>
      <c r="AW22" s="6">
        <f t="shared" si="12"/>
        <v>40.321344286404155</v>
      </c>
      <c r="AX22" s="7">
        <f t="shared" si="13"/>
        <v>-54.300157727920002</v>
      </c>
      <c r="AZ22" s="11">
        <f t="shared" si="14"/>
        <v>44.547713975408001</v>
      </c>
      <c r="BA22" s="12">
        <f t="shared" si="15"/>
        <v>36.569947111899999</v>
      </c>
      <c r="BC22" s="13">
        <f t="shared" si="16"/>
        <v>48.449123070195206</v>
      </c>
      <c r="BD22" s="14">
        <f t="shared" si="17"/>
        <v>83.0915841642</v>
      </c>
      <c r="BF22" s="16">
        <f t="shared" si="18"/>
        <v>52.000490903951999</v>
      </c>
      <c r="BG22" s="17">
        <f t="shared" si="19"/>
        <v>-79.582502927469989</v>
      </c>
      <c r="BI22">
        <v>58</v>
      </c>
      <c r="BJ22" t="s">
        <v>48</v>
      </c>
      <c r="BK22" s="2">
        <v>45909.829861111109</v>
      </c>
      <c r="BL22">
        <v>216</v>
      </c>
      <c r="BM22" t="s">
        <v>13</v>
      </c>
      <c r="BN22">
        <v>0</v>
      </c>
      <c r="BO22">
        <v>2.8879999999999999</v>
      </c>
      <c r="BP22" s="3">
        <v>870460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45909.851087962961</v>
      </c>
      <c r="D23">
        <v>147</v>
      </c>
      <c r="E23" t="s">
        <v>13</v>
      </c>
      <c r="F23">
        <v>0</v>
      </c>
      <c r="G23">
        <v>6.0979999999999999</v>
      </c>
      <c r="H23" s="3">
        <v>1100</v>
      </c>
      <c r="I23">
        <v>3.0000000000000001E-3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45909.851087962961</v>
      </c>
      <c r="R23">
        <v>147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45909.851087962961</v>
      </c>
      <c r="AF23">
        <v>147</v>
      </c>
      <c r="AG23" t="s">
        <v>13</v>
      </c>
      <c r="AH23">
        <v>0</v>
      </c>
      <c r="AI23">
        <v>12.077</v>
      </c>
      <c r="AJ23" s="3">
        <v>229647</v>
      </c>
      <c r="AK23">
        <v>49.472999999999999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0.57147652999999998</v>
      </c>
      <c r="AU23" s="17">
        <f t="shared" si="11"/>
        <v>49335.736052252418</v>
      </c>
      <c r="AW23" s="6">
        <f t="shared" si="12"/>
        <v>-0.7107969999999999</v>
      </c>
      <c r="AX23" s="7">
        <f t="shared" si="13"/>
        <v>46018.467657578323</v>
      </c>
      <c r="AZ23" s="11">
        <f t="shared" si="14"/>
        <v>8.1318999999999999</v>
      </c>
      <c r="BA23" s="12">
        <f t="shared" si="15"/>
        <v>52949.5881454919</v>
      </c>
      <c r="BC23" s="13">
        <f t="shared" si="16"/>
        <v>-1.0435606000000002</v>
      </c>
      <c r="BD23" s="14">
        <f t="shared" si="17"/>
        <v>45558.188097045735</v>
      </c>
      <c r="BF23" s="16">
        <f t="shared" si="18"/>
        <v>0.57147652999999998</v>
      </c>
      <c r="BG23" s="17">
        <f t="shared" si="19"/>
        <v>49335.736052252418</v>
      </c>
      <c r="BI23">
        <v>59</v>
      </c>
      <c r="BJ23" t="s">
        <v>49</v>
      </c>
      <c r="BK23" s="2">
        <v>45909.851087962961</v>
      </c>
      <c r="BL23">
        <v>147</v>
      </c>
      <c r="BM23" t="s">
        <v>13</v>
      </c>
      <c r="BN23">
        <v>0</v>
      </c>
      <c r="BO23">
        <v>2.8809999999999998</v>
      </c>
      <c r="BP23" s="3">
        <v>838558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45910.406990740739</v>
      </c>
      <c r="D24">
        <v>186</v>
      </c>
      <c r="E24" t="s">
        <v>13</v>
      </c>
      <c r="F24">
        <v>0</v>
      </c>
      <c r="G24">
        <v>6.0709999999999997</v>
      </c>
      <c r="H24" s="3">
        <v>17856</v>
      </c>
      <c r="I24">
        <v>4.1000000000000002E-2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45910.406990740739</v>
      </c>
      <c r="R24">
        <v>186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45910.406990740739</v>
      </c>
      <c r="AF24">
        <v>186</v>
      </c>
      <c r="AG24" t="s">
        <v>13</v>
      </c>
      <c r="AH24">
        <v>0</v>
      </c>
      <c r="AI24" t="s">
        <v>14</v>
      </c>
      <c r="AJ24" s="3" t="s">
        <v>14</v>
      </c>
      <c r="AK24" t="s">
        <v>14</v>
      </c>
      <c r="AL24" t="s">
        <v>14</v>
      </c>
      <c r="AM24" t="s">
        <v>14</v>
      </c>
      <c r="AN24" t="s">
        <v>14</v>
      </c>
      <c r="AO24" t="s">
        <v>14</v>
      </c>
      <c r="AQ24">
        <v>2</v>
      </c>
      <c r="AR24" t="s">
        <v>65</v>
      </c>
      <c r="AS24" s="10">
        <v>60</v>
      </c>
      <c r="AT24" s="16">
        <f t="shared" si="10"/>
        <v>50.984937938432005</v>
      </c>
      <c r="AU24" s="17" t="e">
        <f t="shared" si="11"/>
        <v>#VALUE!</v>
      </c>
      <c r="AW24" s="6">
        <f t="shared" si="12"/>
        <v>39.430208889282554</v>
      </c>
      <c r="AX24" s="7" t="e">
        <f t="shared" si="13"/>
        <v>#VALUE!</v>
      </c>
      <c r="AZ24" s="11">
        <f t="shared" si="14"/>
        <v>43.413002467327999</v>
      </c>
      <c r="BA24" s="12" t="e">
        <f t="shared" si="15"/>
        <v>#VALUE!</v>
      </c>
      <c r="BC24" s="13">
        <f t="shared" si="16"/>
        <v>47.3514639506432</v>
      </c>
      <c r="BD24" s="14" t="e">
        <f t="shared" si="17"/>
        <v>#VALUE!</v>
      </c>
      <c r="BF24" s="16">
        <f t="shared" si="18"/>
        <v>50.984937938432005</v>
      </c>
      <c r="BG24" s="17" t="e">
        <f t="shared" si="19"/>
        <v>#VALUE!</v>
      </c>
      <c r="BI24">
        <v>60</v>
      </c>
      <c r="BJ24" t="s">
        <v>50</v>
      </c>
      <c r="BK24" s="2">
        <v>45910.406990740739</v>
      </c>
      <c r="BL24">
        <v>186</v>
      </c>
      <c r="BM24" t="s">
        <v>13</v>
      </c>
      <c r="BN24">
        <v>0</v>
      </c>
      <c r="BO24">
        <v>2.8420000000000001</v>
      </c>
      <c r="BP24" s="3">
        <v>1642897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45910.428182870368</v>
      </c>
      <c r="D25">
        <v>118</v>
      </c>
      <c r="E25" t="s">
        <v>13</v>
      </c>
      <c r="F25">
        <v>0</v>
      </c>
      <c r="G25">
        <v>6.0869999999999997</v>
      </c>
      <c r="H25" s="3">
        <v>1624</v>
      </c>
      <c r="I25">
        <v>4.0000000000000001E-3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45910.428182870368</v>
      </c>
      <c r="R25">
        <v>118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45910.428182870368</v>
      </c>
      <c r="AF25">
        <v>118</v>
      </c>
      <c r="AG25" t="s">
        <v>13</v>
      </c>
      <c r="AH25">
        <v>0</v>
      </c>
      <c r="AI25">
        <v>12.023</v>
      </c>
      <c r="AJ25" s="3">
        <v>200583</v>
      </c>
      <c r="AK25">
        <v>43.289000000000001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2.4081672343679994</v>
      </c>
      <c r="AU25" s="17">
        <f t="shared" si="11"/>
        <v>43228.489906378818</v>
      </c>
      <c r="AW25" s="6">
        <f t="shared" si="12"/>
        <v>-6.5911667199999968E-2</v>
      </c>
      <c r="AX25" s="7">
        <f t="shared" si="13"/>
        <v>40330.046162032719</v>
      </c>
      <c r="AZ25" s="11">
        <f t="shared" si="14"/>
        <v>6.4058230400000005</v>
      </c>
      <c r="BA25" s="12">
        <f t="shared" si="15"/>
        <v>46261.8573185399</v>
      </c>
      <c r="BC25" s="13">
        <f t="shared" si="16"/>
        <v>0.32337166463999978</v>
      </c>
      <c r="BD25" s="14">
        <f t="shared" si="17"/>
        <v>39862.760936467334</v>
      </c>
      <c r="BF25" s="16">
        <f t="shared" si="18"/>
        <v>2.4081672343679994</v>
      </c>
      <c r="BG25" s="17">
        <f t="shared" si="19"/>
        <v>43228.489906378818</v>
      </c>
      <c r="BI25">
        <v>61</v>
      </c>
      <c r="BJ25" t="s">
        <v>51</v>
      </c>
      <c r="BK25" s="2">
        <v>45910.428182870368</v>
      </c>
      <c r="BL25">
        <v>118</v>
      </c>
      <c r="BM25" t="s">
        <v>13</v>
      </c>
      <c r="BN25">
        <v>0</v>
      </c>
      <c r="BO25">
        <v>2.875</v>
      </c>
      <c r="BP25" s="3">
        <v>966210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45910.44939814815</v>
      </c>
      <c r="D26">
        <v>191</v>
      </c>
      <c r="E26" t="s">
        <v>13</v>
      </c>
      <c r="F26">
        <v>0</v>
      </c>
      <c r="G26">
        <v>6.0739999999999998</v>
      </c>
      <c r="H26" s="3">
        <v>3452</v>
      </c>
      <c r="I26">
        <v>8.0000000000000002E-3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45910.44939814815</v>
      </c>
      <c r="R26">
        <v>191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45910.44939814815</v>
      </c>
      <c r="AF26">
        <v>191</v>
      </c>
      <c r="AG26" t="s">
        <v>13</v>
      </c>
      <c r="AH26">
        <v>0</v>
      </c>
      <c r="AI26">
        <v>12.249000000000001</v>
      </c>
      <c r="AJ26" s="3">
        <v>4716</v>
      </c>
      <c r="AK26">
        <v>0.93799999999999994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8.8520691698719993</v>
      </c>
      <c r="AU26" s="17">
        <f t="shared" si="11"/>
        <v>938.74185101007993</v>
      </c>
      <c r="AW26" s="6">
        <f t="shared" si="12"/>
        <v>2.8085137712000003</v>
      </c>
      <c r="AX26" s="7">
        <f t="shared" si="13"/>
        <v>870.5296184588799</v>
      </c>
      <c r="AZ26" s="11">
        <f t="shared" si="14"/>
        <v>2.7060241600000019</v>
      </c>
      <c r="BA26" s="12">
        <f t="shared" si="15"/>
        <v>1118.8400367984</v>
      </c>
      <c r="BC26" s="13">
        <f t="shared" si="16"/>
        <v>5.3376536105600003</v>
      </c>
      <c r="BD26" s="14">
        <f t="shared" si="17"/>
        <v>999.55000877119994</v>
      </c>
      <c r="BF26" s="16">
        <f t="shared" si="18"/>
        <v>8.8520691698719993</v>
      </c>
      <c r="BG26" s="17">
        <f t="shared" si="19"/>
        <v>938.74185101007993</v>
      </c>
      <c r="BI26">
        <v>62</v>
      </c>
      <c r="BJ26" t="s">
        <v>52</v>
      </c>
      <c r="BK26" s="2">
        <v>45910.44939814815</v>
      </c>
      <c r="BL26">
        <v>191</v>
      </c>
      <c r="BM26" t="s">
        <v>13</v>
      </c>
      <c r="BN26">
        <v>0</v>
      </c>
      <c r="BO26">
        <v>2.8820000000000001</v>
      </c>
      <c r="BP26" s="3">
        <v>919082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45910.470613425925</v>
      </c>
      <c r="D27">
        <v>343</v>
      </c>
      <c r="E27" t="s">
        <v>13</v>
      </c>
      <c r="F27">
        <v>0</v>
      </c>
      <c r="G27">
        <v>6.0570000000000004</v>
      </c>
      <c r="H27" s="3">
        <v>21030</v>
      </c>
      <c r="I27">
        <v>4.8000000000000001E-2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45910.470613425925</v>
      </c>
      <c r="R27">
        <v>343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45910.470613425925</v>
      </c>
      <c r="AF27">
        <v>343</v>
      </c>
      <c r="AG27" t="s">
        <v>13</v>
      </c>
      <c r="AH27">
        <v>0</v>
      </c>
      <c r="AI27">
        <v>12.256</v>
      </c>
      <c r="AJ27" s="3">
        <v>453</v>
      </c>
      <c r="AK27">
        <v>3.0000000000000001E-3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59.465145383299998</v>
      </c>
      <c r="AU27" s="17">
        <f t="shared" si="11"/>
        <v>-30.861969605629994</v>
      </c>
      <c r="AW27" s="6">
        <f t="shared" si="12"/>
        <v>46.872820307113997</v>
      </c>
      <c r="AX27" s="7">
        <f t="shared" si="13"/>
        <v>-10.070136933680004</v>
      </c>
      <c r="AZ27" s="11">
        <f t="shared" si="14"/>
        <v>52.8768445607</v>
      </c>
      <c r="BA27" s="12">
        <f t="shared" si="15"/>
        <v>88.718404175099991</v>
      </c>
      <c r="BC27" s="13">
        <f t="shared" si="16"/>
        <v>56.51724505208</v>
      </c>
      <c r="BD27" s="14">
        <f t="shared" si="17"/>
        <v>126.95272850180001</v>
      </c>
      <c r="BF27" s="16">
        <f t="shared" si="18"/>
        <v>59.465145383299998</v>
      </c>
      <c r="BG27" s="17">
        <f t="shared" si="19"/>
        <v>-30.861969605629994</v>
      </c>
      <c r="BI27">
        <v>63</v>
      </c>
      <c r="BJ27" t="s">
        <v>53</v>
      </c>
      <c r="BK27" s="2">
        <v>45910.470613425925</v>
      </c>
      <c r="BL27">
        <v>343</v>
      </c>
      <c r="BM27" t="s">
        <v>13</v>
      </c>
      <c r="BN27">
        <v>0</v>
      </c>
      <c r="BO27">
        <v>2.875</v>
      </c>
      <c r="BP27" s="3">
        <v>917200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45910.491828703707</v>
      </c>
      <c r="D28">
        <v>159</v>
      </c>
      <c r="E28" t="s">
        <v>13</v>
      </c>
      <c r="F28">
        <v>0</v>
      </c>
      <c r="G28">
        <v>6.0789999999999997</v>
      </c>
      <c r="H28" s="3">
        <v>1468</v>
      </c>
      <c r="I28">
        <v>4.0000000000000001E-3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45910.491828703707</v>
      </c>
      <c r="R28">
        <v>159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45910.491828703707</v>
      </c>
      <c r="AF28">
        <v>159</v>
      </c>
      <c r="AG28" t="s">
        <v>13</v>
      </c>
      <c r="AH28">
        <v>0</v>
      </c>
      <c r="AI28">
        <v>12.071</v>
      </c>
      <c r="AJ28" s="3">
        <v>228605</v>
      </c>
      <c r="AK28">
        <v>49.252000000000002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1.8608786188319995</v>
      </c>
      <c r="AU28" s="17">
        <f t="shared" si="11"/>
        <v>49117.089687214495</v>
      </c>
      <c r="AW28" s="6">
        <f t="shared" si="12"/>
        <v>-0.26624181279999992</v>
      </c>
      <c r="AX28" s="7">
        <f t="shared" si="13"/>
        <v>45815.272021442004</v>
      </c>
      <c r="AZ28" s="11">
        <f t="shared" si="14"/>
        <v>6.8886929600000002</v>
      </c>
      <c r="BA28" s="12">
        <f t="shared" si="15"/>
        <v>52711.014437577498</v>
      </c>
      <c r="BC28" s="13">
        <f t="shared" si="16"/>
        <v>-8.6857928640000193E-2</v>
      </c>
      <c r="BD28" s="14">
        <f t="shared" si="17"/>
        <v>45354.697788019257</v>
      </c>
      <c r="BF28" s="16">
        <f t="shared" si="18"/>
        <v>1.8608786188319995</v>
      </c>
      <c r="BG28" s="17">
        <f t="shared" si="19"/>
        <v>49117.089687214495</v>
      </c>
      <c r="BI28">
        <v>64</v>
      </c>
      <c r="BJ28" t="s">
        <v>54</v>
      </c>
      <c r="BK28" s="2">
        <v>45910.491828703707</v>
      </c>
      <c r="BL28">
        <v>159</v>
      </c>
      <c r="BM28" t="s">
        <v>13</v>
      </c>
      <c r="BN28">
        <v>0</v>
      </c>
      <c r="BO28">
        <v>2.871</v>
      </c>
      <c r="BP28" s="3">
        <v>958873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45910.513067129628</v>
      </c>
      <c r="D29">
        <v>229</v>
      </c>
      <c r="E29" t="s">
        <v>13</v>
      </c>
      <c r="F29">
        <v>0</v>
      </c>
      <c r="G29">
        <v>6.0739999999999998</v>
      </c>
      <c r="H29" s="3">
        <v>2009</v>
      </c>
      <c r="I29">
        <v>5.0000000000000001E-3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45910.513067129628</v>
      </c>
      <c r="R29">
        <v>229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45910.513067129628</v>
      </c>
      <c r="AF29">
        <v>229</v>
      </c>
      <c r="AG29" t="s">
        <v>13</v>
      </c>
      <c r="AH29">
        <v>0</v>
      </c>
      <c r="AI29" t="s">
        <v>14</v>
      </c>
      <c r="AJ29" s="3" t="s">
        <v>14</v>
      </c>
      <c r="AK29" s="15" t="s">
        <v>14</v>
      </c>
      <c r="AL29" t="s">
        <v>14</v>
      </c>
      <c r="AM29" t="s">
        <v>14</v>
      </c>
      <c r="AN29" t="s">
        <v>14</v>
      </c>
      <c r="AO29" t="s">
        <v>14</v>
      </c>
      <c r="AQ29">
        <v>2</v>
      </c>
      <c r="AR29" t="s">
        <v>66</v>
      </c>
      <c r="AS29" s="10">
        <v>65</v>
      </c>
      <c r="AT29" s="16">
        <f t="shared" si="10"/>
        <v>3.7606164359329997</v>
      </c>
      <c r="AU29" s="17" t="e">
        <f t="shared" si="11"/>
        <v>#VALUE!</v>
      </c>
      <c r="AW29" s="6">
        <f t="shared" si="12"/>
        <v>0.45875666930000025</v>
      </c>
      <c r="AX29" s="7" t="e">
        <f t="shared" si="13"/>
        <v>#VALUE!</v>
      </c>
      <c r="AZ29" s="11">
        <f t="shared" si="14"/>
        <v>5.3265987400000014</v>
      </c>
      <c r="BA29" s="12" t="e">
        <f t="shared" si="15"/>
        <v>#VALUE!</v>
      </c>
      <c r="BC29" s="13">
        <f t="shared" si="16"/>
        <v>1.3476986683400005</v>
      </c>
      <c r="BD29" s="14" t="e">
        <f t="shared" si="17"/>
        <v>#VALUE!</v>
      </c>
      <c r="BF29" s="16">
        <f t="shared" si="18"/>
        <v>3.7606164359329997</v>
      </c>
      <c r="BG29" s="17" t="e">
        <f t="shared" si="19"/>
        <v>#VALUE!</v>
      </c>
      <c r="BI29">
        <v>65</v>
      </c>
      <c r="BJ29" t="s">
        <v>55</v>
      </c>
      <c r="BK29" s="2">
        <v>45910.513067129628</v>
      </c>
      <c r="BL29">
        <v>229</v>
      </c>
      <c r="BM29" t="s">
        <v>13</v>
      </c>
      <c r="BN29">
        <v>0</v>
      </c>
      <c r="BO29">
        <v>2.875</v>
      </c>
      <c r="BP29" s="3">
        <v>877407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45910.573483796295</v>
      </c>
      <c r="D30" t="s">
        <v>57</v>
      </c>
      <c r="E30" t="s">
        <v>13</v>
      </c>
      <c r="F30">
        <v>0</v>
      </c>
      <c r="G30">
        <v>6.0659999999999998</v>
      </c>
      <c r="H30" s="3">
        <v>92741</v>
      </c>
      <c r="I30">
        <v>0.20899999999999999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45910.573483796295</v>
      </c>
      <c r="R30" t="s">
        <v>57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45910.573483796295</v>
      </c>
      <c r="AF30" t="s">
        <v>57</v>
      </c>
      <c r="AG30" t="s">
        <v>13</v>
      </c>
      <c r="AH30">
        <v>0</v>
      </c>
      <c r="AI30" t="s">
        <v>14</v>
      </c>
      <c r="AJ30" s="3" t="s">
        <v>14</v>
      </c>
      <c r="AK30" t="s">
        <v>14</v>
      </c>
      <c r="AL30" t="s">
        <v>14</v>
      </c>
      <c r="AM30" t="s">
        <v>14</v>
      </c>
      <c r="AN30" t="s">
        <v>14</v>
      </c>
      <c r="AO30" t="s">
        <v>14</v>
      </c>
      <c r="AQ30">
        <v>3</v>
      </c>
      <c r="AR30" t="s">
        <v>67</v>
      </c>
      <c r="AS30" s="10">
        <v>66</v>
      </c>
      <c r="AT30" s="16">
        <f t="shared" ref="AT30:AT33" si="20">IF(H30&lt;10000,((H30^2*0.000000008493)+(H30*0.003482)+(-3.269)),(IF(H30&lt;200000,((H30^2*-0.000000000263)+(H30*0.002682)+(3.179)),(IF(H30&lt;8000000,((H30^2*-0.000000000005099)+(H30*0.002054)+(174.8)),((V30^2*-0.00000001014)+(V30*0.2415)+(1123)))))))</f>
        <v>249.648327119697</v>
      </c>
      <c r="AU30" s="17" t="e">
        <f t="shared" ref="AU30:AU33" si="21">IF(AJ30&lt;45000,((-0.00000004907*AJ30^2)+(0.2277*AJ30)+(-134)),((-0.00000001062*AJ30^2)+(0.2147*AJ30)+(590.6)))</f>
        <v>#VALUE!</v>
      </c>
      <c r="AW30" s="6">
        <f t="shared" ref="AW30:AW33" si="22">IF(H30&lt;10000,((0.0000001453*H30^2)+(0.0008349*H30)+(-1.805)),(IF(H30&lt;700000,((-0.00000000008054*H30^2)+(0.002348*H30)+(-2.47)), ((-0.00000001938*V30^2)+(0.2471*V30)+(226.8)))))</f>
        <v>214.59315207125624</v>
      </c>
      <c r="AX30" s="7" t="e">
        <f t="shared" ref="AX30:AX33" si="23">(-0.00000002552*AJ30^2)+(0.2067*AJ30)+(-103.7)</f>
        <v>#VALUE!</v>
      </c>
      <c r="AZ30" s="11">
        <f t="shared" ref="AZ30:AZ33" si="24">IF(H30&lt;10000,((H30^2*0.00000054)+(H30*-0.004765)+(12.72)),(IF(H30&lt;200000,((H30^2*-0.000000001577)+(H30*0.003043)+(-10.42)),(IF(H30&lt;8000000,((H30^2*-0.0000000000186)+(H30*0.00194)+(154.1)),((V30^2*-0.00000002)+(V30*0.2565)+(-1032)))))))</f>
        <v>258.22725461126299</v>
      </c>
      <c r="BA30" s="12" t="e">
        <f t="shared" ref="BA30:BA33" si="25">IF(AJ30&lt;45000,((-0.0000004561*AJ30^2)+(0.244*AJ30)+(-21.72)),((-0.0000000409*AJ30^2)+(0.2477*AJ30)+(-1777)))</f>
        <v>#VALUE!</v>
      </c>
      <c r="BC30" s="13">
        <f t="shared" ref="BC30:BC33" si="26">IF(H30&lt;10000,((H30^2*0.00000005714)+(H30*0.002453)+(-3.811)),(IF(H30&lt;200000,((H30^2*-0.0000000002888)+(H30*0.002899)+(-4.321)),(IF(H30&lt;8000000,((H30^2*-0.0000000000062)+(H30*0.002143)+(157)),((V30^2*-0.000000031)+(V30*0.2771)+(-709.5)))))))</f>
        <v>262.05122107820716</v>
      </c>
      <c r="BD30" s="14" t="e">
        <f t="shared" ref="BD30:BD33" si="27">IF(AJ30&lt;45000,((-0.0000000598*AJ30^2)+(0.205*AJ30)+(34.1)),((-0.00000002403*AJ30^2)+(0.2063*AJ30)+(-550.7)))</f>
        <v>#VALUE!</v>
      </c>
      <c r="BF30" s="16">
        <f t="shared" ref="BF30:BF33" si="28">IF(H30&lt;10000,((H30^2*0.000000008493)+(H30*0.003482)+(-3.269)),(IF(H30&lt;200000,((H30^2*-0.000000000263)+(H30*0.002682)+(3.179)),(IF(H30&lt;8000000,((H30^2*-0.000000000005099)+(H30*0.002054)+(174.8)),((V30^2*-0.00000001014)+(V30*0.2415)+(1123)))))))</f>
        <v>249.648327119697</v>
      </c>
      <c r="BG30" s="17" t="e">
        <f t="shared" ref="BG30:BG33" si="29">IF(AJ30&lt;45000,((-0.00000004907*AJ30^2)+(0.2277*AJ30)+(-134)),((-0.00000001062*AJ30^2)+(0.2147*AJ30)+(590.6)))</f>
        <v>#VALUE!</v>
      </c>
      <c r="BI30">
        <v>66</v>
      </c>
      <c r="BJ30" t="s">
        <v>56</v>
      </c>
      <c r="BK30" s="2">
        <v>45910.573483796295</v>
      </c>
      <c r="BL30" t="s">
        <v>57</v>
      </c>
      <c r="BM30" t="s">
        <v>13</v>
      </c>
      <c r="BN30">
        <v>0</v>
      </c>
      <c r="BO30">
        <v>2.843</v>
      </c>
      <c r="BP30" s="3">
        <v>1559467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58</v>
      </c>
      <c r="C31" s="2">
        <v>45910.594710648147</v>
      </c>
      <c r="D31" t="s">
        <v>59</v>
      </c>
      <c r="E31" t="s">
        <v>13</v>
      </c>
      <c r="F31">
        <v>0</v>
      </c>
      <c r="G31">
        <v>6.0529999999999999</v>
      </c>
      <c r="H31" s="3">
        <v>63573</v>
      </c>
      <c r="I31">
        <v>0.14399999999999999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58</v>
      </c>
      <c r="Q31" s="2">
        <v>45910.594710648147</v>
      </c>
      <c r="R31" t="s">
        <v>59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58</v>
      </c>
      <c r="AE31" s="2">
        <v>45910.594710648147</v>
      </c>
      <c r="AF31" t="s">
        <v>59</v>
      </c>
      <c r="AG31" t="s">
        <v>13</v>
      </c>
      <c r="AH31">
        <v>0</v>
      </c>
      <c r="AI31">
        <v>12.036</v>
      </c>
      <c r="AJ31" s="3">
        <v>77547</v>
      </c>
      <c r="AK31">
        <v>16.826000000000001</v>
      </c>
      <c r="AL31" t="s">
        <v>14</v>
      </c>
      <c r="AM31" t="s">
        <v>14</v>
      </c>
      <c r="AN31" t="s">
        <v>14</v>
      </c>
      <c r="AO31" t="s">
        <v>14</v>
      </c>
      <c r="AQ31">
        <v>2</v>
      </c>
      <c r="AR31" t="s">
        <v>69</v>
      </c>
      <c r="AS31" s="10">
        <v>67</v>
      </c>
      <c r="AT31" s="16">
        <f t="shared" si="20"/>
        <v>172.618864575473</v>
      </c>
      <c r="AU31" s="17">
        <f t="shared" si="21"/>
        <v>17176.077134840416</v>
      </c>
      <c r="AW31" s="6">
        <f t="shared" si="22"/>
        <v>146.47389946946231</v>
      </c>
      <c r="AX31" s="7">
        <f t="shared" si="23"/>
        <v>15771.799430426317</v>
      </c>
      <c r="AZ31" s="11">
        <f t="shared" si="24"/>
        <v>176.65915197916701</v>
      </c>
      <c r="BA31" s="12">
        <f t="shared" si="25"/>
        <v>17185.438228151899</v>
      </c>
      <c r="BC31" s="13">
        <f t="shared" si="26"/>
        <v>178.8099341961848</v>
      </c>
      <c r="BD31" s="14">
        <f t="shared" si="27"/>
        <v>15302.74080086773</v>
      </c>
      <c r="BF31" s="16">
        <f t="shared" si="28"/>
        <v>172.618864575473</v>
      </c>
      <c r="BG31" s="17">
        <f t="shared" si="29"/>
        <v>17176.077134840416</v>
      </c>
      <c r="BI31">
        <v>67</v>
      </c>
      <c r="BJ31" t="s">
        <v>58</v>
      </c>
      <c r="BK31" s="2">
        <v>45910.594710648147</v>
      </c>
      <c r="BL31" t="s">
        <v>59</v>
      </c>
      <c r="BM31" t="s">
        <v>13</v>
      </c>
      <c r="BN31">
        <v>0</v>
      </c>
      <c r="BO31">
        <v>2.8380000000000001</v>
      </c>
      <c r="BP31" s="3">
        <v>1627662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60</v>
      </c>
      <c r="C32" s="2">
        <v>45910.615925925929</v>
      </c>
      <c r="D32" t="s">
        <v>61</v>
      </c>
      <c r="E32" t="s">
        <v>13</v>
      </c>
      <c r="F32">
        <v>0</v>
      </c>
      <c r="G32">
        <v>6.0590000000000002</v>
      </c>
      <c r="H32" s="3">
        <v>15676</v>
      </c>
      <c r="I32">
        <v>3.5999999999999997E-2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60</v>
      </c>
      <c r="Q32" s="2">
        <v>45910.615925925929</v>
      </c>
      <c r="R32" t="s">
        <v>61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60</v>
      </c>
      <c r="AE32" s="2">
        <v>45910.615925925929</v>
      </c>
      <c r="AF32" t="s">
        <v>61</v>
      </c>
      <c r="AG32" t="s">
        <v>13</v>
      </c>
      <c r="AH32">
        <v>0</v>
      </c>
      <c r="AI32">
        <v>12.276999999999999</v>
      </c>
      <c r="AJ32" s="3">
        <v>1041</v>
      </c>
      <c r="AK32">
        <v>0.13200000000000001</v>
      </c>
      <c r="AL32" t="s">
        <v>14</v>
      </c>
      <c r="AM32" t="s">
        <v>14</v>
      </c>
      <c r="AN32" t="s">
        <v>14</v>
      </c>
      <c r="AO32" t="s">
        <v>14</v>
      </c>
      <c r="AQ32">
        <v>2</v>
      </c>
      <c r="AR32" t="s">
        <v>68</v>
      </c>
      <c r="AS32" s="10">
        <v>68</v>
      </c>
      <c r="AT32" s="16">
        <f t="shared" si="20"/>
        <v>45.157403175311998</v>
      </c>
      <c r="AU32" s="17">
        <f t="shared" si="21"/>
        <v>102.98252377333003</v>
      </c>
      <c r="AW32" s="6">
        <f t="shared" si="22"/>
        <v>34.317456343952955</v>
      </c>
      <c r="AX32" s="7">
        <f t="shared" si="23"/>
        <v>111.44704446088001</v>
      </c>
      <c r="AZ32" s="11">
        <f t="shared" si="24"/>
        <v>36.894540788848005</v>
      </c>
      <c r="BA32" s="12">
        <f t="shared" si="25"/>
        <v>231.7897330959</v>
      </c>
      <c r="BC32" s="13">
        <f t="shared" si="26"/>
        <v>41.052755161331206</v>
      </c>
      <c r="BD32" s="14">
        <f t="shared" si="27"/>
        <v>247.44019587619999</v>
      </c>
      <c r="BF32" s="16">
        <f t="shared" si="28"/>
        <v>45.157403175311998</v>
      </c>
      <c r="BG32" s="17">
        <f t="shared" si="29"/>
        <v>102.98252377333003</v>
      </c>
      <c r="BI32">
        <v>68</v>
      </c>
      <c r="BJ32" t="s">
        <v>60</v>
      </c>
      <c r="BK32" s="2">
        <v>45910.615925925929</v>
      </c>
      <c r="BL32" t="s">
        <v>61</v>
      </c>
      <c r="BM32" t="s">
        <v>13</v>
      </c>
      <c r="BN32">
        <v>0</v>
      </c>
      <c r="BO32">
        <v>2.8140000000000001</v>
      </c>
      <c r="BP32" s="3">
        <v>2272942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62</v>
      </c>
      <c r="C33" s="2">
        <v>45910.637129629627</v>
      </c>
      <c r="D33" t="s">
        <v>63</v>
      </c>
      <c r="E33" t="s">
        <v>13</v>
      </c>
      <c r="F33">
        <v>0</v>
      </c>
      <c r="G33">
        <v>6.0810000000000004</v>
      </c>
      <c r="H33" s="3">
        <v>1509</v>
      </c>
      <c r="I33">
        <v>4.0000000000000001E-3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62</v>
      </c>
      <c r="Q33" s="2">
        <v>45910.637129629627</v>
      </c>
      <c r="R33" t="s">
        <v>63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62</v>
      </c>
      <c r="AE33" s="2">
        <v>45910.637129629627</v>
      </c>
      <c r="AF33" t="s">
        <v>63</v>
      </c>
      <c r="AG33" t="s">
        <v>13</v>
      </c>
      <c r="AH33">
        <v>0</v>
      </c>
      <c r="AI33" t="s">
        <v>14</v>
      </c>
      <c r="AJ33" s="3" t="s">
        <v>14</v>
      </c>
      <c r="AK33" t="s">
        <v>14</v>
      </c>
      <c r="AL33" t="s">
        <v>14</v>
      </c>
      <c r="AM33" t="s">
        <v>14</v>
      </c>
      <c r="AN33" t="s">
        <v>14</v>
      </c>
      <c r="AO33" t="s">
        <v>14</v>
      </c>
      <c r="AQ33">
        <v>3</v>
      </c>
      <c r="AR33" t="s">
        <v>67</v>
      </c>
      <c r="AS33" s="10">
        <v>69</v>
      </c>
      <c r="AT33" s="16">
        <f t="shared" si="20"/>
        <v>2.0046772489329996</v>
      </c>
      <c r="AU33" s="17" t="e">
        <f t="shared" si="21"/>
        <v>#VALUE!</v>
      </c>
      <c r="AW33" s="6">
        <f t="shared" si="22"/>
        <v>-0.21427603070000001</v>
      </c>
      <c r="AX33" s="7" t="e">
        <f t="shared" si="23"/>
        <v>#VALUE!</v>
      </c>
      <c r="AZ33" s="11">
        <f t="shared" si="24"/>
        <v>6.7592387400000007</v>
      </c>
      <c r="BA33" s="12" t="e">
        <f t="shared" si="25"/>
        <v>#VALUE!</v>
      </c>
      <c r="BC33" s="13">
        <f t="shared" si="26"/>
        <v>2.0689408339999993E-2</v>
      </c>
      <c r="BD33" s="14" t="e">
        <f t="shared" si="27"/>
        <v>#VALUE!</v>
      </c>
      <c r="BF33" s="16">
        <f t="shared" si="28"/>
        <v>2.0046772489329996</v>
      </c>
      <c r="BG33" s="17" t="e">
        <f t="shared" si="29"/>
        <v>#VALUE!</v>
      </c>
      <c r="BI33">
        <v>69</v>
      </c>
      <c r="BJ33" t="s">
        <v>62</v>
      </c>
      <c r="BK33" s="2">
        <v>45910.637129629627</v>
      </c>
      <c r="BL33" t="s">
        <v>63</v>
      </c>
      <c r="BM33" t="s">
        <v>13</v>
      </c>
      <c r="BN33">
        <v>0</v>
      </c>
      <c r="BO33">
        <v>2.8460000000000001</v>
      </c>
      <c r="BP33" s="3">
        <v>1449330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1:73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1:73" x14ac:dyDescent="0.35">
      <c r="C36" s="2"/>
      <c r="H36" s="3"/>
      <c r="Q36" s="2"/>
      <c r="AE36" s="2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1:73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1:73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1:73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1:73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1:73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1:73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2025-09-11T15:23:00Z</dcterms:modified>
</cp:coreProperties>
</file>