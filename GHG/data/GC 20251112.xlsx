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13_ncr:1_{12366D8F-6DD3-4560-AC91-685E7A3E5AE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<sst xmlns="http://schemas.openxmlformats.org/spreadsheetml/2006/main" count="541" uniqueCount="53">
  <si>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</si>
  <si>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</si>
  <si>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</si>
  <si>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</si>
  <si>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</si>
  <si>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</si>
  <si>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</si>
  <si>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</si>
  <si>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</si>
  <si>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</si>
  <si>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</si>
  <si>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</si>
  <si>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</si>
  <si>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</si>
  <si>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</si>
  <si>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</si>
  <si>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</si>
  <si>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</si>
  <si>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</si>
  <si>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</si>
  <si>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</si>
  <si>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</si>
  <si>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</si>
  <si>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</si>
  <si>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</si>
  <si>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</si>
  <si>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</si>
  <si>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</si>
  <si>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</si>
  <si>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</si>
  <si>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</si>
  <si>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</si>
  <si>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</si>
  <si>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</si>
  <si>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</si>
  <si>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FMI20251112_001.gcd</t>
  </si>
  <si>
    <t>FMI20251112_002.gcd</t>
  </si>
  <si>
    <t>FMI20251112_003.gcd</t>
  </si>
  <si>
    <t>FMI20251112_004.gcd</t>
  </si>
  <si>
    <t>FMI20251112_005.gcd</t>
  </si>
  <si>
    <t>FMI20251112_006.gcd</t>
  </si>
  <si>
    <t>FMI20251112_007.gcd</t>
  </si>
  <si>
    <t>FMI20251112_008.gcd</t>
  </si>
  <si>
    <t>FMI20251112_009.gcd</t>
  </si>
  <si>
    <t>FMI20251112_010.gcd</t>
  </si>
  <si>
    <t>FMI20251112_011.gcd</t>
  </si>
  <si>
    <t>FMI20251112_012.gcd</t>
  </si>
  <si>
    <t>FMI20251112_013.gcd</t>
  </si>
  <si>
    <t>FMI20251112_014.gcd</t>
  </si>
  <si>
    <t>FMI20251112_015.gcd</t>
  </si>
  <si>
    <t>FMI20251112_016.gcd</t>
  </si>
  <si>
    <t>FMI20251112_017.gcd</t>
  </si>
  <si>
    <t>Resampled due to AOC plus 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</si>
</sst>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W1" workbookViewId="0">
      <selection activeCell="W11" sqref="A11:XFD1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45973.510983796295</v>
      </c>
      <c r="D9" t="s">
        <v>33</v>
      </c>
      <c r="E9" t="s">
        <v>13</v>
      </c>
      <c r="F9">
        <v>0</v>
      </c>
      <c r="G9">
        <v>6.1360000000000001</v>
      </c>
      <c r="H9" s="3">
        <v>1582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45973.510983796295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45973.510983796295</v>
      </c>
      <c r="AF9" t="s">
        <v>33</v>
      </c>
      <c r="AG9" t="s">
        <v>13</v>
      </c>
      <c r="AH9">
        <v>0</v>
      </c>
      <c r="AI9">
        <v>12.443</v>
      </c>
      <c r="AJ9" s="3">
        <v>1932</v>
      </c>
      <c r="AK9">
        <v>0.32700000000000001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2.2607796349319997</v>
      </c>
      <c r="AU9" s="17">
        <f t="shared" ref="AU9:AU14" si="1">IF(AJ9&lt;45000,((-0.00000004907*AJ9^2)+(0.2277*AJ9)+(-134)),((-0.00000001062*AJ9^2)+(0.2147*AJ9)+(590.6)))</f>
        <v>305.73324014031999</v>
      </c>
      <c r="AW9" s="6">
        <f t="shared" ref="AW9:AW14" si="2">IF(H9&lt;10000,((0.0000001453*H9^2)+(0.0008349*H9)+(-1.805)),(IF(H9&lt;700000,((-0.00000000008054*H9^2)+(0.002348*H9)+(-2.47)), ((-0.00000001938*V9^2)+(0.2471*V9)+(226.8)))))</f>
        <v>-0.12054240279999995</v>
      </c>
      <c r="AX9" s="7">
        <f t="shared" ref="AX9:AX14" si="3">(-0.00000002552*AJ9^2)+(0.2067*AJ9)+(-103.7)</f>
        <v>295.54914343552002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6.5332409600000005</v>
      </c>
      <c r="BA9" s="12">
        <f t="shared" ref="BA9:BA14" si="5">IF(AJ9&lt;45000,((-0.0000004561*AJ9^2)+(0.244*AJ9)+(-21.72)),((-0.0000000409*AJ9^2)+(0.2477*AJ9)+(-1777)))</f>
        <v>447.98555019360003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0.21265164935999969</v>
      </c>
      <c r="BD9" s="14">
        <f t="shared" ref="BD9:BD14" si="7">IF(AJ9&lt;45000,((-0.0000000598*AJ9^2)+(0.205*AJ9)+(34.1)),((-0.00000002403*AJ9^2)+(0.2063*AJ9)+(-550.7)))</f>
        <v>429.93678908480001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2.2607796349319997</v>
      </c>
      <c r="BG9" s="17">
        <f t="shared" ref="BG9:BG14" si="9">IF(AJ9&lt;45000,((-0.00000004907*AJ9^2)+(0.2277*AJ9)+(-134)),((-0.00000001062*AJ9^2)+(0.2147*AJ9)+(590.6)))</f>
        <v>305.73324014031999</v>
      </c>
      <c r="BI9">
        <v>45</v>
      </c>
      <c r="BJ9" t="s">
        <v>35</v>
      </c>
      <c r="BK9" s="2">
        <v>45973.510983796295</v>
      </c>
      <c r="BL9" t="s">
        <v>33</v>
      </c>
      <c r="BM9" t="s">
        <v>13</v>
      </c>
      <c r="BN9">
        <v>0</v>
      </c>
      <c r="BO9">
        <v>2.7410000000000001</v>
      </c>
      <c r="BP9" s="3">
        <v>5010279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45973.532233796293</v>
      </c>
      <c r="D10" t="s">
        <v>34</v>
      </c>
      <c r="E10" t="s">
        <v>13</v>
      </c>
      <c r="F10">
        <v>0</v>
      </c>
      <c r="G10">
        <v>6.0750000000000002</v>
      </c>
      <c r="H10" s="3">
        <v>592736</v>
      </c>
      <c r="I10">
        <v>1.3380000000000001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45973.532233796293</v>
      </c>
      <c r="R10" t="s">
        <v>34</v>
      </c>
      <c r="S10" t="s">
        <v>13</v>
      </c>
      <c r="T10">
        <v>0</v>
      </c>
      <c r="U10">
        <v>6.0279999999999996</v>
      </c>
      <c r="V10" s="3">
        <v>4821</v>
      </c>
      <c r="W10">
        <v>1.2829999999999999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45973.532233796293</v>
      </c>
      <c r="AF10" t="s">
        <v>34</v>
      </c>
      <c r="AG10" t="s">
        <v>13</v>
      </c>
      <c r="AH10">
        <v>0</v>
      </c>
      <c r="AI10">
        <v>12.395</v>
      </c>
      <c r="AJ10" s="3">
        <v>7074</v>
      </c>
      <c r="AK10">
        <v>1.4550000000000001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1390.4882819109159</v>
      </c>
      <c r="AU10" s="17">
        <f t="shared" si="1"/>
        <v>1474.29426477268</v>
      </c>
      <c r="AW10" s="6">
        <f t="shared" si="2"/>
        <v>1360.977529322844</v>
      </c>
      <c r="AX10" s="7">
        <f t="shared" si="3"/>
        <v>1357.21874153248</v>
      </c>
      <c r="AZ10" s="11">
        <f t="shared" si="4"/>
        <v>1297.4729910380545</v>
      </c>
      <c r="BA10" s="12">
        <f t="shared" si="5"/>
        <v>1681.5120827963999</v>
      </c>
      <c r="BC10" s="13">
        <f t="shared" si="6"/>
        <v>1425.0549650126848</v>
      </c>
      <c r="BD10" s="14">
        <f t="shared" si="7"/>
        <v>1481.2775197351998</v>
      </c>
      <c r="BF10" s="16">
        <f t="shared" si="8"/>
        <v>1390.4882819109159</v>
      </c>
      <c r="BG10" s="17">
        <f t="shared" si="9"/>
        <v>1474.29426477268</v>
      </c>
      <c r="BI10">
        <v>46</v>
      </c>
      <c r="BJ10" t="s">
        <v>36</v>
      </c>
      <c r="BK10" s="2">
        <v>45973.532233796293</v>
      </c>
      <c r="BL10" t="s">
        <v>34</v>
      </c>
      <c r="BM10" t="s">
        <v>13</v>
      </c>
      <c r="BN10">
        <v>0</v>
      </c>
      <c r="BO10">
        <v>2.7360000000000002</v>
      </c>
      <c r="BP10" s="3">
        <v>5009974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45973.553460648145</v>
      </c>
      <c r="D11" t="s">
        <v>28</v>
      </c>
      <c r="E11" t="s">
        <v>13</v>
      </c>
      <c r="F11">
        <v>0</v>
      </c>
      <c r="G11">
        <v>6.1040000000000001</v>
      </c>
      <c r="H11" s="3">
        <v>2704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45973.553460648145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45973.553460648145</v>
      </c>
      <c r="AF11" t="s">
        <v>28</v>
      </c>
      <c r="AG11" t="s">
        <v>13</v>
      </c>
      <c r="AH11">
        <v>0</v>
      </c>
      <c r="AI11">
        <v>12.438000000000001</v>
      </c>
      <c r="AJ11" s="3">
        <v>1863</v>
      </c>
      <c r="AK11">
        <v>0.312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6.2084255546879987</v>
      </c>
      <c r="AU11" s="17">
        <f t="shared" si="1"/>
        <v>290.03478936517001</v>
      </c>
      <c r="AW11" s="6">
        <f t="shared" si="2"/>
        <v>1.5149474048000002</v>
      </c>
      <c r="AX11" s="7">
        <f t="shared" si="3"/>
        <v>281.29352597511996</v>
      </c>
      <c r="AZ11" s="11">
        <f t="shared" si="4"/>
        <v>3.783712640000001</v>
      </c>
      <c r="BA11" s="12">
        <f t="shared" si="5"/>
        <v>431.26898225909997</v>
      </c>
      <c r="BC11" s="13">
        <f t="shared" si="6"/>
        <v>3.2396977382399994</v>
      </c>
      <c r="BD11" s="14">
        <f t="shared" si="7"/>
        <v>415.80744801380001</v>
      </c>
      <c r="BF11" s="16">
        <f t="shared" si="8"/>
        <v>6.2084255546879987</v>
      </c>
      <c r="BG11" s="17">
        <f t="shared" si="9"/>
        <v>290.03478936517001</v>
      </c>
      <c r="BI11">
        <v>47</v>
      </c>
      <c r="BJ11" t="s">
        <v>37</v>
      </c>
      <c r="BK11" s="2">
        <v>45973.553460648145</v>
      </c>
      <c r="BL11" t="s">
        <v>28</v>
      </c>
      <c r="BM11" t="s">
        <v>13</v>
      </c>
      <c r="BN11">
        <v>0</v>
      </c>
      <c r="BO11">
        <v>2.734</v>
      </c>
      <c r="BP11" s="3">
        <v>5072828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45973.609236111108</v>
      </c>
      <c r="D12">
        <v>167</v>
      </c>
      <c r="E12" t="s">
        <v>13</v>
      </c>
      <c r="F12">
        <v>0</v>
      </c>
      <c r="G12">
        <v>6.1040000000000001</v>
      </c>
      <c r="H12" s="3">
        <v>3319</v>
      </c>
      <c r="I12">
        <v>8.0000000000000002E-3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45973.609236111108</v>
      </c>
      <c r="R12">
        <v>167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45973.609236111108</v>
      </c>
      <c r="AF12">
        <v>167</v>
      </c>
      <c r="AG12" t="s">
        <v>13</v>
      </c>
      <c r="AH12">
        <v>0</v>
      </c>
      <c r="AI12" t="s">
        <v>14</v>
      </c>
      <c r="AJ12" s="3" t="s">
        <v>14</v>
      </c>
      <c r="AK12" t="s">
        <v>14</v>
      </c>
      <c r="AL12" t="s">
        <v>14</v>
      </c>
      <c r="AM12" t="s">
        <v>14</v>
      </c>
      <c r="AN12" t="s">
        <v>14</v>
      </c>
      <c r="AO12" t="s">
        <v>14</v>
      </c>
      <c r="AQ12">
        <v>2</v>
      </c>
      <c r="AR12" t="s">
        <v>52</v>
      </c>
      <c r="AS12" s="10">
        <v>48</v>
      </c>
      <c r="AT12" s="16">
        <f t="shared" si="0"/>
        <v>8.3813148581730008</v>
      </c>
      <c r="AU12" s="17" t="e">
        <f t="shared" si="1"/>
        <v>#VALUE!</v>
      </c>
      <c r="AW12" s="6">
        <f t="shared" si="2"/>
        <v>2.5666231733</v>
      </c>
      <c r="AX12" s="7" t="e">
        <f t="shared" si="3"/>
        <v>#VALUE!</v>
      </c>
      <c r="AZ12" s="11">
        <f t="shared" si="4"/>
        <v>2.8534759400000009</v>
      </c>
      <c r="BA12" s="12" t="e">
        <f t="shared" si="5"/>
        <v>#VALUE!</v>
      </c>
      <c r="BC12" s="13">
        <f t="shared" si="6"/>
        <v>4.9599475835399982</v>
      </c>
      <c r="BD12" s="14" t="e">
        <f t="shared" si="7"/>
        <v>#VALUE!</v>
      </c>
      <c r="BF12" s="16">
        <f t="shared" si="8"/>
        <v>8.3813148581730008</v>
      </c>
      <c r="BG12" s="17" t="e">
        <f t="shared" si="9"/>
        <v>#VALUE!</v>
      </c>
      <c r="BI12">
        <v>48</v>
      </c>
      <c r="BJ12" t="s">
        <v>38</v>
      </c>
      <c r="BK12" s="2">
        <v>45973.609236111108</v>
      </c>
      <c r="BL12">
        <v>167</v>
      </c>
      <c r="BM12" t="s">
        <v>13</v>
      </c>
      <c r="BN12">
        <v>0</v>
      </c>
      <c r="BO12">
        <v>2.8519999999999999</v>
      </c>
      <c r="BP12" s="3">
        <v>1586064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45973.63045138889</v>
      </c>
      <c r="D13">
        <v>269</v>
      </c>
      <c r="E13" t="s">
        <v>13</v>
      </c>
      <c r="F13">
        <v>0</v>
      </c>
      <c r="G13">
        <v>6.0839999999999996</v>
      </c>
      <c r="H13" s="3">
        <v>5352</v>
      </c>
      <c r="I13">
        <v>1.2E-2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45973.63045138889</v>
      </c>
      <c r="R13">
        <v>269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45973.63045138889</v>
      </c>
      <c r="AF13">
        <v>269</v>
      </c>
      <c r="AG13" t="s">
        <v>13</v>
      </c>
      <c r="AH13">
        <v>0</v>
      </c>
      <c r="AI13">
        <v>12.304</v>
      </c>
      <c r="AJ13" s="3">
        <v>16771</v>
      </c>
      <c r="AK13">
        <v>3.58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15.609936676671998</v>
      </c>
      <c r="AU13" s="17">
        <f t="shared" si="1"/>
        <v>3670.9549557401306</v>
      </c>
      <c r="AW13" s="6">
        <f t="shared" si="2"/>
        <v>6.8253440512000001</v>
      </c>
      <c r="AX13" s="7">
        <f t="shared" si="3"/>
        <v>3355.6877804256801</v>
      </c>
      <c r="AZ13" s="11">
        <f t="shared" si="4"/>
        <v>2.685428159999999</v>
      </c>
      <c r="BA13" s="12">
        <f t="shared" si="5"/>
        <v>3942.1183762598998</v>
      </c>
      <c r="BC13" s="13">
        <f t="shared" si="6"/>
        <v>10.95416867456</v>
      </c>
      <c r="BD13" s="14">
        <f t="shared" si="7"/>
        <v>3455.3352668281996</v>
      </c>
      <c r="BF13" s="16">
        <f t="shared" si="8"/>
        <v>15.609936676671998</v>
      </c>
      <c r="BG13" s="17">
        <f t="shared" si="9"/>
        <v>3670.9549557401306</v>
      </c>
      <c r="BI13">
        <v>49</v>
      </c>
      <c r="BJ13" t="s">
        <v>39</v>
      </c>
      <c r="BK13" s="2">
        <v>45973.63045138889</v>
      </c>
      <c r="BL13">
        <v>269</v>
      </c>
      <c r="BM13" t="s">
        <v>13</v>
      </c>
      <c r="BN13">
        <v>0</v>
      </c>
      <c r="BO13">
        <v>2.8919999999999999</v>
      </c>
      <c r="BP13" s="3">
        <v>797760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45973.651666666665</v>
      </c>
      <c r="D14">
        <v>410</v>
      </c>
      <c r="E14" t="s">
        <v>13</v>
      </c>
      <c r="F14">
        <v>0</v>
      </c>
      <c r="G14">
        <v>6.0819999999999999</v>
      </c>
      <c r="H14" s="3">
        <v>10867</v>
      </c>
      <c r="I14">
        <v>2.5000000000000001E-2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45973.651666666665</v>
      </c>
      <c r="R14">
        <v>410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45973.651666666665</v>
      </c>
      <c r="AF14">
        <v>410</v>
      </c>
      <c r="AG14" t="s">
        <v>13</v>
      </c>
      <c r="AH14">
        <v>0</v>
      </c>
      <c r="AI14">
        <v>12.331</v>
      </c>
      <c r="AJ14" s="3">
        <v>18824</v>
      </c>
      <c r="AK14">
        <v>4.0289999999999999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32.293235885793003</v>
      </c>
      <c r="AU14" s="17">
        <f t="shared" si="1"/>
        <v>4134.8371901676801</v>
      </c>
      <c r="AW14" s="6">
        <f t="shared" si="2"/>
        <v>23.036204895367938</v>
      </c>
      <c r="AX14" s="7">
        <f t="shared" si="3"/>
        <v>3778.1779672524799</v>
      </c>
      <c r="AZ14" s="11">
        <f t="shared" si="4"/>
        <v>22.462050406446998</v>
      </c>
      <c r="BA14" s="12">
        <f t="shared" si="5"/>
        <v>4409.7201686463995</v>
      </c>
      <c r="BC14" s="13">
        <f t="shared" si="6"/>
        <v>27.148328120216803</v>
      </c>
      <c r="BD14" s="14">
        <f t="shared" si="7"/>
        <v>3871.8302900351996</v>
      </c>
      <c r="BF14" s="16">
        <f t="shared" si="8"/>
        <v>32.293235885793003</v>
      </c>
      <c r="BG14" s="17">
        <f t="shared" si="9"/>
        <v>4134.8371901676801</v>
      </c>
      <c r="BI14">
        <v>50</v>
      </c>
      <c r="BJ14" t="s">
        <v>40</v>
      </c>
      <c r="BK14" s="2">
        <v>45973.651666666665</v>
      </c>
      <c r="BL14">
        <v>410</v>
      </c>
      <c r="BM14" t="s">
        <v>13</v>
      </c>
      <c r="BN14">
        <v>0</v>
      </c>
      <c r="BO14">
        <v>2.8919999999999999</v>
      </c>
      <c r="BP14" s="3">
        <v>798633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45973.672881944447</v>
      </c>
      <c r="D15">
        <v>42</v>
      </c>
      <c r="E15" t="s">
        <v>13</v>
      </c>
      <c r="F15">
        <v>0</v>
      </c>
      <c r="G15">
        <v>6.0960000000000001</v>
      </c>
      <c r="H15" s="3">
        <v>3265</v>
      </c>
      <c r="I15">
        <v>8.0000000000000002E-3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45973.672881944447</v>
      </c>
      <c r="R15">
        <v>42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45973.672881944447</v>
      </c>
      <c r="AF15">
        <v>42</v>
      </c>
      <c r="AG15" t="s">
        <v>13</v>
      </c>
      <c r="AH15">
        <v>0</v>
      </c>
      <c r="AI15">
        <v>12.343</v>
      </c>
      <c r="AJ15" s="3">
        <v>13068</v>
      </c>
      <c r="AK15">
        <v>2.7690000000000001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5" si="10">IF(H15&lt;10000,((H15^2*0.000000008493)+(H15*0.003482)+(-3.269)),(IF(H15&lt;200000,((H15^2*-0.000000000263)+(H15*0.002682)+(3.179)),(IF(H15&lt;8000000,((H15^2*-0.000000000005099)+(H15*0.002054)+(174.8)),((V15^2*-0.00000001014)+(V15*0.2415)+(1123)))))))</f>
        <v>8.1902672909250001</v>
      </c>
      <c r="AU15" s="17">
        <f t="shared" ref="AU15:AU25" si="11">IF(AJ15&lt;45000,((-0.00000004907*AJ15^2)+(0.2277*AJ15)+(-134)),((-0.00000001062*AJ15^2)+(0.2147*AJ15)+(590.6)))</f>
        <v>2833.2037873403206</v>
      </c>
      <c r="AW15" s="6">
        <f t="shared" ref="AW15:AW25" si="12">IF(H15&lt;10000,((0.0000001453*H15^2)+(0.0008349*H15)+(-1.805)),(IF(H15&lt;700000,((-0.00000000008054*H15^2)+(0.002348*H15)+(-2.47)), ((-0.00000001938*V15^2)+(0.2471*V15)+(226.8)))))</f>
        <v>2.4698791925000005</v>
      </c>
      <c r="AX15" s="7">
        <f t="shared" ref="AX15:AX25" si="13">(-0.00000002552*AJ15^2)+(0.2067*AJ15)+(-103.7)</f>
        <v>2593.09748263552</v>
      </c>
      <c r="AZ15" s="11">
        <f t="shared" ref="AZ15:AZ25" si="14">IF(H15&lt;10000,((H15^2*0.00000054)+(H15*-0.004765)+(12.72)),(IF(H15&lt;200000,((H15^2*-0.000000001577)+(H15*0.003043)+(-10.42)),(IF(H15&lt;8000000,((H15^2*-0.0000000000186)+(H15*0.00194)+(154.1)),((V15^2*-0.00000002)+(V15*0.2565)+(-1032)))))))</f>
        <v>2.9187965000000009</v>
      </c>
      <c r="BA15" s="12">
        <f t="shared" ref="BA15:BA25" si="15">IF(AJ15&lt;45000,((-0.0000004561*AJ15^2)+(0.244*AJ15)+(-21.72)),((-0.0000000409*AJ15^2)+(0.2477*AJ15)+(-1777)))</f>
        <v>3088.9826061936001</v>
      </c>
      <c r="BC15" s="13">
        <f t="shared" ref="BC15:BC25" si="16">IF(H15&lt;10000,((H15^2*0.00000005714)+(H15*0.002453)+(-3.811)),(IF(H15&lt;200000,((H15^2*-0.0000000002888)+(H15*0.002899)+(-4.321)),(IF(H15&lt;8000000,((H15^2*-0.0000000000062)+(H15*0.002143)+(157)),((V15^2*-0.000000031)+(V15*0.2771)+(-709.5)))))))</f>
        <v>4.807170256500001</v>
      </c>
      <c r="BD15" s="14">
        <f t="shared" ref="BD15:BD25" si="17">IF(AJ15&lt;45000,((-0.0000000598*AJ15^2)+(0.205*AJ15)+(34.1)),((-0.00000002403*AJ15^2)+(0.2063*AJ15)+(-550.7)))</f>
        <v>2702.8277970847998</v>
      </c>
      <c r="BF15" s="16">
        <f t="shared" ref="BF15:BF25" si="18">IF(H15&lt;10000,((H15^2*0.000000008493)+(H15*0.003482)+(-3.269)),(IF(H15&lt;200000,((H15^2*-0.000000000263)+(H15*0.002682)+(3.179)),(IF(H15&lt;8000000,((H15^2*-0.000000000005099)+(H15*0.002054)+(174.8)),((V15^2*-0.00000001014)+(V15*0.2415)+(1123)))))))</f>
        <v>8.1902672909250001</v>
      </c>
      <c r="BG15" s="17">
        <f t="shared" ref="BG15:BG25" si="19">IF(AJ15&lt;45000,((-0.00000004907*AJ15^2)+(0.2277*AJ15)+(-134)),((-0.00000001062*AJ15^2)+(0.2147*AJ15)+(590.6)))</f>
        <v>2833.2037873403206</v>
      </c>
      <c r="BI15">
        <v>51</v>
      </c>
      <c r="BJ15" t="s">
        <v>41</v>
      </c>
      <c r="BK15" s="2">
        <v>45973.672881944447</v>
      </c>
      <c r="BL15">
        <v>42</v>
      </c>
      <c r="BM15" t="s">
        <v>13</v>
      </c>
      <c r="BN15">
        <v>0</v>
      </c>
      <c r="BO15">
        <v>2.8849999999999998</v>
      </c>
      <c r="BP15" s="3">
        <v>932683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45973.694085648145</v>
      </c>
      <c r="D16">
        <v>129</v>
      </c>
      <c r="E16" t="s">
        <v>13</v>
      </c>
      <c r="F16">
        <v>0</v>
      </c>
      <c r="G16">
        <v>6.0880000000000001</v>
      </c>
      <c r="H16" s="3">
        <v>5496</v>
      </c>
      <c r="I16">
        <v>1.2999999999999999E-2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45973.694085648145</v>
      </c>
      <c r="R16">
        <v>129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45973.694085648145</v>
      </c>
      <c r="AF16">
        <v>129</v>
      </c>
      <c r="AG16" t="s">
        <v>13</v>
      </c>
      <c r="AH16">
        <v>0</v>
      </c>
      <c r="AI16">
        <v>12.35</v>
      </c>
      <c r="AJ16" s="3">
        <v>17984</v>
      </c>
      <c r="AK16">
        <v>3.8450000000000002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16.124611693887999</v>
      </c>
      <c r="AU16" s="17">
        <f t="shared" si="11"/>
        <v>3945.0863717580805</v>
      </c>
      <c r="AW16" s="6">
        <f t="shared" si="12"/>
        <v>7.1725445247999993</v>
      </c>
      <c r="AX16" s="7">
        <f t="shared" si="13"/>
        <v>3605.3390129868799</v>
      </c>
      <c r="AZ16" s="11">
        <f t="shared" si="14"/>
        <v>2.842808640000003</v>
      </c>
      <c r="BA16" s="12">
        <f t="shared" si="15"/>
        <v>4218.8621968383995</v>
      </c>
      <c r="BC16" s="13">
        <f t="shared" si="16"/>
        <v>11.39665975424</v>
      </c>
      <c r="BD16" s="14">
        <f t="shared" si="17"/>
        <v>3701.4792294911999</v>
      </c>
      <c r="BF16" s="16">
        <f t="shared" si="18"/>
        <v>16.124611693887999</v>
      </c>
      <c r="BG16" s="17">
        <f t="shared" si="19"/>
        <v>3945.0863717580805</v>
      </c>
      <c r="BI16">
        <v>52</v>
      </c>
      <c r="BJ16" t="s">
        <v>42</v>
      </c>
      <c r="BK16" s="2">
        <v>45973.694085648145</v>
      </c>
      <c r="BL16">
        <v>129</v>
      </c>
      <c r="BM16" t="s">
        <v>13</v>
      </c>
      <c r="BN16">
        <v>0</v>
      </c>
      <c r="BO16">
        <v>2.8940000000000001</v>
      </c>
      <c r="BP16" s="3">
        <v>772379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45973.715289351851</v>
      </c>
      <c r="D17">
        <v>105</v>
      </c>
      <c r="E17" t="s">
        <v>13</v>
      </c>
      <c r="F17">
        <v>0</v>
      </c>
      <c r="G17">
        <v>6.0819999999999999</v>
      </c>
      <c r="H17" s="3">
        <v>12275</v>
      </c>
      <c r="I17">
        <v>2.8000000000000001E-2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45973.715289351851</v>
      </c>
      <c r="R17">
        <v>105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45973.715289351851</v>
      </c>
      <c r="AF17">
        <v>105</v>
      </c>
      <c r="AG17" t="s">
        <v>13</v>
      </c>
      <c r="AH17">
        <v>0</v>
      </c>
      <c r="AI17">
        <v>12.34</v>
      </c>
      <c r="AJ17" s="3">
        <v>19332</v>
      </c>
      <c r="AK17">
        <v>4.1399999999999997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36.060922310624996</v>
      </c>
      <c r="AU17" s="17">
        <f t="shared" si="11"/>
        <v>4249.5576541883202</v>
      </c>
      <c r="AW17" s="6">
        <f t="shared" si="12"/>
        <v>26.339564585162499</v>
      </c>
      <c r="AX17" s="7">
        <f t="shared" si="13"/>
        <v>3882.6869067635203</v>
      </c>
      <c r="AZ17" s="11">
        <f t="shared" si="14"/>
        <v>26.695209539375</v>
      </c>
      <c r="BA17" s="12">
        <f t="shared" si="15"/>
        <v>4524.8314692335998</v>
      </c>
      <c r="BC17" s="13">
        <f t="shared" si="16"/>
        <v>31.220709879500006</v>
      </c>
      <c r="BD17" s="14">
        <f t="shared" si="17"/>
        <v>3974.8111718047999</v>
      </c>
      <c r="BF17" s="16">
        <f t="shared" si="18"/>
        <v>36.060922310624996</v>
      </c>
      <c r="BG17" s="17">
        <f t="shared" si="19"/>
        <v>4249.5576541883202</v>
      </c>
      <c r="BI17">
        <v>53</v>
      </c>
      <c r="BJ17" t="s">
        <v>43</v>
      </c>
      <c r="BK17" s="2">
        <v>45973.715289351851</v>
      </c>
      <c r="BL17">
        <v>105</v>
      </c>
      <c r="BM17" t="s">
        <v>13</v>
      </c>
      <c r="BN17">
        <v>0</v>
      </c>
      <c r="BO17">
        <v>2.8879999999999999</v>
      </c>
      <c r="BP17" s="3">
        <v>868701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45973.736516203702</v>
      </c>
      <c r="D18">
        <v>192</v>
      </c>
      <c r="E18" t="s">
        <v>13</v>
      </c>
      <c r="F18">
        <v>0</v>
      </c>
      <c r="G18">
        <v>6.0880000000000001</v>
      </c>
      <c r="H18" s="3">
        <v>5767</v>
      </c>
      <c r="I18">
        <v>1.2999999999999999E-2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45973.736516203702</v>
      </c>
      <c r="R18">
        <v>192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45973.736516203702</v>
      </c>
      <c r="AF18">
        <v>192</v>
      </c>
      <c r="AG18" t="s">
        <v>13</v>
      </c>
      <c r="AH18">
        <v>0</v>
      </c>
      <c r="AI18">
        <v>12.342000000000001</v>
      </c>
      <c r="AJ18" s="3">
        <v>16756</v>
      </c>
      <c r="AK18">
        <v>3.577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17.094156648476996</v>
      </c>
      <c r="AU18" s="17">
        <f t="shared" si="11"/>
        <v>3667.5641332884802</v>
      </c>
      <c r="AW18" s="6">
        <f t="shared" si="12"/>
        <v>7.8422976917000007</v>
      </c>
      <c r="AX18" s="7">
        <f t="shared" si="13"/>
        <v>3352.6001145612804</v>
      </c>
      <c r="AZ18" s="11">
        <f t="shared" si="14"/>
        <v>3.1997210599999999</v>
      </c>
      <c r="BA18" s="12">
        <f t="shared" si="15"/>
        <v>3938.6877512304</v>
      </c>
      <c r="BC18" s="13">
        <f t="shared" si="16"/>
        <v>12.23582963346</v>
      </c>
      <c r="BD18" s="14">
        <f t="shared" si="17"/>
        <v>3452.2903405471998</v>
      </c>
      <c r="BF18" s="16">
        <f t="shared" si="18"/>
        <v>17.094156648476996</v>
      </c>
      <c r="BG18" s="17">
        <f t="shared" si="19"/>
        <v>3667.5641332884802</v>
      </c>
      <c r="BI18">
        <v>54</v>
      </c>
      <c r="BJ18" t="s">
        <v>44</v>
      </c>
      <c r="BK18" s="2">
        <v>45973.736516203702</v>
      </c>
      <c r="BL18">
        <v>192</v>
      </c>
      <c r="BM18" t="s">
        <v>13</v>
      </c>
      <c r="BN18">
        <v>0</v>
      </c>
      <c r="BO18">
        <v>2.887</v>
      </c>
      <c r="BP18" s="3">
        <v>889282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45973.757743055554</v>
      </c>
      <c r="D19">
        <v>152</v>
      </c>
      <c r="E19" t="s">
        <v>13</v>
      </c>
      <c r="F19">
        <v>0</v>
      </c>
      <c r="G19">
        <v>6.0919999999999996</v>
      </c>
      <c r="H19" s="3">
        <v>3468</v>
      </c>
      <c r="I19">
        <v>8.0000000000000002E-3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45973.757743055554</v>
      </c>
      <c r="R19">
        <v>152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45973.757743055554</v>
      </c>
      <c r="AF19">
        <v>152</v>
      </c>
      <c r="AG19" t="s">
        <v>13</v>
      </c>
      <c r="AH19">
        <v>0</v>
      </c>
      <c r="AI19">
        <v>12.35</v>
      </c>
      <c r="AJ19" s="3">
        <v>10170</v>
      </c>
      <c r="AK19">
        <v>2.1339999999999999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8.9087215148319991</v>
      </c>
      <c r="AU19" s="17">
        <f t="shared" si="11"/>
        <v>2176.6337438770001</v>
      </c>
      <c r="AW19" s="6">
        <f t="shared" si="12"/>
        <v>2.8379597872</v>
      </c>
      <c r="AX19" s="7">
        <f t="shared" si="13"/>
        <v>1995.7994944720001</v>
      </c>
      <c r="AZ19" s="11">
        <f t="shared" si="14"/>
        <v>2.6895729599999996</v>
      </c>
      <c r="BA19" s="12">
        <f t="shared" si="15"/>
        <v>2412.58607871</v>
      </c>
      <c r="BC19" s="13">
        <f t="shared" si="16"/>
        <v>5.3832281513600009</v>
      </c>
      <c r="BD19" s="14">
        <f t="shared" si="17"/>
        <v>2112.7649517799996</v>
      </c>
      <c r="BF19" s="16">
        <f t="shared" si="18"/>
        <v>8.9087215148319991</v>
      </c>
      <c r="BG19" s="17">
        <f t="shared" si="19"/>
        <v>2176.6337438770001</v>
      </c>
      <c r="BI19">
        <v>55</v>
      </c>
      <c r="BJ19" t="s">
        <v>45</v>
      </c>
      <c r="BK19" s="2">
        <v>45973.757743055554</v>
      </c>
      <c r="BL19">
        <v>152</v>
      </c>
      <c r="BM19" t="s">
        <v>13</v>
      </c>
      <c r="BN19">
        <v>0</v>
      </c>
      <c r="BO19">
        <v>2.88</v>
      </c>
      <c r="BP19" s="3">
        <v>1028959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45973.778969907406</v>
      </c>
      <c r="D20">
        <v>165</v>
      </c>
      <c r="E20" t="s">
        <v>13</v>
      </c>
      <c r="F20">
        <v>0</v>
      </c>
      <c r="G20">
        <v>6.0839999999999996</v>
      </c>
      <c r="H20" s="3">
        <v>5894</v>
      </c>
      <c r="I20">
        <v>1.4E-2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45973.778969907406</v>
      </c>
      <c r="R20">
        <v>165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45973.778969907406</v>
      </c>
      <c r="AF20">
        <v>165</v>
      </c>
      <c r="AG20" t="s">
        <v>13</v>
      </c>
      <c r="AH20">
        <v>0</v>
      </c>
      <c r="AI20">
        <v>12.337</v>
      </c>
      <c r="AJ20" s="3">
        <v>16776</v>
      </c>
      <c r="AK20">
        <v>3.581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17.548948331348001</v>
      </c>
      <c r="AU20" s="17">
        <f t="shared" si="11"/>
        <v>3672.0852249836803</v>
      </c>
      <c r="AW20" s="6">
        <f t="shared" si="12"/>
        <v>8.1635115907999989</v>
      </c>
      <c r="AX20" s="7">
        <f t="shared" si="13"/>
        <v>3356.7169998284803</v>
      </c>
      <c r="AZ20" s="11">
        <f t="shared" si="14"/>
        <v>3.3942774400000015</v>
      </c>
      <c r="BA20" s="12">
        <f t="shared" si="15"/>
        <v>3943.2618723264004</v>
      </c>
      <c r="BC20" s="13">
        <f t="shared" si="16"/>
        <v>12.63198194504</v>
      </c>
      <c r="BD20" s="14">
        <f t="shared" si="17"/>
        <v>3456.3502362751997</v>
      </c>
      <c r="BF20" s="16">
        <f t="shared" si="18"/>
        <v>17.548948331348001</v>
      </c>
      <c r="BG20" s="17">
        <f t="shared" si="19"/>
        <v>3672.0852249836803</v>
      </c>
      <c r="BI20">
        <v>56</v>
      </c>
      <c r="BJ20" t="s">
        <v>46</v>
      </c>
      <c r="BK20" s="2">
        <v>45973.778969907406</v>
      </c>
      <c r="BL20">
        <v>165</v>
      </c>
      <c r="BM20" t="s">
        <v>13</v>
      </c>
      <c r="BN20">
        <v>0</v>
      </c>
      <c r="BO20">
        <v>2.8889999999999998</v>
      </c>
      <c r="BP20" s="3">
        <v>850361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45973.800196759257</v>
      </c>
      <c r="D21">
        <v>94</v>
      </c>
      <c r="E21" t="s">
        <v>13</v>
      </c>
      <c r="F21">
        <v>0</v>
      </c>
      <c r="G21">
        <v>6.0869999999999997</v>
      </c>
      <c r="H21" s="3">
        <v>6562</v>
      </c>
      <c r="I21">
        <v>1.4999999999999999E-2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45973.800196759257</v>
      </c>
      <c r="R21">
        <v>94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45973.800196759257</v>
      </c>
      <c r="AF21">
        <v>94</v>
      </c>
      <c r="AG21" t="s">
        <v>13</v>
      </c>
      <c r="AH21">
        <v>0</v>
      </c>
      <c r="AI21">
        <v>12.34</v>
      </c>
      <c r="AJ21" s="3">
        <v>16371</v>
      </c>
      <c r="AK21">
        <v>3.492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19.945591255091998</v>
      </c>
      <c r="AU21" s="17">
        <f t="shared" si="11"/>
        <v>3580.5254669161304</v>
      </c>
      <c r="AW21" s="6">
        <f t="shared" si="12"/>
        <v>9.9302091332000018</v>
      </c>
      <c r="AX21" s="7">
        <f t="shared" si="13"/>
        <v>3273.3460939616798</v>
      </c>
      <c r="AZ21" s="11">
        <f t="shared" si="14"/>
        <v>4.7043857600000027</v>
      </c>
      <c r="BA21" s="12">
        <f t="shared" si="15"/>
        <v>3850.5648027399002</v>
      </c>
      <c r="BC21" s="13">
        <f t="shared" si="16"/>
        <v>14.746025486159997</v>
      </c>
      <c r="BD21" s="14">
        <f t="shared" si="17"/>
        <v>3374.1280234681999</v>
      </c>
      <c r="BF21" s="16">
        <f t="shared" si="18"/>
        <v>19.945591255091998</v>
      </c>
      <c r="BG21" s="17">
        <f t="shared" si="19"/>
        <v>3580.5254669161304</v>
      </c>
      <c r="BI21">
        <v>57</v>
      </c>
      <c r="BJ21" t="s">
        <v>47</v>
      </c>
      <c r="BK21" s="2">
        <v>45973.800196759257</v>
      </c>
      <c r="BL21">
        <v>94</v>
      </c>
      <c r="BM21" t="s">
        <v>13</v>
      </c>
      <c r="BN21">
        <v>0</v>
      </c>
      <c r="BO21">
        <v>2.867</v>
      </c>
      <c r="BP21" s="3">
        <v>1270620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45973.821412037039</v>
      </c>
      <c r="D22">
        <v>135</v>
      </c>
      <c r="E22" t="s">
        <v>13</v>
      </c>
      <c r="F22">
        <v>0</v>
      </c>
      <c r="G22">
        <v>6.085</v>
      </c>
      <c r="H22" s="3">
        <v>5747</v>
      </c>
      <c r="I22">
        <v>1.2999999999999999E-2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45973.821412037039</v>
      </c>
      <c r="R22">
        <v>135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45973.821412037039</v>
      </c>
      <c r="AF22">
        <v>135</v>
      </c>
      <c r="AG22" t="s">
        <v>13</v>
      </c>
      <c r="AH22">
        <v>0</v>
      </c>
      <c r="AI22">
        <v>12.348000000000001</v>
      </c>
      <c r="AJ22" s="3">
        <v>17286</v>
      </c>
      <c r="AK22">
        <v>3.6930000000000001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17.022560880436998</v>
      </c>
      <c r="AU22" s="17">
        <f t="shared" si="11"/>
        <v>3787.3597995902805</v>
      </c>
      <c r="AW22" s="6">
        <f t="shared" si="12"/>
        <v>7.7921400077000005</v>
      </c>
      <c r="AX22" s="7">
        <f t="shared" si="13"/>
        <v>3461.6906760860802</v>
      </c>
      <c r="AZ22" s="11">
        <f t="shared" si="14"/>
        <v>3.1706698600000021</v>
      </c>
      <c r="BA22" s="12">
        <f t="shared" si="15"/>
        <v>4059.7786764443999</v>
      </c>
      <c r="BC22" s="13">
        <f t="shared" si="16"/>
        <v>12.17361143426</v>
      </c>
      <c r="BD22" s="14">
        <f t="shared" si="17"/>
        <v>3559.8614133991996</v>
      </c>
      <c r="BF22" s="16">
        <f t="shared" si="18"/>
        <v>17.022560880436998</v>
      </c>
      <c r="BG22" s="17">
        <f t="shared" si="19"/>
        <v>3787.3597995902805</v>
      </c>
      <c r="BI22">
        <v>58</v>
      </c>
      <c r="BJ22" t="s">
        <v>48</v>
      </c>
      <c r="BK22" s="2">
        <v>45973.821412037039</v>
      </c>
      <c r="BL22">
        <v>135</v>
      </c>
      <c r="BM22" t="s">
        <v>13</v>
      </c>
      <c r="BN22">
        <v>0</v>
      </c>
      <c r="BO22">
        <v>2.8889999999999998</v>
      </c>
      <c r="BP22" s="3">
        <v>853529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45973.842604166668</v>
      </c>
      <c r="D23">
        <v>346</v>
      </c>
      <c r="E23" t="s">
        <v>13</v>
      </c>
      <c r="F23">
        <v>0</v>
      </c>
      <c r="G23">
        <v>6.093</v>
      </c>
      <c r="H23" s="3">
        <v>3340</v>
      </c>
      <c r="I23">
        <v>8.0000000000000002E-3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45973.842604166668</v>
      </c>
      <c r="R23">
        <v>346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45973.842604166668</v>
      </c>
      <c r="AF23">
        <v>346</v>
      </c>
      <c r="AG23" t="s">
        <v>13</v>
      </c>
      <c r="AH23">
        <v>0</v>
      </c>
      <c r="AI23">
        <v>12.349</v>
      </c>
      <c r="AJ23" s="3">
        <v>9342</v>
      </c>
      <c r="AK23">
        <v>1.952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8.4556245107999999</v>
      </c>
      <c r="AU23" s="17">
        <f t="shared" si="11"/>
        <v>1988.8909156565201</v>
      </c>
      <c r="AW23" s="6">
        <f t="shared" si="12"/>
        <v>2.60447468</v>
      </c>
      <c r="AX23" s="7">
        <f t="shared" si="13"/>
        <v>1825.0641939587199</v>
      </c>
      <c r="AZ23" s="11">
        <f t="shared" si="14"/>
        <v>2.8289239999999989</v>
      </c>
      <c r="BA23" s="12">
        <f t="shared" si="15"/>
        <v>2217.9228011196001</v>
      </c>
      <c r="BC23" s="13">
        <f t="shared" si="16"/>
        <v>5.0194509839999988</v>
      </c>
      <c r="BD23" s="14">
        <f t="shared" si="17"/>
        <v>1943.9910767527997</v>
      </c>
      <c r="BF23" s="16">
        <f t="shared" si="18"/>
        <v>8.4556245107999999</v>
      </c>
      <c r="BG23" s="17">
        <f t="shared" si="19"/>
        <v>1988.8909156565201</v>
      </c>
      <c r="BI23">
        <v>59</v>
      </c>
      <c r="BJ23" t="s">
        <v>49</v>
      </c>
      <c r="BK23" s="2">
        <v>45973.842604166668</v>
      </c>
      <c r="BL23">
        <v>346</v>
      </c>
      <c r="BM23" t="s">
        <v>13</v>
      </c>
      <c r="BN23">
        <v>0</v>
      </c>
      <c r="BO23">
        <v>2.879</v>
      </c>
      <c r="BP23" s="3">
        <v>1023177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45973.863842592589</v>
      </c>
      <c r="D24">
        <v>318</v>
      </c>
      <c r="E24" t="s">
        <v>13</v>
      </c>
      <c r="F24">
        <v>0</v>
      </c>
      <c r="G24">
        <v>6.0819999999999999</v>
      </c>
      <c r="H24" s="3">
        <v>5970</v>
      </c>
      <c r="I24">
        <v>1.4E-2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45973.863842592589</v>
      </c>
      <c r="R24">
        <v>318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45973.863842592589</v>
      </c>
      <c r="AF24">
        <v>318</v>
      </c>
      <c r="AG24" t="s">
        <v>13</v>
      </c>
      <c r="AH24">
        <v>0</v>
      </c>
      <c r="AI24">
        <v>12.340999999999999</v>
      </c>
      <c r="AJ24" s="3">
        <v>18588</v>
      </c>
      <c r="AK24">
        <v>3.9780000000000002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17.821238163700002</v>
      </c>
      <c r="AU24" s="17">
        <f t="shared" si="11"/>
        <v>4081.5332405819208</v>
      </c>
      <c r="AW24" s="6">
        <f t="shared" si="12"/>
        <v>8.3579757699999995</v>
      </c>
      <c r="AX24" s="7">
        <f t="shared" si="13"/>
        <v>3729.6220892531201</v>
      </c>
      <c r="AZ24" s="11">
        <f t="shared" si="14"/>
        <v>3.5190360000000016</v>
      </c>
      <c r="BA24" s="12">
        <f t="shared" si="15"/>
        <v>4356.1631813615995</v>
      </c>
      <c r="BC24" s="13">
        <f t="shared" si="16"/>
        <v>12.869931026</v>
      </c>
      <c r="BD24" s="14">
        <f t="shared" si="17"/>
        <v>3823.9782781087997</v>
      </c>
      <c r="BF24" s="16">
        <f t="shared" si="18"/>
        <v>17.821238163700002</v>
      </c>
      <c r="BG24" s="17">
        <f t="shared" si="19"/>
        <v>4081.5332405819208</v>
      </c>
      <c r="BI24">
        <v>60</v>
      </c>
      <c r="BJ24" t="s">
        <v>50</v>
      </c>
      <c r="BK24" s="2">
        <v>45973.863842592589</v>
      </c>
      <c r="BL24">
        <v>318</v>
      </c>
      <c r="BM24" t="s">
        <v>13</v>
      </c>
      <c r="BN24">
        <v>0</v>
      </c>
      <c r="BO24">
        <v>2.8849999999999998</v>
      </c>
      <c r="BP24" s="3">
        <v>916287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45973.885092592594</v>
      </c>
      <c r="D25">
        <v>315</v>
      </c>
      <c r="E25" t="s">
        <v>13</v>
      </c>
      <c r="F25">
        <v>0</v>
      </c>
      <c r="G25">
        <v>6.085</v>
      </c>
      <c r="H25" s="3">
        <v>5676</v>
      </c>
      <c r="I25">
        <v>1.2999999999999999E-2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45973.885092592594</v>
      </c>
      <c r="R25">
        <v>315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45973.885092592594</v>
      </c>
      <c r="AF25">
        <v>315</v>
      </c>
      <c r="AG25" t="s">
        <v>13</v>
      </c>
      <c r="AH25">
        <v>0</v>
      </c>
      <c r="AI25">
        <v>12.340999999999999</v>
      </c>
      <c r="AJ25" s="3">
        <v>17012</v>
      </c>
      <c r="AK25">
        <v>3.633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10"/>
        <v>16.768450777167999</v>
      </c>
      <c r="AU25" s="17">
        <f t="shared" si="11"/>
        <v>3725.4311423739205</v>
      </c>
      <c r="AW25" s="6">
        <f t="shared" si="12"/>
        <v>7.6150190128000013</v>
      </c>
      <c r="AX25" s="7">
        <f t="shared" si="13"/>
        <v>3405.29470416512</v>
      </c>
      <c r="AZ25" s="11">
        <f t="shared" si="14"/>
        <v>3.0710270399999988</v>
      </c>
      <c r="BA25" s="12">
        <f t="shared" si="15"/>
        <v>3997.2089455216001</v>
      </c>
      <c r="BC25" s="13">
        <f t="shared" si="16"/>
        <v>11.953106008640001</v>
      </c>
      <c r="BD25" s="14">
        <f t="shared" si="17"/>
        <v>3504.2533929887995</v>
      </c>
      <c r="BF25" s="16">
        <f t="shared" si="18"/>
        <v>16.768450777167999</v>
      </c>
      <c r="BG25" s="17">
        <f t="shared" si="19"/>
        <v>3725.4311423739205</v>
      </c>
      <c r="BI25">
        <v>61</v>
      </c>
      <c r="BJ25" t="s">
        <v>51</v>
      </c>
      <c r="BK25" s="2">
        <v>45973.885092592594</v>
      </c>
      <c r="BL25">
        <v>315</v>
      </c>
      <c r="BM25" t="s">
        <v>13</v>
      </c>
      <c r="BN25">
        <v>0</v>
      </c>
      <c r="BO25">
        <v>2.8839999999999999</v>
      </c>
      <c r="BP25" s="3">
        <v>925497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C26" s="2"/>
      <c r="H26" s="3"/>
      <c r="Q26" s="2"/>
      <c r="V26" s="3"/>
      <c r="AE26" s="2"/>
      <c r="AJ26" s="3"/>
      <c r="AS26" s="10"/>
      <c r="AT26" s="16"/>
      <c r="AU26" s="17"/>
      <c r="AW26" s="6"/>
      <c r="AX26" s="7"/>
      <c r="AZ26" s="11"/>
      <c r="BA26" s="12"/>
      <c r="BC26" s="13"/>
      <c r="BD26" s="14"/>
      <c r="BF26" s="16"/>
      <c r="BG26" s="17"/>
      <c r="BK26" s="2"/>
      <c r="BP26" s="3"/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cp:lastPrinted>2025-11-13T14:23:35Z</cp:lastPrinted>
  <dcterms:created xsi:type="dcterms:W3CDTF">2020-10-28T13:32:09Z</dcterms:created>
  <dcterms:modified xsi:type="dcterms:W3CDTF">2025-11-13T17:00:12Z</dcterms:modified>
</cp:coreProperties>
</file>