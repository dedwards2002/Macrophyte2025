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431E0572-69FA-420D-9B07-1030476350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0" i="1" l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<sst xmlns="http://schemas.openxmlformats.org/spreadsheetml/2006/main" count="876" uniqueCount="66">
  <si>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</si>
  <si>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</si>
  <si>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</si>
  <si>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</si>
  <si>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</si>
  <si>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</si>
  <si>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</si>
  <si>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</si>
  <si>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</si>
  <si>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</si>
  <si>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</si>
  <si>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</si>
  <si>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</si>
  <si>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</si>
  <si>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</si>
  <si>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</si>
  <si>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</si>
  <si>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</si>
  <si>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</si>
  <si>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</si>
  <si>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</si>
  <si>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</si>
  <si>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</si>
  <si>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</si>
  <si>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</si>
  <si>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</si>
  <si>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</si>
  <si>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</si>
  <si>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</si>
  <si>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</si>
  <si>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</si>
  <si>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</si>
  <si>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</si>
  <si>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</si>
  <si>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</si>
  <si>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FMI20251104_001.gcd</t>
  </si>
  <si>
    <t>FMI20251104_002.gcd</t>
  </si>
  <si>
    <t>FMI20251104_003.gcd</t>
  </si>
  <si>
    <t>FMI20251104_004.gcd</t>
  </si>
  <si>
    <t>FMI20251104_005.gcd</t>
  </si>
  <si>
    <t>FMI20251104_006.gcd</t>
  </si>
  <si>
    <t>FMI20251104_007.gcd</t>
  </si>
  <si>
    <t>FMI20251104_008.gcd</t>
  </si>
  <si>
    <t>FMI20251104_009.gcd</t>
  </si>
  <si>
    <t>FMI20251104_010.gcd</t>
  </si>
  <si>
    <t>FMI20251104_011.gcd</t>
  </si>
  <si>
    <t>FMI20251104_012.gcd</t>
  </si>
  <si>
    <t>FMI20251104_013.gcd</t>
  </si>
  <si>
    <t>FMI20251104_014.gcd</t>
  </si>
  <si>
    <t>FMI20251104_015.gcd</t>
  </si>
  <si>
    <t>FMI20251104_016.gcd</t>
  </si>
  <si>
    <t>FMI20251104_017.gcd</t>
  </si>
  <si>
    <t>FMI20251104_018.gcd</t>
  </si>
  <si>
    <t>FMI20251104_019.gcd</t>
  </si>
  <si>
    <t>FMI20251104_020.gcd</t>
  </si>
  <si>
    <t>FMI20251104_021.gcd</t>
  </si>
  <si>
    <t>FMI20251104_022.gcd</t>
  </si>
  <si>
    <t>FMI20251104_023.gcd</t>
  </si>
  <si>
    <t>FMI20251104_024.gcd</t>
  </si>
  <si>
    <t>FMI20251104_025.gcd</t>
  </si>
  <si>
    <t>FMI20251104_026.gcd</t>
  </si>
  <si>
    <t>FMI20251104_027.gcd</t>
  </si>
  <si>
    <t>FMI20251104_028.gcd</t>
  </si>
  <si>
    <t>FMI20251104_029.gcd</t>
  </si>
  <si>
    <t>resampled due to AOC error</t>
  </si>
  <si>
    <t>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</si>
</sst>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F1" workbookViewId="0">
      <selection activeCell="AQ27" sqref="AQ27:AR2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45965.749641203707</v>
      </c>
      <c r="D9" t="s">
        <v>33</v>
      </c>
      <c r="E9" t="s">
        <v>13</v>
      </c>
      <c r="F9">
        <v>0</v>
      </c>
      <c r="G9">
        <v>6.1180000000000003</v>
      </c>
      <c r="H9" s="3">
        <v>1684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45965.749641203707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45965.749641203707</v>
      </c>
      <c r="AF9" t="s">
        <v>33</v>
      </c>
      <c r="AG9" t="s">
        <v>13</v>
      </c>
      <c r="AH9">
        <v>0</v>
      </c>
      <c r="AI9">
        <v>12.395</v>
      </c>
      <c r="AJ9" s="3">
        <v>1759</v>
      </c>
      <c r="AK9">
        <v>0.28899999999999998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2.6187729250079999</v>
      </c>
      <c r="AU9" s="17">
        <f t="shared" ref="AU9:AU14" si="1">IF(AJ9&lt;45000,((-0.00000004907*AJ9^2)+(0.2277*AJ9)+(-134)),((-0.00000001062*AJ9^2)+(0.2147*AJ9)+(590.6)))</f>
        <v>266.37247344533006</v>
      </c>
      <c r="AW9" s="6">
        <f t="shared" ref="AW9:AW14" si="2">IF(H9&lt;10000,((0.0000001453*H9^2)+(0.0008349*H9)+(-1.805)),(IF(H9&lt;700000,((-0.00000000008054*H9^2)+(0.002348*H9)+(-2.47)), ((-0.00000001938*V9^2)+(0.2471*V9)+(226.8)))))</f>
        <v>1.3021476800000098E-2</v>
      </c>
      <c r="AX9" s="7">
        <f t="shared" ref="AX9:AX14" si="3">(-0.00000002552*AJ9^2)+(0.2067*AJ9)+(-103.7)</f>
        <v>259.80633905288005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6.2271022400000007</v>
      </c>
      <c r="BA9" s="12">
        <f t="shared" ref="BA9:BA14" si="5">IF(AJ9&lt;45000,((-0.0000004561*AJ9^2)+(0.244*AJ9)+(-21.72)),((-0.0000000409*AJ9^2)+(0.2477*AJ9)+(-1777)))</f>
        <v>406.06478965589997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0.48189281183999988</v>
      </c>
      <c r="BD9" s="14">
        <f t="shared" ref="BD9:BD14" si="7">IF(AJ9&lt;45000,((-0.0000000598*AJ9^2)+(0.205*AJ9)+(34.1)),((-0.00000002403*AJ9^2)+(0.2063*AJ9)+(-550.7)))</f>
        <v>394.50997395619999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2.6187729250079999</v>
      </c>
      <c r="BG9" s="17">
        <f t="shared" ref="BG9:BG14" si="9">IF(AJ9&lt;45000,((-0.00000004907*AJ9^2)+(0.2277*AJ9)+(-134)),((-0.00000001062*AJ9^2)+(0.2147*AJ9)+(590.6)))</f>
        <v>266.37247344533006</v>
      </c>
      <c r="BI9">
        <v>45</v>
      </c>
      <c r="BJ9" t="s">
        <v>35</v>
      </c>
      <c r="BK9" s="2">
        <v>45965.749641203707</v>
      </c>
      <c r="BL9" t="s">
        <v>33</v>
      </c>
      <c r="BM9" t="s">
        <v>13</v>
      </c>
      <c r="BN9">
        <v>0</v>
      </c>
      <c r="BO9">
        <v>2.734</v>
      </c>
      <c r="BP9" s="3">
        <v>4925022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45966.415879629632</v>
      </c>
      <c r="D10" t="s">
        <v>34</v>
      </c>
      <c r="E10" t="s">
        <v>13</v>
      </c>
      <c r="F10">
        <v>0</v>
      </c>
      <c r="G10">
        <v>6.0839999999999996</v>
      </c>
      <c r="H10" s="3">
        <v>687276</v>
      </c>
      <c r="I10">
        <v>1.552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45966.415879629632</v>
      </c>
      <c r="R10" t="s">
        <v>34</v>
      </c>
      <c r="S10" t="s">
        <v>13</v>
      </c>
      <c r="T10">
        <v>0</v>
      </c>
      <c r="U10">
        <v>6.0410000000000004</v>
      </c>
      <c r="V10" s="3">
        <v>6505</v>
      </c>
      <c r="W10">
        <v>1.6990000000000001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45966.415879629632</v>
      </c>
      <c r="AF10" t="s">
        <v>34</v>
      </c>
      <c r="AG10" t="s">
        <v>13</v>
      </c>
      <c r="AH10">
        <v>0</v>
      </c>
      <c r="AI10">
        <v>12.407999999999999</v>
      </c>
      <c r="AJ10" s="3">
        <v>7611</v>
      </c>
      <c r="AK10">
        <v>1.573</v>
      </c>
      <c r="AL10" t="s">
        <v>14</v>
      </c>
      <c r="AM10" t="s">
        <v>14</v>
      </c>
      <c r="AN10" t="s">
        <v>14</v>
      </c>
      <c r="AO10" t="s">
        <v>14</v>
      </c>
      <c r="AQ10">
        <v>2</v>
      </c>
      <c r="AR10" t="s">
        <v>64</v>
      </c>
      <c r="AS10" s="10">
        <v>46</v>
      </c>
      <c r="AT10" s="16">
        <f t="shared" si="0"/>
        <v>1584.0564000174024</v>
      </c>
      <c r="AU10" s="17">
        <f t="shared" si="1"/>
        <v>1596.1822063585303</v>
      </c>
      <c r="AW10" s="6">
        <f t="shared" si="2"/>
        <v>1573.2111159038247</v>
      </c>
      <c r="AX10" s="7">
        <f t="shared" si="3"/>
        <v>1468.0153947680799</v>
      </c>
      <c r="AZ10" s="11">
        <f t="shared" si="4"/>
        <v>1478.6297616167265</v>
      </c>
      <c r="BA10" s="12">
        <f t="shared" si="5"/>
        <v>1808.9433488919001</v>
      </c>
      <c r="BC10" s="13">
        <f t="shared" si="6"/>
        <v>1626.9039085389088</v>
      </c>
      <c r="BD10" s="14">
        <f t="shared" si="7"/>
        <v>1590.8909462041997</v>
      </c>
      <c r="BF10" s="16">
        <f t="shared" si="8"/>
        <v>1584.0564000174024</v>
      </c>
      <c r="BG10" s="17">
        <f t="shared" si="9"/>
        <v>1596.1822063585303</v>
      </c>
      <c r="BI10">
        <v>46</v>
      </c>
      <c r="BJ10" t="s">
        <v>36</v>
      </c>
      <c r="BK10" s="2">
        <v>45966.415879629632</v>
      </c>
      <c r="BL10" t="s">
        <v>34</v>
      </c>
      <c r="BM10" t="s">
        <v>13</v>
      </c>
      <c r="BN10">
        <v>0</v>
      </c>
      <c r="BO10">
        <v>2.7410000000000001</v>
      </c>
      <c r="BP10" s="3">
        <v>4900878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45966.437060185184</v>
      </c>
      <c r="D11" t="s">
        <v>28</v>
      </c>
      <c r="E11" t="s">
        <v>13</v>
      </c>
      <c r="F11">
        <v>0</v>
      </c>
      <c r="G11">
        <v>6.093</v>
      </c>
      <c r="H11" s="3">
        <v>2683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45966.437060185184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45966.437060185184</v>
      </c>
      <c r="AF11" t="s">
        <v>28</v>
      </c>
      <c r="AG11" t="s">
        <v>13</v>
      </c>
      <c r="AH11">
        <v>0</v>
      </c>
      <c r="AI11">
        <v>12.384</v>
      </c>
      <c r="AJ11" s="3">
        <v>1656</v>
      </c>
      <c r="AK11">
        <v>0.26700000000000002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6.1343427670769994</v>
      </c>
      <c r="AU11" s="17">
        <f t="shared" si="1"/>
        <v>242.93663357248005</v>
      </c>
      <c r="AW11" s="6">
        <f t="shared" si="2"/>
        <v>1.4809771517000001</v>
      </c>
      <c r="AX11" s="7">
        <f t="shared" si="3"/>
        <v>238.52521558527997</v>
      </c>
      <c r="AZ11" s="11">
        <f t="shared" si="4"/>
        <v>3.8226890600000001</v>
      </c>
      <c r="BA11" s="12">
        <f t="shared" si="5"/>
        <v>381.09322055040002</v>
      </c>
      <c r="BC11" s="13">
        <f t="shared" si="6"/>
        <v>3.1817206614599991</v>
      </c>
      <c r="BD11" s="14">
        <f t="shared" si="7"/>
        <v>373.4160083072</v>
      </c>
      <c r="BF11" s="16">
        <f t="shared" si="8"/>
        <v>6.1343427670769994</v>
      </c>
      <c r="BG11" s="17">
        <f t="shared" si="9"/>
        <v>242.93663357248005</v>
      </c>
      <c r="BI11">
        <v>47</v>
      </c>
      <c r="BJ11" t="s">
        <v>37</v>
      </c>
      <c r="BK11" s="2">
        <v>45966.437060185184</v>
      </c>
      <c r="BL11" t="s">
        <v>28</v>
      </c>
      <c r="BM11" t="s">
        <v>13</v>
      </c>
      <c r="BN11">
        <v>0</v>
      </c>
      <c r="BO11">
        <v>2.7290000000000001</v>
      </c>
      <c r="BP11" s="3">
        <v>5073920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45966.458287037036</v>
      </c>
      <c r="D12">
        <v>270</v>
      </c>
      <c r="E12" t="s">
        <v>13</v>
      </c>
      <c r="F12">
        <v>0</v>
      </c>
      <c r="G12">
        <v>6.0830000000000002</v>
      </c>
      <c r="H12" s="3">
        <v>4386</v>
      </c>
      <c r="I12">
        <v>0.01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45966.458287037036</v>
      </c>
      <c r="R12">
        <v>270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45966.458287037036</v>
      </c>
      <c r="AF12">
        <v>270</v>
      </c>
      <c r="AG12" t="s">
        <v>13</v>
      </c>
      <c r="AH12">
        <v>0</v>
      </c>
      <c r="AI12">
        <v>12.33</v>
      </c>
      <c r="AJ12" s="3">
        <v>14531</v>
      </c>
      <c r="AK12">
        <v>3.089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12.166431807027999</v>
      </c>
      <c r="AU12" s="17">
        <f t="shared" si="1"/>
        <v>3164.3475714137303</v>
      </c>
      <c r="AW12" s="6">
        <f t="shared" si="2"/>
        <v>4.6520069187999997</v>
      </c>
      <c r="AX12" s="7">
        <f t="shared" si="3"/>
        <v>2894.4691529952802</v>
      </c>
      <c r="AZ12" s="11">
        <f t="shared" si="4"/>
        <v>2.2086878399999996</v>
      </c>
      <c r="BA12" s="12">
        <f t="shared" si="5"/>
        <v>3427.5385027879001</v>
      </c>
      <c r="BC12" s="13">
        <f t="shared" si="6"/>
        <v>8.0470599514399996</v>
      </c>
      <c r="BD12" s="14">
        <f t="shared" si="7"/>
        <v>3000.3282323322001</v>
      </c>
      <c r="BF12" s="16">
        <f t="shared" si="8"/>
        <v>12.166431807027999</v>
      </c>
      <c r="BG12" s="17">
        <f t="shared" si="9"/>
        <v>3164.3475714137303</v>
      </c>
      <c r="BI12">
        <v>48</v>
      </c>
      <c r="BJ12" t="s">
        <v>38</v>
      </c>
      <c r="BK12" s="2">
        <v>45966.458287037036</v>
      </c>
      <c r="BL12">
        <v>270</v>
      </c>
      <c r="BM12" t="s">
        <v>13</v>
      </c>
      <c r="BN12">
        <v>0</v>
      </c>
      <c r="BO12">
        <v>2.8809999999999998</v>
      </c>
      <c r="BP12" s="3">
        <v>932099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45966.479502314818</v>
      </c>
      <c r="D13">
        <v>330</v>
      </c>
      <c r="E13" t="s">
        <v>13</v>
      </c>
      <c r="F13">
        <v>0</v>
      </c>
      <c r="G13">
        <v>6.07</v>
      </c>
      <c r="H13" s="3">
        <v>96502</v>
      </c>
      <c r="I13">
        <v>0.218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45966.479502314818</v>
      </c>
      <c r="R13">
        <v>330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45966.479502314818</v>
      </c>
      <c r="AF13">
        <v>330</v>
      </c>
      <c r="AG13" t="s">
        <v>13</v>
      </c>
      <c r="AH13">
        <v>0</v>
      </c>
      <c r="AI13" t="s">
        <v>14</v>
      </c>
      <c r="AJ13" s="3" t="s">
        <v>14</v>
      </c>
      <c r="AK13" t="s">
        <v>14</v>
      </c>
      <c r="AL13" t="s">
        <v>14</v>
      </c>
      <c r="AM13" t="s">
        <v>14</v>
      </c>
      <c r="AN13" t="s">
        <v>14</v>
      </c>
      <c r="AO13" t="s">
        <v>14</v>
      </c>
      <c r="AQ13">
        <v>2</v>
      </c>
      <c r="AR13" t="s">
        <v>65</v>
      </c>
      <c r="AS13" s="10">
        <v>49</v>
      </c>
      <c r="AT13" s="16">
        <f t="shared" si="0"/>
        <v>259.54814073094792</v>
      </c>
      <c r="AU13" s="17" t="e">
        <f t="shared" si="1"/>
        <v>#VALUE!</v>
      </c>
      <c r="AW13" s="6">
        <f t="shared" si="2"/>
        <v>223.36665629623784</v>
      </c>
      <c r="AX13" s="7" t="e">
        <f t="shared" si="3"/>
        <v>#VALUE!</v>
      </c>
      <c r="AZ13" s="11">
        <f t="shared" si="4"/>
        <v>268.549559021692</v>
      </c>
      <c r="BA13" s="12" t="e">
        <f t="shared" si="5"/>
        <v>#VALUE!</v>
      </c>
      <c r="BC13" s="13">
        <f t="shared" si="6"/>
        <v>272.74880872204477</v>
      </c>
      <c r="BD13" s="14" t="e">
        <f t="shared" si="7"/>
        <v>#VALUE!</v>
      </c>
      <c r="BF13" s="16">
        <f t="shared" si="8"/>
        <v>259.54814073094792</v>
      </c>
      <c r="BG13" s="17" t="e">
        <f t="shared" si="9"/>
        <v>#VALUE!</v>
      </c>
      <c r="BI13">
        <v>49</v>
      </c>
      <c r="BJ13" t="s">
        <v>39</v>
      </c>
      <c r="BK13" s="2">
        <v>45966.479502314818</v>
      </c>
      <c r="BL13">
        <v>330</v>
      </c>
      <c r="BM13" t="s">
        <v>13</v>
      </c>
      <c r="BN13">
        <v>0</v>
      </c>
      <c r="BO13">
        <v>2.8929999999999998</v>
      </c>
      <c r="BP13" s="3">
        <v>761219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45966.500717592593</v>
      </c>
      <c r="D14">
        <v>324</v>
      </c>
      <c r="E14" t="s">
        <v>13</v>
      </c>
      <c r="F14">
        <v>0</v>
      </c>
      <c r="G14">
        <v>6.0780000000000003</v>
      </c>
      <c r="H14" s="3">
        <v>4093</v>
      </c>
      <c r="I14">
        <v>0.01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45966.500717592593</v>
      </c>
      <c r="R14">
        <v>324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45966.500717592593</v>
      </c>
      <c r="AF14">
        <v>324</v>
      </c>
      <c r="AG14" t="s">
        <v>13</v>
      </c>
      <c r="AH14">
        <v>0</v>
      </c>
      <c r="AI14" t="s">
        <v>14</v>
      </c>
      <c r="AJ14" s="3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Q14">
        <v>2</v>
      </c>
      <c r="AR14" t="s">
        <v>65</v>
      </c>
      <c r="AS14" s="10">
        <v>50</v>
      </c>
      <c r="AT14" s="16">
        <f t="shared" si="0"/>
        <v>11.125106247957</v>
      </c>
      <c r="AU14" s="17" t="e">
        <f t="shared" si="1"/>
        <v>#VALUE!</v>
      </c>
      <c r="AW14" s="6">
        <f t="shared" si="2"/>
        <v>4.0464055996999999</v>
      </c>
      <c r="AX14" s="7" t="e">
        <f t="shared" si="3"/>
        <v>#VALUE!</v>
      </c>
      <c r="AZ14" s="11">
        <f t="shared" si="4"/>
        <v>2.2632854600000005</v>
      </c>
      <c r="BA14" s="12" t="e">
        <f t="shared" si="5"/>
        <v>#VALUE!</v>
      </c>
      <c r="BC14" s="13">
        <f t="shared" si="6"/>
        <v>7.1863753638599999</v>
      </c>
      <c r="BD14" s="14" t="e">
        <f t="shared" si="7"/>
        <v>#VALUE!</v>
      </c>
      <c r="BF14" s="16">
        <f t="shared" si="8"/>
        <v>11.125106247957</v>
      </c>
      <c r="BG14" s="17" t="e">
        <f t="shared" si="9"/>
        <v>#VALUE!</v>
      </c>
      <c r="BI14">
        <v>50</v>
      </c>
      <c r="BJ14" t="s">
        <v>40</v>
      </c>
      <c r="BK14" s="2">
        <v>45966.500717592593</v>
      </c>
      <c r="BL14">
        <v>324</v>
      </c>
      <c r="BM14" t="s">
        <v>13</v>
      </c>
      <c r="BN14">
        <v>0</v>
      </c>
      <c r="BO14">
        <v>2.8849999999999998</v>
      </c>
      <c r="BP14" s="3">
        <v>837278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45966.521944444445</v>
      </c>
      <c r="D15">
        <v>143</v>
      </c>
      <c r="E15" t="s">
        <v>13</v>
      </c>
      <c r="F15">
        <v>0</v>
      </c>
      <c r="G15">
        <v>6.0659999999999998</v>
      </c>
      <c r="H15" s="3">
        <v>101413</v>
      </c>
      <c r="I15">
        <v>0.22900000000000001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45966.521944444445</v>
      </c>
      <c r="R15">
        <v>143</v>
      </c>
      <c r="S15" t="s">
        <v>13</v>
      </c>
      <c r="T15">
        <v>0</v>
      </c>
      <c r="U15">
        <v>6.01</v>
      </c>
      <c r="V15" s="3">
        <v>616</v>
      </c>
      <c r="W15">
        <v>0.24299999999999999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45966.521944444445</v>
      </c>
      <c r="AF15">
        <v>143</v>
      </c>
      <c r="AG15" t="s">
        <v>13</v>
      </c>
      <c r="AH15">
        <v>0</v>
      </c>
      <c r="AI15">
        <v>12.159000000000001</v>
      </c>
      <c r="AJ15" s="3">
        <v>88601</v>
      </c>
      <c r="AK15">
        <v>19.222999999999999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9" si="10">IF(H15&lt;10000,((H15^2*0.000000008493)+(H15*0.003482)+(-3.269)),(IF(H15&lt;200000,((H15^2*-0.000000000263)+(H15*0.002682)+(3.179)),(IF(H15&lt;8000000,((H15^2*-0.000000000005099)+(H15*0.002054)+(174.8)),((V15^2*-0.00000001014)+(V15*0.2415)+(1123)))))))</f>
        <v>272.46381710235295</v>
      </c>
      <c r="AU15" s="17">
        <f t="shared" ref="AU15:AU29" si="11">IF(AJ15&lt;45000,((-0.00000004907*AJ15^2)+(0.2277*AJ15)+(-134)),((-0.00000001062*AJ15^2)+(0.2147*AJ15)+(590.6)))</f>
        <v>19529.866242925378</v>
      </c>
      <c r="AW15" s="6">
        <f t="shared" ref="AW15:AW29" si="12">IF(H15&lt;10000,((0.0000001453*H15^2)+(0.0008349*H15)+(-1.805)),(IF(H15&lt;700000,((-0.00000000008054*H15^2)+(0.002348*H15)+(-2.47)), ((-0.00000001938*V15^2)+(0.2471*V15)+(226.8)))))</f>
        <v>234.81940259233272</v>
      </c>
      <c r="AX15" s="7">
        <f t="shared" ref="AX15:AX29" si="13">(-0.00000002552*AJ15^2)+(0.2067*AJ15)+(-103.7)</f>
        <v>18009.791198630479</v>
      </c>
      <c r="AZ15" s="11">
        <f t="shared" ref="AZ15:AZ29" si="14">IF(H15&lt;10000,((H15^2*0.00000054)+(H15*-0.004765)+(12.72)),(IF(H15&lt;200000,((H15^2*-0.000000001577)+(H15*0.003043)+(-10.42)),(IF(H15&lt;8000000,((H15^2*-0.0000000000186)+(H15*0.00194)+(154.1)),((V15^2*-0.00000002)+(V15*0.2565)+(-1032)))))))</f>
        <v>281.96095021068697</v>
      </c>
      <c r="BA15" s="12">
        <f t="shared" ref="BA15:BA29" si="15">IF(AJ15&lt;45000,((-0.0000004561*AJ15^2)+(0.244*AJ15)+(-21.72)),((-0.0000000409*AJ15^2)+(0.2477*AJ15)+(-1777)))</f>
        <v>19848.397088479102</v>
      </c>
      <c r="BC15" s="13">
        <f t="shared" ref="BC15:BC29" si="16">IF(H15&lt;10000,((H15^2*0.00000005714)+(H15*0.002453)+(-3.811)),(IF(H15&lt;200000,((H15^2*-0.0000000002888)+(H15*0.002899)+(-4.321)),(IF(H15&lt;8000000,((H15^2*-0.0000000000062)+(H15*0.002143)+(157)),((V15^2*-0.000000031)+(V15*0.2771)+(-709.5)))))))</f>
        <v>286.70509551087275</v>
      </c>
      <c r="BD15" s="14">
        <f t="shared" ref="BD15:BD29" si="17">IF(AJ15&lt;45000,((-0.0000000598*AJ15^2)+(0.205*AJ15)+(34.1)),((-0.00000002403*AJ15^2)+(0.2063*AJ15)+(-550.7)))</f>
        <v>17539.04750305997</v>
      </c>
      <c r="BF15" s="16">
        <f t="shared" ref="BF15:BF29" si="18">IF(H15&lt;10000,((H15^2*0.000000008493)+(H15*0.003482)+(-3.269)),(IF(H15&lt;200000,((H15^2*-0.000000000263)+(H15*0.002682)+(3.179)),(IF(H15&lt;8000000,((H15^2*-0.000000000005099)+(H15*0.002054)+(174.8)),((V15^2*-0.00000001014)+(V15*0.2415)+(1123)))))))</f>
        <v>272.46381710235295</v>
      </c>
      <c r="BG15" s="17">
        <f t="shared" ref="BG15:BG29" si="19">IF(AJ15&lt;45000,((-0.00000004907*AJ15^2)+(0.2277*AJ15)+(-134)),((-0.00000001062*AJ15^2)+(0.2147*AJ15)+(590.6)))</f>
        <v>19529.866242925378</v>
      </c>
      <c r="BI15">
        <v>51</v>
      </c>
      <c r="BJ15" t="s">
        <v>41</v>
      </c>
      <c r="BK15" s="2">
        <v>45966.521944444445</v>
      </c>
      <c r="BL15">
        <v>143</v>
      </c>
      <c r="BM15" t="s">
        <v>13</v>
      </c>
      <c r="BN15">
        <v>0</v>
      </c>
      <c r="BO15">
        <v>2.8759999999999999</v>
      </c>
      <c r="BP15" s="3">
        <v>985309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45966.543136574073</v>
      </c>
      <c r="D16">
        <v>274</v>
      </c>
      <c r="E16" t="s">
        <v>13</v>
      </c>
      <c r="F16">
        <v>0</v>
      </c>
      <c r="G16">
        <v>6.0830000000000002</v>
      </c>
      <c r="H16" s="3">
        <v>3722</v>
      </c>
      <c r="I16">
        <v>8.9999999999999993E-3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45966.543136574073</v>
      </c>
      <c r="R16">
        <v>274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45966.543136574073</v>
      </c>
      <c r="AF16">
        <v>274</v>
      </c>
      <c r="AG16" t="s">
        <v>13</v>
      </c>
      <c r="AH16">
        <v>0</v>
      </c>
      <c r="AI16">
        <v>12.31</v>
      </c>
      <c r="AJ16" s="3">
        <v>11914</v>
      </c>
      <c r="AK16">
        <v>2.516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9.8086599410119995</v>
      </c>
      <c r="AU16" s="17">
        <f t="shared" si="11"/>
        <v>2571.8526375582801</v>
      </c>
      <c r="AW16" s="6">
        <f t="shared" si="12"/>
        <v>3.3153799652</v>
      </c>
      <c r="AX16" s="7">
        <f t="shared" si="13"/>
        <v>2355.3014045340801</v>
      </c>
      <c r="AZ16" s="11">
        <f t="shared" si="14"/>
        <v>2.4654433600000001</v>
      </c>
      <c r="BA16" s="12">
        <f t="shared" si="15"/>
        <v>2820.5556170844002</v>
      </c>
      <c r="BC16" s="13">
        <f t="shared" si="16"/>
        <v>6.1106426477599989</v>
      </c>
      <c r="BD16" s="14">
        <f t="shared" si="17"/>
        <v>2467.9817849192</v>
      </c>
      <c r="BF16" s="16">
        <f t="shared" si="18"/>
        <v>9.8086599410119995</v>
      </c>
      <c r="BG16" s="17">
        <f t="shared" si="19"/>
        <v>2571.8526375582801</v>
      </c>
      <c r="BI16">
        <v>52</v>
      </c>
      <c r="BJ16" t="s">
        <v>42</v>
      </c>
      <c r="BK16" s="2">
        <v>45966.543136574073</v>
      </c>
      <c r="BL16">
        <v>274</v>
      </c>
      <c r="BM16" t="s">
        <v>13</v>
      </c>
      <c r="BN16">
        <v>0</v>
      </c>
      <c r="BO16">
        <v>2.8820000000000001</v>
      </c>
      <c r="BP16" s="3">
        <v>903336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45966.564363425925</v>
      </c>
      <c r="D17">
        <v>213</v>
      </c>
      <c r="E17" t="s">
        <v>13</v>
      </c>
      <c r="F17">
        <v>0</v>
      </c>
      <c r="G17">
        <v>6.0789999999999997</v>
      </c>
      <c r="H17" s="3">
        <v>4195</v>
      </c>
      <c r="I17">
        <v>0.01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45966.564363425925</v>
      </c>
      <c r="R17">
        <v>213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45966.564363425925</v>
      </c>
      <c r="AF17">
        <v>213</v>
      </c>
      <c r="AG17" t="s">
        <v>13</v>
      </c>
      <c r="AH17">
        <v>0</v>
      </c>
      <c r="AI17">
        <v>12.308</v>
      </c>
      <c r="AJ17" s="3">
        <v>12090</v>
      </c>
      <c r="AK17">
        <v>2.5550000000000002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11.487450026325</v>
      </c>
      <c r="AU17" s="17">
        <f t="shared" si="11"/>
        <v>2611.7205313330001</v>
      </c>
      <c r="AW17" s="6">
        <f t="shared" si="12"/>
        <v>4.2543985325000007</v>
      </c>
      <c r="AX17" s="7">
        <f t="shared" si="13"/>
        <v>2391.5727900880001</v>
      </c>
      <c r="AZ17" s="11">
        <f t="shared" si="14"/>
        <v>2.2337585000000022</v>
      </c>
      <c r="BA17" s="12">
        <f t="shared" si="15"/>
        <v>2861.5727295900001</v>
      </c>
      <c r="BC17" s="13">
        <f t="shared" si="16"/>
        <v>7.4848861484999993</v>
      </c>
      <c r="BD17" s="14">
        <f t="shared" si="17"/>
        <v>2503.8091476199997</v>
      </c>
      <c r="BF17" s="16">
        <f t="shared" si="18"/>
        <v>11.487450026325</v>
      </c>
      <c r="BG17" s="17">
        <f t="shared" si="19"/>
        <v>2611.7205313330001</v>
      </c>
      <c r="BI17">
        <v>53</v>
      </c>
      <c r="BJ17" t="s">
        <v>43</v>
      </c>
      <c r="BK17" s="2">
        <v>45966.564363425925</v>
      </c>
      <c r="BL17">
        <v>213</v>
      </c>
      <c r="BM17" t="s">
        <v>13</v>
      </c>
      <c r="BN17">
        <v>0</v>
      </c>
      <c r="BO17">
        <v>2.8759999999999999</v>
      </c>
      <c r="BP17" s="3">
        <v>1007333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45966.585555555554</v>
      </c>
      <c r="D18">
        <v>166</v>
      </c>
      <c r="E18" t="s">
        <v>13</v>
      </c>
      <c r="F18">
        <v>0</v>
      </c>
      <c r="G18">
        <v>6.0810000000000004</v>
      </c>
      <c r="H18" s="3">
        <v>4439</v>
      </c>
      <c r="I18">
        <v>0.01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45966.585555555554</v>
      </c>
      <c r="R18">
        <v>166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45966.585555555554</v>
      </c>
      <c r="AF18">
        <v>166</v>
      </c>
      <c r="AG18" t="s">
        <v>13</v>
      </c>
      <c r="AH18">
        <v>0</v>
      </c>
      <c r="AI18">
        <v>12.292999999999999</v>
      </c>
      <c r="AJ18" s="3">
        <v>33304</v>
      </c>
      <c r="AK18">
        <v>7.1950000000000003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12.354950195453</v>
      </c>
      <c r="AU18" s="17">
        <f t="shared" si="11"/>
        <v>7394.8944946668807</v>
      </c>
      <c r="AW18" s="6">
        <f t="shared" si="12"/>
        <v>4.7642170613000001</v>
      </c>
      <c r="AX18" s="7">
        <f t="shared" si="13"/>
        <v>6751.93112826368</v>
      </c>
      <c r="AZ18" s="11">
        <f t="shared" si="14"/>
        <v>2.2087143399999984</v>
      </c>
      <c r="BA18" s="12">
        <f t="shared" si="15"/>
        <v>7598.5697586623992</v>
      </c>
      <c r="BC18" s="13">
        <f t="shared" si="16"/>
        <v>8.203794757939999</v>
      </c>
      <c r="BD18" s="14">
        <f t="shared" si="17"/>
        <v>6795.0924463232004</v>
      </c>
      <c r="BF18" s="16">
        <f t="shared" si="18"/>
        <v>12.354950195453</v>
      </c>
      <c r="BG18" s="17">
        <f t="shared" si="19"/>
        <v>7394.8944946668807</v>
      </c>
      <c r="BI18">
        <v>54</v>
      </c>
      <c r="BJ18" t="s">
        <v>44</v>
      </c>
      <c r="BK18" s="2">
        <v>45966.585555555554</v>
      </c>
      <c r="BL18">
        <v>166</v>
      </c>
      <c r="BM18" t="s">
        <v>13</v>
      </c>
      <c r="BN18">
        <v>0</v>
      </c>
      <c r="BO18">
        <v>2.8860000000000001</v>
      </c>
      <c r="BP18" s="3">
        <v>834115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45966.606759259259</v>
      </c>
      <c r="D19">
        <v>230</v>
      </c>
      <c r="E19" t="s">
        <v>13</v>
      </c>
      <c r="F19">
        <v>0</v>
      </c>
      <c r="G19">
        <v>6.0789999999999997</v>
      </c>
      <c r="H19" s="3">
        <v>4223</v>
      </c>
      <c r="I19">
        <v>0.01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45966.606759259259</v>
      </c>
      <c r="R19">
        <v>230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45966.606759259259</v>
      </c>
      <c r="AF19">
        <v>230</v>
      </c>
      <c r="AG19" t="s">
        <v>13</v>
      </c>
      <c r="AH19">
        <v>0</v>
      </c>
      <c r="AI19">
        <v>12.276</v>
      </c>
      <c r="AJ19" s="3">
        <v>38628</v>
      </c>
      <c r="AK19">
        <v>8.3569999999999993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11.586947860396998</v>
      </c>
      <c r="AU19" s="17">
        <f t="shared" si="11"/>
        <v>8588.3771546171211</v>
      </c>
      <c r="AW19" s="6">
        <f t="shared" si="12"/>
        <v>4.3120235237000006</v>
      </c>
      <c r="AX19" s="7">
        <f t="shared" si="13"/>
        <v>7842.6286367603198</v>
      </c>
      <c r="AZ19" s="11">
        <f t="shared" si="14"/>
        <v>2.227618660000001</v>
      </c>
      <c r="BA19" s="12">
        <f t="shared" si="15"/>
        <v>8722.9549806576015</v>
      </c>
      <c r="BC19" s="13">
        <f t="shared" si="16"/>
        <v>7.5670382750599998</v>
      </c>
      <c r="BD19" s="14">
        <f t="shared" si="17"/>
        <v>7863.6110814368003</v>
      </c>
      <c r="BF19" s="16">
        <f t="shared" si="18"/>
        <v>11.586947860396998</v>
      </c>
      <c r="BG19" s="17">
        <f t="shared" si="19"/>
        <v>8588.3771546171211</v>
      </c>
      <c r="BI19">
        <v>55</v>
      </c>
      <c r="BJ19" t="s">
        <v>45</v>
      </c>
      <c r="BK19" s="2">
        <v>45966.606759259259</v>
      </c>
      <c r="BL19">
        <v>230</v>
      </c>
      <c r="BM19" t="s">
        <v>13</v>
      </c>
      <c r="BN19">
        <v>0</v>
      </c>
      <c r="BO19">
        <v>2.879</v>
      </c>
      <c r="BP19" s="3">
        <v>941699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45966.627962962964</v>
      </c>
      <c r="D20">
        <v>386</v>
      </c>
      <c r="E20" t="s">
        <v>13</v>
      </c>
      <c r="F20">
        <v>0</v>
      </c>
      <c r="G20">
        <v>6.0780000000000003</v>
      </c>
      <c r="H20" s="3">
        <v>4054</v>
      </c>
      <c r="I20">
        <v>0.01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45966.627962962964</v>
      </c>
      <c r="R20">
        <v>386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45966.627962962964</v>
      </c>
      <c r="AF20">
        <v>386</v>
      </c>
      <c r="AG20" t="s">
        <v>13</v>
      </c>
      <c r="AH20">
        <v>0</v>
      </c>
      <c r="AI20">
        <v>12.272</v>
      </c>
      <c r="AJ20" s="3">
        <v>33101</v>
      </c>
      <c r="AK20">
        <v>7.1509999999999998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10.986609741588</v>
      </c>
      <c r="AU20" s="17">
        <f t="shared" si="11"/>
        <v>7349.3328688169304</v>
      </c>
      <c r="AW20" s="6">
        <f t="shared" si="12"/>
        <v>3.9676778948000004</v>
      </c>
      <c r="AX20" s="7">
        <f t="shared" si="13"/>
        <v>6710.3150433504807</v>
      </c>
      <c r="AZ20" s="11">
        <f t="shared" si="14"/>
        <v>2.2775446400000021</v>
      </c>
      <c r="BA20" s="12">
        <f t="shared" si="15"/>
        <v>7555.1860847238995</v>
      </c>
      <c r="BC20" s="13">
        <f t="shared" si="16"/>
        <v>7.0725531002400004</v>
      </c>
      <c r="BD20" s="14">
        <f t="shared" si="17"/>
        <v>6754.2835631802</v>
      </c>
      <c r="BF20" s="16">
        <f t="shared" si="18"/>
        <v>10.986609741588</v>
      </c>
      <c r="BG20" s="17">
        <f t="shared" si="19"/>
        <v>7349.3328688169304</v>
      </c>
      <c r="BI20">
        <v>56</v>
      </c>
      <c r="BJ20" t="s">
        <v>46</v>
      </c>
      <c r="BK20" s="2">
        <v>45966.627962962964</v>
      </c>
      <c r="BL20">
        <v>386</v>
      </c>
      <c r="BM20" t="s">
        <v>13</v>
      </c>
      <c r="BN20">
        <v>0</v>
      </c>
      <c r="BO20">
        <v>2.887</v>
      </c>
      <c r="BP20" s="3">
        <v>798617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45966.64916666667</v>
      </c>
      <c r="D21">
        <v>394</v>
      </c>
      <c r="E21" t="s">
        <v>13</v>
      </c>
      <c r="F21">
        <v>0</v>
      </c>
      <c r="G21">
        <v>6.0789999999999997</v>
      </c>
      <c r="H21" s="3">
        <v>4057</v>
      </c>
      <c r="I21">
        <v>0.01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45966.64916666667</v>
      </c>
      <c r="R21">
        <v>394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45966.64916666667</v>
      </c>
      <c r="AF21">
        <v>394</v>
      </c>
      <c r="AG21" t="s">
        <v>13</v>
      </c>
      <c r="AH21">
        <v>0</v>
      </c>
      <c r="AI21">
        <v>12.268000000000001</v>
      </c>
      <c r="AJ21" s="3">
        <v>28083</v>
      </c>
      <c r="AK21">
        <v>6.0540000000000003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10.997262401757</v>
      </c>
      <c r="AU21" s="17">
        <f t="shared" si="11"/>
        <v>6221.7998045967697</v>
      </c>
      <c r="AW21" s="6">
        <f t="shared" si="12"/>
        <v>3.9737181797000005</v>
      </c>
      <c r="AX21" s="7">
        <f t="shared" si="13"/>
        <v>5680.9296272327201</v>
      </c>
      <c r="AZ21" s="11">
        <f t="shared" si="14"/>
        <v>2.2763894600000008</v>
      </c>
      <c r="BA21" s="12">
        <f t="shared" si="15"/>
        <v>6470.8265051270992</v>
      </c>
      <c r="BC21" s="13">
        <f t="shared" si="16"/>
        <v>7.0813024878599986</v>
      </c>
      <c r="BD21" s="14">
        <f t="shared" si="17"/>
        <v>5743.9534376377997</v>
      </c>
      <c r="BF21" s="16">
        <f t="shared" si="18"/>
        <v>10.997262401757</v>
      </c>
      <c r="BG21" s="17">
        <f t="shared" si="19"/>
        <v>6221.7998045967697</v>
      </c>
      <c r="BI21">
        <v>57</v>
      </c>
      <c r="BJ21" t="s">
        <v>47</v>
      </c>
      <c r="BK21" s="2">
        <v>45966.64916666667</v>
      </c>
      <c r="BL21">
        <v>394</v>
      </c>
      <c r="BM21" t="s">
        <v>13</v>
      </c>
      <c r="BN21">
        <v>0</v>
      </c>
      <c r="BO21">
        <v>2.8860000000000001</v>
      </c>
      <c r="BP21" s="3">
        <v>826363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45966.670393518521</v>
      </c>
      <c r="D22">
        <v>25</v>
      </c>
      <c r="E22" t="s">
        <v>13</v>
      </c>
      <c r="F22">
        <v>0</v>
      </c>
      <c r="G22">
        <v>6.08</v>
      </c>
      <c r="H22" s="3">
        <v>3935</v>
      </c>
      <c r="I22">
        <v>8.9999999999999993E-3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45966.670393518521</v>
      </c>
      <c r="R22">
        <v>25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45966.670393518521</v>
      </c>
      <c r="AF22">
        <v>25</v>
      </c>
      <c r="AG22" t="s">
        <v>13</v>
      </c>
      <c r="AH22">
        <v>0</v>
      </c>
      <c r="AI22">
        <v>12.269</v>
      </c>
      <c r="AJ22" s="3">
        <v>31749</v>
      </c>
      <c r="AK22">
        <v>6.8550000000000004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10.564177522925</v>
      </c>
      <c r="AU22" s="17">
        <f t="shared" si="11"/>
        <v>7045.7847890209296</v>
      </c>
      <c r="AW22" s="6">
        <f t="shared" si="12"/>
        <v>3.7301893924999998</v>
      </c>
      <c r="AX22" s="7">
        <f t="shared" si="13"/>
        <v>6433.09416549448</v>
      </c>
      <c r="AZ22" s="11">
        <f t="shared" si="14"/>
        <v>2.3312064999999986</v>
      </c>
      <c r="BA22" s="12">
        <f t="shared" si="15"/>
        <v>7265.2876556438996</v>
      </c>
      <c r="BC22" s="13">
        <f t="shared" si="16"/>
        <v>6.7263236165000002</v>
      </c>
      <c r="BD22" s="14">
        <f t="shared" si="17"/>
        <v>6482.3666597401998</v>
      </c>
      <c r="BF22" s="16">
        <f t="shared" si="18"/>
        <v>10.564177522925</v>
      </c>
      <c r="BG22" s="17">
        <f t="shared" si="19"/>
        <v>7045.7847890209296</v>
      </c>
      <c r="BI22">
        <v>58</v>
      </c>
      <c r="BJ22" t="s">
        <v>48</v>
      </c>
      <c r="BK22" s="2">
        <v>45966.670393518521</v>
      </c>
      <c r="BL22">
        <v>25</v>
      </c>
      <c r="BM22" t="s">
        <v>13</v>
      </c>
      <c r="BN22">
        <v>0</v>
      </c>
      <c r="BO22">
        <v>2.8860000000000001</v>
      </c>
      <c r="BP22" s="3">
        <v>831279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45966.691608796296</v>
      </c>
      <c r="D23">
        <v>7</v>
      </c>
      <c r="E23" t="s">
        <v>13</v>
      </c>
      <c r="F23">
        <v>0</v>
      </c>
      <c r="G23">
        <v>6.0880000000000001</v>
      </c>
      <c r="H23" s="3">
        <v>3399</v>
      </c>
      <c r="I23">
        <v>8.0000000000000002E-3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45966.691608796296</v>
      </c>
      <c r="R23">
        <v>7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45966.691608796296</v>
      </c>
      <c r="AF23">
        <v>7</v>
      </c>
      <c r="AG23" t="s">
        <v>13</v>
      </c>
      <c r="AH23">
        <v>0</v>
      </c>
      <c r="AI23">
        <v>12.257999999999999</v>
      </c>
      <c r="AJ23" s="3">
        <v>36265</v>
      </c>
      <c r="AK23">
        <v>7.8419999999999996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8.6644393360929985</v>
      </c>
      <c r="AU23" s="17">
        <f t="shared" si="11"/>
        <v>8059.0060784592515</v>
      </c>
      <c r="AW23" s="6">
        <f t="shared" si="12"/>
        <v>2.7115052052999999</v>
      </c>
      <c r="AX23" s="7">
        <f t="shared" si="13"/>
        <v>7358.7128662579998</v>
      </c>
      <c r="AZ23" s="11">
        <f t="shared" si="14"/>
        <v>2.7624935399999995</v>
      </c>
      <c r="BA23" s="12">
        <f t="shared" si="15"/>
        <v>8227.0999823775001</v>
      </c>
      <c r="BC23" s="13">
        <f t="shared" si="16"/>
        <v>5.1868969051400011</v>
      </c>
      <c r="BD23" s="14">
        <f t="shared" si="17"/>
        <v>7389.7790165450006</v>
      </c>
      <c r="BF23" s="16">
        <f t="shared" si="18"/>
        <v>8.6644393360929985</v>
      </c>
      <c r="BG23" s="17">
        <f t="shared" si="19"/>
        <v>8059.0060784592515</v>
      </c>
      <c r="BI23">
        <v>59</v>
      </c>
      <c r="BJ23" t="s">
        <v>49</v>
      </c>
      <c r="BK23" s="2">
        <v>45966.691608796296</v>
      </c>
      <c r="BL23">
        <v>7</v>
      </c>
      <c r="BM23" t="s">
        <v>13</v>
      </c>
      <c r="BN23">
        <v>0</v>
      </c>
      <c r="BO23">
        <v>2.887</v>
      </c>
      <c r="BP23" s="3">
        <v>805386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45966.712858796294</v>
      </c>
      <c r="D24">
        <v>286</v>
      </c>
      <c r="E24" t="s">
        <v>13</v>
      </c>
      <c r="F24">
        <v>0</v>
      </c>
      <c r="G24">
        <v>6.093</v>
      </c>
      <c r="H24" s="3">
        <v>3769</v>
      </c>
      <c r="I24">
        <v>8.9999999999999993E-3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45966.712858796294</v>
      </c>
      <c r="R24">
        <v>286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45966.712858796294</v>
      </c>
      <c r="AF24">
        <v>286</v>
      </c>
      <c r="AG24" t="s">
        <v>13</v>
      </c>
      <c r="AH24">
        <v>0</v>
      </c>
      <c r="AI24">
        <v>12.307</v>
      </c>
      <c r="AJ24" s="3">
        <v>35089</v>
      </c>
      <c r="AK24">
        <v>7.585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9.9753041309729991</v>
      </c>
      <c r="AU24" s="17">
        <f t="shared" si="11"/>
        <v>7795.3484552165301</v>
      </c>
      <c r="AW24" s="6">
        <f t="shared" si="12"/>
        <v>3.4057770533000005</v>
      </c>
      <c r="AX24" s="7">
        <f t="shared" si="13"/>
        <v>7117.7751082560799</v>
      </c>
      <c r="AZ24" s="11">
        <f t="shared" si="14"/>
        <v>2.4316099399999995</v>
      </c>
      <c r="BA24" s="12">
        <f t="shared" si="15"/>
        <v>7978.4283842319001</v>
      </c>
      <c r="BC24" s="13">
        <f t="shared" si="16"/>
        <v>6.24605132754</v>
      </c>
      <c r="BD24" s="14">
        <f t="shared" si="17"/>
        <v>7153.7169723242005</v>
      </c>
      <c r="BF24" s="16">
        <f t="shared" si="18"/>
        <v>9.9753041309729991</v>
      </c>
      <c r="BG24" s="17">
        <f t="shared" si="19"/>
        <v>7795.3484552165301</v>
      </c>
      <c r="BI24">
        <v>60</v>
      </c>
      <c r="BJ24" t="s">
        <v>50</v>
      </c>
      <c r="BK24" s="2">
        <v>45966.712858796294</v>
      </c>
      <c r="BL24">
        <v>286</v>
      </c>
      <c r="BM24" t="s">
        <v>13</v>
      </c>
      <c r="BN24">
        <v>0</v>
      </c>
      <c r="BO24">
        <v>2.8959999999999999</v>
      </c>
      <c r="BP24" s="3">
        <v>793770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45966.734074074076</v>
      </c>
      <c r="D25">
        <v>391</v>
      </c>
      <c r="E25" t="s">
        <v>13</v>
      </c>
      <c r="F25">
        <v>0</v>
      </c>
      <c r="G25">
        <v>6.08</v>
      </c>
      <c r="H25" s="3">
        <v>3998</v>
      </c>
      <c r="I25">
        <v>8.9999999999999993E-3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45966.734074074076</v>
      </c>
      <c r="R25">
        <v>391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45966.734074074076</v>
      </c>
      <c r="AF25">
        <v>391</v>
      </c>
      <c r="AG25" t="s">
        <v>13</v>
      </c>
      <c r="AH25">
        <v>0</v>
      </c>
      <c r="AI25">
        <v>12.315</v>
      </c>
      <c r="AJ25" s="3">
        <v>13066</v>
      </c>
      <c r="AK25">
        <v>2.7679999999999998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10.787788145972</v>
      </c>
      <c r="AU25" s="17">
        <f t="shared" si="11"/>
        <v>2832.7509521310799</v>
      </c>
      <c r="AW25" s="6">
        <f t="shared" si="12"/>
        <v>3.8554059812000006</v>
      </c>
      <c r="AX25" s="7">
        <f t="shared" si="13"/>
        <v>2592.6854165148802</v>
      </c>
      <c r="AZ25" s="11">
        <f t="shared" si="14"/>
        <v>2.3008921600000001</v>
      </c>
      <c r="BA25" s="12">
        <f t="shared" si="15"/>
        <v>3088.5184456284001</v>
      </c>
      <c r="BC25" s="13">
        <f t="shared" si="16"/>
        <v>6.9094199885599998</v>
      </c>
      <c r="BD25" s="14">
        <f t="shared" si="17"/>
        <v>2702.4209227111996</v>
      </c>
      <c r="BF25" s="16">
        <f t="shared" si="18"/>
        <v>10.787788145972</v>
      </c>
      <c r="BG25" s="17">
        <f t="shared" si="19"/>
        <v>2832.7509521310799</v>
      </c>
      <c r="BI25">
        <v>61</v>
      </c>
      <c r="BJ25" t="s">
        <v>51</v>
      </c>
      <c r="BK25" s="2">
        <v>45966.734074074076</v>
      </c>
      <c r="BL25">
        <v>391</v>
      </c>
      <c r="BM25" t="s">
        <v>13</v>
      </c>
      <c r="BN25">
        <v>0</v>
      </c>
      <c r="BO25">
        <v>2.88</v>
      </c>
      <c r="BP25" s="3">
        <v>933879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45966.755289351851</v>
      </c>
      <c r="D26">
        <v>109</v>
      </c>
      <c r="E26" t="s">
        <v>13</v>
      </c>
      <c r="F26">
        <v>0</v>
      </c>
      <c r="G26">
        <v>6.0780000000000003</v>
      </c>
      <c r="H26" s="3">
        <v>3289</v>
      </c>
      <c r="I26">
        <v>8.0000000000000002E-3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45966.755289351851</v>
      </c>
      <c r="R26">
        <v>109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45966.755289351851</v>
      </c>
      <c r="AF26">
        <v>109</v>
      </c>
      <c r="AG26" t="s">
        <v>13</v>
      </c>
      <c r="AH26">
        <v>0</v>
      </c>
      <c r="AI26" t="s">
        <v>14</v>
      </c>
      <c r="AJ26" s="3" t="s">
        <v>14</v>
      </c>
      <c r="AK26" t="s">
        <v>14</v>
      </c>
      <c r="AL26" t="s">
        <v>14</v>
      </c>
      <c r="AM26" t="s">
        <v>14</v>
      </c>
      <c r="AN26" t="s">
        <v>14</v>
      </c>
      <c r="AO26" t="s">
        <v>14</v>
      </c>
      <c r="AQ26">
        <v>2</v>
      </c>
      <c r="AR26" t="s">
        <v>65</v>
      </c>
      <c r="AS26" s="10">
        <v>62</v>
      </c>
      <c r="AT26" s="16">
        <f t="shared" si="10"/>
        <v>8.2751712058529989</v>
      </c>
      <c r="AU26" s="17" t="e">
        <f t="shared" si="11"/>
        <v>#VALUE!</v>
      </c>
      <c r="AW26" s="6">
        <f t="shared" si="12"/>
        <v>2.5127719013000007</v>
      </c>
      <c r="AX26" s="7" t="e">
        <f t="shared" si="13"/>
        <v>#VALUE!</v>
      </c>
      <c r="AZ26" s="11">
        <f t="shared" si="14"/>
        <v>2.8893763400000001</v>
      </c>
      <c r="BA26" s="12" t="e">
        <f t="shared" si="15"/>
        <v>#VALUE!</v>
      </c>
      <c r="BC26" s="13">
        <f t="shared" si="16"/>
        <v>4.8750301499399988</v>
      </c>
      <c r="BD26" s="14" t="e">
        <f t="shared" si="17"/>
        <v>#VALUE!</v>
      </c>
      <c r="BF26" s="16">
        <f t="shared" si="18"/>
        <v>8.2751712058529989</v>
      </c>
      <c r="BG26" s="17" t="e">
        <f t="shared" si="19"/>
        <v>#VALUE!</v>
      </c>
      <c r="BI26">
        <v>62</v>
      </c>
      <c r="BJ26" t="s">
        <v>52</v>
      </c>
      <c r="BK26" s="2">
        <v>45966.755289351851</v>
      </c>
      <c r="BL26">
        <v>109</v>
      </c>
      <c r="BM26" t="s">
        <v>13</v>
      </c>
      <c r="BN26">
        <v>0</v>
      </c>
      <c r="BO26">
        <v>2.8849999999999998</v>
      </c>
      <c r="BP26" s="3">
        <v>802684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45966.77648148148</v>
      </c>
      <c r="D27">
        <v>339</v>
      </c>
      <c r="E27" t="s">
        <v>13</v>
      </c>
      <c r="F27">
        <v>0</v>
      </c>
      <c r="G27">
        <v>6.0890000000000004</v>
      </c>
      <c r="H27" s="3">
        <v>4050</v>
      </c>
      <c r="I27">
        <v>0.01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45966.77648148148</v>
      </c>
      <c r="R27">
        <v>339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45966.77648148148</v>
      </c>
      <c r="AF27">
        <v>339</v>
      </c>
      <c r="AG27" t="s">
        <v>13</v>
      </c>
      <c r="AH27">
        <v>0</v>
      </c>
      <c r="AI27" t="s">
        <v>14</v>
      </c>
      <c r="AJ27" s="3" t="s">
        <v>14</v>
      </c>
      <c r="AK27" t="s">
        <v>14</v>
      </c>
      <c r="AL27" t="s">
        <v>14</v>
      </c>
      <c r="AM27" t="s">
        <v>14</v>
      </c>
      <c r="AN27" t="s">
        <v>14</v>
      </c>
      <c r="AO27" t="s">
        <v>14</v>
      </c>
      <c r="AQ27">
        <v>2</v>
      </c>
      <c r="AR27" t="s">
        <v>65</v>
      </c>
      <c r="AS27" s="10">
        <v>63</v>
      </c>
      <c r="AT27" s="16">
        <f t="shared" si="10"/>
        <v>10.9724064325</v>
      </c>
      <c r="AU27" s="17" t="e">
        <f t="shared" si="11"/>
        <v>#VALUE!</v>
      </c>
      <c r="AW27" s="6">
        <f t="shared" si="12"/>
        <v>3.9596282500000006</v>
      </c>
      <c r="AX27" s="7" t="e">
        <f t="shared" si="13"/>
        <v>#VALUE!</v>
      </c>
      <c r="AZ27" s="11">
        <f t="shared" si="14"/>
        <v>2.2791000000000015</v>
      </c>
      <c r="BA27" s="12" t="e">
        <f t="shared" si="15"/>
        <v>#VALUE!</v>
      </c>
      <c r="BC27" s="13">
        <f t="shared" si="16"/>
        <v>7.0608888499999996</v>
      </c>
      <c r="BD27" s="14" t="e">
        <f t="shared" si="17"/>
        <v>#VALUE!</v>
      </c>
      <c r="BF27" s="16">
        <f t="shared" si="18"/>
        <v>10.9724064325</v>
      </c>
      <c r="BG27" s="17" t="e">
        <f t="shared" si="19"/>
        <v>#VALUE!</v>
      </c>
      <c r="BI27">
        <v>63</v>
      </c>
      <c r="BJ27" t="s">
        <v>53</v>
      </c>
      <c r="BK27" s="2">
        <v>45966.77648148148</v>
      </c>
      <c r="BL27">
        <v>339</v>
      </c>
      <c r="BM27" t="s">
        <v>13</v>
      </c>
      <c r="BN27">
        <v>0</v>
      </c>
      <c r="BO27">
        <v>2.8940000000000001</v>
      </c>
      <c r="BP27" s="3">
        <v>780714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45966.797685185185</v>
      </c>
      <c r="D28">
        <v>199</v>
      </c>
      <c r="E28" t="s">
        <v>13</v>
      </c>
      <c r="F28">
        <v>0</v>
      </c>
      <c r="G28">
        <v>6.0839999999999996</v>
      </c>
      <c r="H28" s="3">
        <v>3510</v>
      </c>
      <c r="I28">
        <v>8.0000000000000002E-3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45966.797685185185</v>
      </c>
      <c r="R28">
        <v>199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45966.797685185185</v>
      </c>
      <c r="AF28">
        <v>199</v>
      </c>
      <c r="AG28" t="s">
        <v>13</v>
      </c>
      <c r="AH28">
        <v>0</v>
      </c>
      <c r="AI28">
        <v>12.294</v>
      </c>
      <c r="AJ28" s="3">
        <v>12317</v>
      </c>
      <c r="AK28">
        <v>2.6040000000000001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9.0574546092999988</v>
      </c>
      <c r="AU28" s="17">
        <f t="shared" si="11"/>
        <v>2663.1365644447706</v>
      </c>
      <c r="AW28" s="6">
        <f t="shared" si="12"/>
        <v>2.9156095300000002</v>
      </c>
      <c r="AX28" s="7">
        <f t="shared" si="13"/>
        <v>2438.3522993607198</v>
      </c>
      <c r="AZ28" s="11">
        <f t="shared" si="14"/>
        <v>2.6477040000000027</v>
      </c>
      <c r="BA28" s="12">
        <f t="shared" si="15"/>
        <v>2914.4337581671002</v>
      </c>
      <c r="BC28" s="13">
        <f t="shared" si="16"/>
        <v>5.503000514</v>
      </c>
      <c r="BD28" s="14">
        <f t="shared" si="17"/>
        <v>2550.0128323577997</v>
      </c>
      <c r="BF28" s="16">
        <f t="shared" si="18"/>
        <v>9.0574546092999988</v>
      </c>
      <c r="BG28" s="17">
        <f t="shared" si="19"/>
        <v>2663.1365644447706</v>
      </c>
      <c r="BI28">
        <v>64</v>
      </c>
      <c r="BJ28" t="s">
        <v>54</v>
      </c>
      <c r="BK28" s="2">
        <v>45966.797685185185</v>
      </c>
      <c r="BL28">
        <v>199</v>
      </c>
      <c r="BM28" t="s">
        <v>13</v>
      </c>
      <c r="BN28">
        <v>0</v>
      </c>
      <c r="BO28">
        <v>2.883</v>
      </c>
      <c r="BP28" s="3">
        <v>871164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45966.818912037037</v>
      </c>
      <c r="D29">
        <v>174</v>
      </c>
      <c r="E29" t="s">
        <v>13</v>
      </c>
      <c r="F29">
        <v>0</v>
      </c>
      <c r="G29">
        <v>6.0789999999999997</v>
      </c>
      <c r="H29" s="3">
        <v>4240</v>
      </c>
      <c r="I29">
        <v>0.01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45966.818912037037</v>
      </c>
      <c r="R29">
        <v>174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45966.818912037037</v>
      </c>
      <c r="AF29">
        <v>174</v>
      </c>
      <c r="AG29" t="s">
        <v>13</v>
      </c>
      <c r="AH29">
        <v>0</v>
      </c>
      <c r="AI29">
        <v>12.284000000000001</v>
      </c>
      <c r="AJ29" s="3">
        <v>37134</v>
      </c>
      <c r="AK29" s="15">
        <v>8.0310000000000006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11.647363756799999</v>
      </c>
      <c r="AU29" s="17">
        <f t="shared" si="11"/>
        <v>8253.7475107790797</v>
      </c>
      <c r="AW29" s="6">
        <f t="shared" si="12"/>
        <v>4.3471212799999996</v>
      </c>
      <c r="AX29" s="7">
        <f t="shared" si="13"/>
        <v>7536.7074054428795</v>
      </c>
      <c r="AZ29" s="11">
        <f t="shared" si="14"/>
        <v>2.2243040000000001</v>
      </c>
      <c r="BA29" s="12">
        <f t="shared" si="15"/>
        <v>8410.0442226684008</v>
      </c>
      <c r="BC29" s="13">
        <f t="shared" si="16"/>
        <v>7.6169600640000006</v>
      </c>
      <c r="BD29" s="14">
        <f t="shared" si="17"/>
        <v>7564.1097494311998</v>
      </c>
      <c r="BF29" s="16">
        <f t="shared" si="18"/>
        <v>11.647363756799999</v>
      </c>
      <c r="BG29" s="17">
        <f t="shared" si="19"/>
        <v>8253.7475107790797</v>
      </c>
      <c r="BI29">
        <v>65</v>
      </c>
      <c r="BJ29" t="s">
        <v>55</v>
      </c>
      <c r="BK29" s="2">
        <v>45966.818912037037</v>
      </c>
      <c r="BL29">
        <v>174</v>
      </c>
      <c r="BM29" t="s">
        <v>13</v>
      </c>
      <c r="BN29">
        <v>0</v>
      </c>
      <c r="BO29">
        <v>2.887</v>
      </c>
      <c r="BP29" s="3">
        <v>798160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45966.840104166666</v>
      </c>
      <c r="D30">
        <v>357</v>
      </c>
      <c r="E30" t="s">
        <v>13</v>
      </c>
      <c r="F30">
        <v>0</v>
      </c>
      <c r="G30">
        <v>6.077</v>
      </c>
      <c r="H30" s="3">
        <v>3608</v>
      </c>
      <c r="I30">
        <v>8.9999999999999993E-3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45966.840104166666</v>
      </c>
      <c r="R30">
        <v>357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45966.840104166666</v>
      </c>
      <c r="AF30">
        <v>357</v>
      </c>
      <c r="AG30" t="s">
        <v>13</v>
      </c>
      <c r="AH30">
        <v>0</v>
      </c>
      <c r="AI30">
        <v>12.295</v>
      </c>
      <c r="AJ30" s="3">
        <v>8261</v>
      </c>
      <c r="AK30">
        <v>1.7150000000000001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ref="AT30:AT37" si="20">IF(H30&lt;10000,((H30^2*0.000000008493)+(H30*0.003482)+(-3.269)),(IF(H30&lt;200000,((H30^2*-0.000000000263)+(H30*0.002682)+(3.179)),(IF(H30&lt;8000000,((H30^2*-0.000000000005099)+(H30*0.002054)+(174.8)),((V30^2*-0.00000001014)+(V30*0.2415)+(1123)))))))</f>
        <v>9.4046150203519989</v>
      </c>
      <c r="AU30" s="17">
        <f t="shared" ref="AU30:AU37" si="21">IF(AJ30&lt;45000,((-0.00000004907*AJ30^2)+(0.2277*AJ30)+(-134)),((-0.00000001062*AJ30^2)+(0.2147*AJ30)+(590.6)))</f>
        <v>1743.68096098253</v>
      </c>
      <c r="AW30" s="6">
        <f t="shared" ref="AW30:AW37" si="22">IF(H30&lt;10000,((0.0000001453*H30^2)+(0.0008349*H30)+(-1.805)),(IF(H30&lt;700000,((-0.00000000008054*H30^2)+(0.002348*H30)+(-2.47)), ((-0.00000001938*V30^2)+(0.2471*V30)+(226.8)))))</f>
        <v>3.0987857792</v>
      </c>
      <c r="AX30" s="7">
        <f t="shared" ref="AX30:AX37" si="23">(-0.00000002552*AJ30^2)+(0.2067*AJ30)+(-103.7)</f>
        <v>1602.1071100320801</v>
      </c>
      <c r="AZ30" s="11">
        <f t="shared" ref="AZ30:AZ37" si="24">IF(H30&lt;10000,((H30^2*0.00000054)+(H30*-0.004765)+(12.72)),(IF(H30&lt;200000,((H30^2*-0.000000001577)+(H30*0.003043)+(-10.42)),(IF(H30&lt;8000000,((H30^2*-0.0000000000186)+(H30*0.00194)+(154.1)),((V30^2*-0.00000002)+(V30*0.2565)+(-1032)))))))</f>
        <v>2.5574185600000021</v>
      </c>
      <c r="BA30" s="12">
        <f t="shared" ref="BA30:BA37" si="25">IF(AJ30&lt;45000,((-0.0000004561*AJ30^2)+(0.244*AJ30)+(-21.72)),((-0.0000000409*AJ30^2)+(0.2477*AJ30)+(-1777)))</f>
        <v>1962.8378564119</v>
      </c>
      <c r="BC30" s="13">
        <f t="shared" ref="BC30:BC37" si="26">IF(H30&lt;10000,((H30^2*0.00000005714)+(H30*0.002453)+(-3.811)),(IF(H30&lt;200000,((H30^2*-0.0000000002888)+(H30*0.002899)+(-4.321)),(IF(H30&lt;8000000,((H30^2*-0.0000000000062)+(H30*0.002143)+(157)),((V30^2*-0.000000031)+(V30*0.2771)+(-709.5)))))))</f>
        <v>5.7832533209600001</v>
      </c>
      <c r="BD30" s="14">
        <f t="shared" ref="BD30:BD37" si="27">IF(AJ30&lt;45000,((-0.0000000598*AJ30^2)+(0.205*AJ30)+(34.1)),((-0.00000002403*AJ30^2)+(0.2063*AJ30)+(-550.7)))</f>
        <v>1723.5240015641998</v>
      </c>
      <c r="BF30" s="16">
        <f t="shared" ref="BF30:BF37" si="28">IF(H30&lt;10000,((H30^2*0.000000008493)+(H30*0.003482)+(-3.269)),(IF(H30&lt;200000,((H30^2*-0.000000000263)+(H30*0.002682)+(3.179)),(IF(H30&lt;8000000,((H30^2*-0.000000000005099)+(H30*0.002054)+(174.8)),((V30^2*-0.00000001014)+(V30*0.2415)+(1123)))))))</f>
        <v>9.4046150203519989</v>
      </c>
      <c r="BG30" s="17">
        <f t="shared" ref="BG30:BG37" si="29">IF(AJ30&lt;45000,((-0.00000004907*AJ30^2)+(0.2277*AJ30)+(-134)),((-0.00000001062*AJ30^2)+(0.2147*AJ30)+(590.6)))</f>
        <v>1743.68096098253</v>
      </c>
      <c r="BI30">
        <v>66</v>
      </c>
      <c r="BJ30" t="s">
        <v>56</v>
      </c>
      <c r="BK30" s="2">
        <v>45966.840104166666</v>
      </c>
      <c r="BL30">
        <v>357</v>
      </c>
      <c r="BM30" t="s">
        <v>13</v>
      </c>
      <c r="BN30">
        <v>0</v>
      </c>
      <c r="BO30">
        <v>2.88</v>
      </c>
      <c r="BP30" s="3">
        <v>929681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45966.861354166664</v>
      </c>
      <c r="D31">
        <v>389</v>
      </c>
      <c r="E31" t="s">
        <v>13</v>
      </c>
      <c r="F31">
        <v>0</v>
      </c>
      <c r="G31">
        <v>6.077</v>
      </c>
      <c r="H31" s="3">
        <v>3962</v>
      </c>
      <c r="I31">
        <v>8.9999999999999993E-3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45966.861354166664</v>
      </c>
      <c r="R31">
        <v>389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45966.861354166664</v>
      </c>
      <c r="AF31">
        <v>389</v>
      </c>
      <c r="AG31" t="s">
        <v>13</v>
      </c>
      <c r="AH31">
        <v>0</v>
      </c>
      <c r="AI31">
        <v>12.276</v>
      </c>
      <c r="AJ31" s="3">
        <v>29002</v>
      </c>
      <c r="AK31">
        <v>6.2549999999999999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20"/>
        <v>10.660002391892</v>
      </c>
      <c r="AU31" s="17">
        <f t="shared" si="21"/>
        <v>6428.4818376837202</v>
      </c>
      <c r="AW31" s="6">
        <f t="shared" si="22"/>
        <v>3.7837124132</v>
      </c>
      <c r="AX31" s="7">
        <f t="shared" si="23"/>
        <v>5869.5481195779203</v>
      </c>
      <c r="AZ31" s="11">
        <f t="shared" si="24"/>
        <v>2.3176897600000004</v>
      </c>
      <c r="BA31" s="12">
        <f t="shared" si="25"/>
        <v>6671.1349905755997</v>
      </c>
      <c r="BC31" s="13">
        <f t="shared" si="26"/>
        <v>6.8047379501599998</v>
      </c>
      <c r="BD31" s="14">
        <f t="shared" si="27"/>
        <v>5929.2112629608</v>
      </c>
      <c r="BF31" s="16">
        <f t="shared" si="28"/>
        <v>10.660002391892</v>
      </c>
      <c r="BG31" s="17">
        <f t="shared" si="29"/>
        <v>6428.4818376837202</v>
      </c>
      <c r="BI31">
        <v>67</v>
      </c>
      <c r="BJ31" t="s">
        <v>57</v>
      </c>
      <c r="BK31" s="2">
        <v>45966.861354166664</v>
      </c>
      <c r="BL31">
        <v>389</v>
      </c>
      <c r="BM31" t="s">
        <v>13</v>
      </c>
      <c r="BN31">
        <v>0</v>
      </c>
      <c r="BO31">
        <v>2.8860000000000001</v>
      </c>
      <c r="BP31" s="3">
        <v>828853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45967.51394675926</v>
      </c>
      <c r="D32">
        <v>335</v>
      </c>
      <c r="E32" t="s">
        <v>13</v>
      </c>
      <c r="F32">
        <v>0</v>
      </c>
      <c r="G32">
        <v>6.0919999999999996</v>
      </c>
      <c r="H32" s="3">
        <v>3122</v>
      </c>
      <c r="I32">
        <v>7.0000000000000001E-3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45967.51394675926</v>
      </c>
      <c r="R32">
        <v>335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45967.51394675926</v>
      </c>
      <c r="AF32">
        <v>335</v>
      </c>
      <c r="AG32" t="s">
        <v>13</v>
      </c>
      <c r="AH32">
        <v>0</v>
      </c>
      <c r="AI32">
        <v>12.316000000000001</v>
      </c>
      <c r="AJ32" s="3">
        <v>8144</v>
      </c>
      <c r="AK32">
        <v>1.69</v>
      </c>
      <c r="AL32" t="s">
        <v>14</v>
      </c>
      <c r="AM32" t="s">
        <v>14</v>
      </c>
      <c r="AN32" t="s">
        <v>14</v>
      </c>
      <c r="AO32" t="s">
        <v>14</v>
      </c>
      <c r="AQ32">
        <v>2</v>
      </c>
      <c r="AR32" t="s">
        <v>64</v>
      </c>
      <c r="AS32" s="10">
        <v>68</v>
      </c>
      <c r="AT32" s="16">
        <f t="shared" si="20"/>
        <v>7.684584285811999</v>
      </c>
      <c r="AU32" s="17">
        <f t="shared" si="21"/>
        <v>1717.1342452044801</v>
      </c>
      <c r="AW32" s="6">
        <f t="shared" si="22"/>
        <v>2.2177800452000005</v>
      </c>
      <c r="AX32" s="7">
        <f t="shared" si="23"/>
        <v>1577.97219273728</v>
      </c>
      <c r="AZ32" s="11">
        <f t="shared" si="24"/>
        <v>3.1069873599999998</v>
      </c>
      <c r="BA32" s="12">
        <f t="shared" si="25"/>
        <v>1935.1652879103999</v>
      </c>
      <c r="BC32" s="13">
        <f t="shared" si="26"/>
        <v>4.4042029517599985</v>
      </c>
      <c r="BD32" s="14">
        <f t="shared" si="27"/>
        <v>1699.6537807871998</v>
      </c>
      <c r="BF32" s="16">
        <f t="shared" si="28"/>
        <v>7.684584285811999</v>
      </c>
      <c r="BG32" s="17">
        <f t="shared" si="29"/>
        <v>1717.1342452044801</v>
      </c>
      <c r="BI32">
        <v>68</v>
      </c>
      <c r="BJ32" t="s">
        <v>58</v>
      </c>
      <c r="BK32" s="2">
        <v>45967.51394675926</v>
      </c>
      <c r="BL32">
        <v>335</v>
      </c>
      <c r="BM32" t="s">
        <v>13</v>
      </c>
      <c r="BN32">
        <v>0</v>
      </c>
      <c r="BO32">
        <v>2.847</v>
      </c>
      <c r="BP32" s="3">
        <v>1621964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45967.535162037035</v>
      </c>
      <c r="D33">
        <v>385</v>
      </c>
      <c r="E33" t="s">
        <v>13</v>
      </c>
      <c r="F33">
        <v>0</v>
      </c>
      <c r="G33">
        <v>6.0810000000000004</v>
      </c>
      <c r="H33" s="3">
        <v>3698</v>
      </c>
      <c r="I33">
        <v>8.9999999999999993E-3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45967.535162037035</v>
      </c>
      <c r="R33">
        <v>385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45967.535162037035</v>
      </c>
      <c r="AF33">
        <v>385</v>
      </c>
      <c r="AG33" t="s">
        <v>13</v>
      </c>
      <c r="AH33">
        <v>0</v>
      </c>
      <c r="AI33">
        <v>12.311</v>
      </c>
      <c r="AJ33" s="3">
        <v>13759</v>
      </c>
      <c r="AK33">
        <v>2.92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69</v>
      </c>
      <c r="AT33" s="16">
        <f t="shared" si="20"/>
        <v>9.7235795075719995</v>
      </c>
      <c r="AU33" s="17">
        <f t="shared" si="21"/>
        <v>2989.6348543253303</v>
      </c>
      <c r="AW33" s="6">
        <f t="shared" si="22"/>
        <v>3.2694673412000004</v>
      </c>
      <c r="AX33" s="7">
        <f t="shared" si="23"/>
        <v>2735.4541067328801</v>
      </c>
      <c r="AZ33" s="11">
        <f t="shared" si="24"/>
        <v>2.483640160000002</v>
      </c>
      <c r="BA33" s="12">
        <f t="shared" si="25"/>
        <v>3249.1316720559003</v>
      </c>
      <c r="BC33" s="13">
        <f t="shared" si="26"/>
        <v>6.0415951565599997</v>
      </c>
      <c r="BD33" s="14">
        <f t="shared" si="27"/>
        <v>2843.3742571561997</v>
      </c>
      <c r="BF33" s="16">
        <f t="shared" si="28"/>
        <v>9.7235795075719995</v>
      </c>
      <c r="BG33" s="17">
        <f t="shared" si="29"/>
        <v>2989.6348543253303</v>
      </c>
      <c r="BI33">
        <v>69</v>
      </c>
      <c r="BJ33" t="s">
        <v>59</v>
      </c>
      <c r="BK33" s="2">
        <v>45967.535162037035</v>
      </c>
      <c r="BL33">
        <v>385</v>
      </c>
      <c r="BM33" t="s">
        <v>13</v>
      </c>
      <c r="BN33">
        <v>0</v>
      </c>
      <c r="BO33">
        <v>2.8860000000000001</v>
      </c>
      <c r="BP33" s="3">
        <v>857865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45967.556400462963</v>
      </c>
      <c r="D34">
        <v>159</v>
      </c>
      <c r="E34" t="s">
        <v>13</v>
      </c>
      <c r="F34">
        <v>0</v>
      </c>
      <c r="G34">
        <v>6.0759999999999996</v>
      </c>
      <c r="H34" s="3">
        <v>4239</v>
      </c>
      <c r="I34">
        <v>0.01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45967.556400462963</v>
      </c>
      <c r="R34">
        <v>159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45967.556400462963</v>
      </c>
      <c r="AF34">
        <v>159</v>
      </c>
      <c r="AG34" t="s">
        <v>13</v>
      </c>
      <c r="AH34">
        <v>0</v>
      </c>
      <c r="AI34">
        <v>12.263999999999999</v>
      </c>
      <c r="AJ34" s="3">
        <v>35906</v>
      </c>
      <c r="AK34">
        <v>7.7629999999999999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20"/>
        <v>11.643809744653</v>
      </c>
      <c r="AU34" s="17">
        <f t="shared" si="21"/>
        <v>7978.5331521774806</v>
      </c>
      <c r="AW34" s="6">
        <f t="shared" si="22"/>
        <v>4.3450543813000007</v>
      </c>
      <c r="AX34" s="7">
        <f t="shared" si="23"/>
        <v>7285.1687738652799</v>
      </c>
      <c r="AZ34" s="11">
        <f t="shared" si="24"/>
        <v>2.2244903400000027</v>
      </c>
      <c r="BA34" s="12">
        <f t="shared" si="25"/>
        <v>8151.3212547003995</v>
      </c>
      <c r="BC34" s="13">
        <f t="shared" si="26"/>
        <v>7.614022573939998</v>
      </c>
      <c r="BD34" s="14">
        <f t="shared" si="27"/>
        <v>7317.7333980071999</v>
      </c>
      <c r="BF34" s="16">
        <f t="shared" si="28"/>
        <v>11.643809744653</v>
      </c>
      <c r="BG34" s="17">
        <f t="shared" si="29"/>
        <v>7978.5331521774806</v>
      </c>
      <c r="BI34">
        <v>70</v>
      </c>
      <c r="BJ34" t="s">
        <v>60</v>
      </c>
      <c r="BK34" s="2">
        <v>45967.556400462963</v>
      </c>
      <c r="BL34">
        <v>159</v>
      </c>
      <c r="BM34" t="s">
        <v>13</v>
      </c>
      <c r="BN34">
        <v>0</v>
      </c>
      <c r="BO34">
        <v>2.883</v>
      </c>
      <c r="BP34" s="3">
        <v>864311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45967.577592592592</v>
      </c>
      <c r="D35">
        <v>267</v>
      </c>
      <c r="E35" t="s">
        <v>13</v>
      </c>
      <c r="F35">
        <v>0</v>
      </c>
      <c r="G35">
        <v>6.0819999999999999</v>
      </c>
      <c r="H35" s="3">
        <v>3870</v>
      </c>
      <c r="I35">
        <v>8.9999999999999993E-3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45967.577592592592</v>
      </c>
      <c r="R35">
        <v>267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45967.577592592592</v>
      </c>
      <c r="AF35">
        <v>267</v>
      </c>
      <c r="AG35" t="s">
        <v>13</v>
      </c>
      <c r="AH35">
        <v>0</v>
      </c>
      <c r="AI35">
        <v>12.288</v>
      </c>
      <c r="AJ35" s="3">
        <v>15505</v>
      </c>
      <c r="AK35">
        <v>3.3029999999999999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20"/>
        <v>10.333538811699999</v>
      </c>
      <c r="AU35" s="17">
        <f t="shared" si="21"/>
        <v>3384.6918254232505</v>
      </c>
      <c r="AW35" s="6">
        <f t="shared" si="22"/>
        <v>3.6022065699999999</v>
      </c>
      <c r="AX35" s="7">
        <f t="shared" si="23"/>
        <v>3095.048363762</v>
      </c>
      <c r="AZ35" s="11">
        <f t="shared" si="24"/>
        <v>2.3669759999999993</v>
      </c>
      <c r="BA35" s="12">
        <f t="shared" si="25"/>
        <v>3651.8512680975</v>
      </c>
      <c r="BC35" s="13">
        <f t="shared" si="26"/>
        <v>6.5378900659999992</v>
      </c>
      <c r="BD35" s="14">
        <f t="shared" si="27"/>
        <v>3198.2487795049997</v>
      </c>
      <c r="BF35" s="16">
        <f t="shared" si="28"/>
        <v>10.333538811699999</v>
      </c>
      <c r="BG35" s="17">
        <f t="shared" si="29"/>
        <v>3384.6918254232505</v>
      </c>
      <c r="BI35">
        <v>71</v>
      </c>
      <c r="BJ35" t="s">
        <v>61</v>
      </c>
      <c r="BK35" s="2">
        <v>45967.577592592592</v>
      </c>
      <c r="BL35">
        <v>267</v>
      </c>
      <c r="BM35" t="s">
        <v>13</v>
      </c>
      <c r="BN35">
        <v>0</v>
      </c>
      <c r="BO35">
        <v>2.88</v>
      </c>
      <c r="BP35" s="3">
        <v>916953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45967.598819444444</v>
      </c>
      <c r="D36">
        <v>242</v>
      </c>
      <c r="E36" t="s">
        <v>13</v>
      </c>
      <c r="F36">
        <v>0</v>
      </c>
      <c r="G36">
        <v>6.0789999999999997</v>
      </c>
      <c r="H36" s="3">
        <v>3607</v>
      </c>
      <c r="I36">
        <v>8.9999999999999993E-3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45967.598819444444</v>
      </c>
      <c r="R36">
        <v>242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45967.598819444444</v>
      </c>
      <c r="AF36">
        <v>242</v>
      </c>
      <c r="AG36" t="s">
        <v>13</v>
      </c>
      <c r="AH36">
        <v>0</v>
      </c>
      <c r="AI36">
        <v>12.260999999999999</v>
      </c>
      <c r="AJ36" s="3">
        <v>38812</v>
      </c>
      <c r="AK36">
        <v>8.3979999999999997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20"/>
        <v>9.401071743356999</v>
      </c>
      <c r="AU36" s="17">
        <f t="shared" si="21"/>
        <v>8629.5747581499218</v>
      </c>
      <c r="AW36" s="6">
        <f t="shared" si="22"/>
        <v>3.0969025397000003</v>
      </c>
      <c r="AX36" s="7">
        <f t="shared" si="23"/>
        <v>7880.2978033011195</v>
      </c>
      <c r="AZ36" s="11">
        <f t="shared" si="24"/>
        <v>2.5582874600000007</v>
      </c>
      <c r="BA36" s="12">
        <f t="shared" si="25"/>
        <v>8761.3520300016007</v>
      </c>
      <c r="BC36" s="13">
        <f t="shared" si="26"/>
        <v>5.7803880558599996</v>
      </c>
      <c r="BD36" s="14">
        <f t="shared" si="27"/>
        <v>7900.4789936287998</v>
      </c>
      <c r="BF36" s="16">
        <f t="shared" si="28"/>
        <v>9.401071743356999</v>
      </c>
      <c r="BG36" s="17">
        <f t="shared" si="29"/>
        <v>8629.5747581499218</v>
      </c>
      <c r="BI36">
        <v>72</v>
      </c>
      <c r="BJ36" t="s">
        <v>62</v>
      </c>
      <c r="BK36" s="2">
        <v>45967.598819444444</v>
      </c>
      <c r="BL36">
        <v>242</v>
      </c>
      <c r="BM36" t="s">
        <v>13</v>
      </c>
      <c r="BN36">
        <v>0</v>
      </c>
      <c r="BO36">
        <v>2.8809999999999998</v>
      </c>
      <c r="BP36" s="3">
        <v>885747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45967.620034722226</v>
      </c>
      <c r="D37">
        <v>397</v>
      </c>
      <c r="E37" t="s">
        <v>13</v>
      </c>
      <c r="F37">
        <v>0</v>
      </c>
      <c r="G37">
        <v>6.0730000000000004</v>
      </c>
      <c r="H37" s="3">
        <v>3766</v>
      </c>
      <c r="I37">
        <v>8.9999999999999993E-3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45967.620034722226</v>
      </c>
      <c r="R37">
        <v>397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45967.620034722226</v>
      </c>
      <c r="AF37">
        <v>397</v>
      </c>
      <c r="AG37" t="s">
        <v>13</v>
      </c>
      <c r="AH37">
        <v>0</v>
      </c>
      <c r="AI37">
        <v>12.269</v>
      </c>
      <c r="AJ37" s="3">
        <v>33200</v>
      </c>
      <c r="AK37">
        <v>7.1719999999999997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20"/>
        <v>9.964666146707998</v>
      </c>
      <c r="AU37" s="17">
        <f t="shared" si="21"/>
        <v>7371.5530832000004</v>
      </c>
      <c r="AW37" s="6">
        <f t="shared" si="22"/>
        <v>3.3999878468000002</v>
      </c>
      <c r="AX37" s="7">
        <f t="shared" si="23"/>
        <v>6730.6108352000001</v>
      </c>
      <c r="AZ37" s="11">
        <f t="shared" si="24"/>
        <v>2.43369824</v>
      </c>
      <c r="BA37" s="12">
        <f t="shared" si="25"/>
        <v>7576.348336</v>
      </c>
      <c r="BC37" s="13">
        <f t="shared" si="26"/>
        <v>6.2374006778400002</v>
      </c>
      <c r="BD37" s="14">
        <f t="shared" si="27"/>
        <v>6774.1860480000005</v>
      </c>
      <c r="BF37" s="16">
        <f t="shared" si="28"/>
        <v>9.964666146707998</v>
      </c>
      <c r="BG37" s="17">
        <f t="shared" si="29"/>
        <v>7371.5530832000004</v>
      </c>
      <c r="BI37">
        <v>73</v>
      </c>
      <c r="BJ37" t="s">
        <v>63</v>
      </c>
      <c r="BK37" s="2">
        <v>45967.620034722226</v>
      </c>
      <c r="BL37">
        <v>397</v>
      </c>
      <c r="BM37" t="s">
        <v>13</v>
      </c>
      <c r="BN37">
        <v>0</v>
      </c>
      <c r="BO37">
        <v>2.887</v>
      </c>
      <c r="BP37" s="3">
        <v>790356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1:73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1:73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1:73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1:73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2025-11-10T18:34:47Z</dcterms:modified>
</cp:coreProperties>
</file>