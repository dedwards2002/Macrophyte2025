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DXE mesocosms\"/>
    </mc:Choice>
  </mc:AlternateContent>
  <xr:revisionPtr revIDLastSave="0" documentId="13_ncr:1_{1BF2DBE2-1C9A-42E9-8BB0-93B2C6F0087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</calcChain>
</file>

<file path=xl/sharedStrings.xml><?xml version="1.0" encoding="utf-8"?>
<sst xmlns="http://schemas.openxmlformats.org/spreadsheetml/2006/main" count="715" uniqueCount="63">
  <si>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</si>
  <si>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</si>
  <si>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</si>
  <si>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</si>
  <si>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</si>
  <si>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</si>
  <si>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</si>
  <si>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</si>
  <si>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</si>
  <si>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</si>
  <si>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</si>
  <si>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</si>
  <si>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</si>
  <si>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</si>
  <si>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</si>
  <si>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</si>
  <si>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</si>
  <si>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</si>
  <si>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</si>
  <si>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</si>
  <si>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</si>
  <si>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</si>
  <si>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</si>
  <si>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</si>
  <si>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</si>
  <si>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</si>
  <si>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</si>
  <si>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</si>
  <si>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</si>
  <si>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 xml:space="preserve">QC spiked air 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</si>
  <si>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</si>
  <si>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</si>
  <si>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</si>
  <si>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</si>
  <si>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DXE20250626_002.gcd</t>
  </si>
  <si>
    <t>air take 2</t>
  </si>
  <si>
    <t>DXE20250626_003.gcd</t>
  </si>
  <si>
    <t>DXE20250626_004.gcd</t>
  </si>
  <si>
    <t>DXE20250626_005.gcd</t>
  </si>
  <si>
    <t>DXE20250626_006.gcd</t>
  </si>
  <si>
    <t>DXE20250626_007.gcd</t>
  </si>
  <si>
    <t>DXE20250626_008.gcd</t>
  </si>
  <si>
    <t>DXE20250626_009.gcd</t>
  </si>
  <si>
    <t>DXE20250626_010.gcd</t>
  </si>
  <si>
    <t>DXE20250626_011.gcd</t>
  </si>
  <si>
    <t>DXE20250626_012.gcd</t>
  </si>
  <si>
    <t>DXE20250626_013.gcd</t>
  </si>
  <si>
    <t>DXE20250626_014.gcd</t>
  </si>
  <si>
    <t>DXE20250626_015.gcd</t>
  </si>
  <si>
    <t>DXE20250626_016.gcd</t>
  </si>
  <si>
    <t>DXE20250626_017.gcd</t>
  </si>
  <si>
    <t>DXE20250626_018.gcd</t>
  </si>
  <si>
    <t>DXE20250626_019.gcd</t>
  </si>
  <si>
    <t>DXE20250626_020.gcd</t>
  </si>
  <si>
    <t>DXE20250626_021.gcd</t>
  </si>
  <si>
    <t>DXE20250626_022.gcd</t>
  </si>
  <si>
    <t>DXE20250626_023.gcd</t>
  </si>
  <si>
    <t>DXE20250626_025.gcd</t>
  </si>
  <si>
    <t>203 rerun</t>
  </si>
  <si>
    <t>DXE20250626_026.gcd</t>
  </si>
  <si>
    <t>372 rerun</t>
  </si>
  <si>
    <t>CO2 interference. Do not use CO2. Use CH4.</t>
  </si>
  <si>
    <t>Rerun. Use CO2. Do not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</si>
</sst>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32"/>
  <sheetViews>
    <sheetView tabSelected="1" topLeftCell="K1" workbookViewId="0">
      <selection activeCell="K11" sqref="A11:XFD1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30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33</v>
      </c>
      <c r="BE8" s="8"/>
      <c r="BF8" s="5" t="s">
        <v>31</v>
      </c>
      <c r="BG8" s="5" t="s">
        <v>32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34</v>
      </c>
      <c r="C9" s="2">
        <v>45834.688993055555</v>
      </c>
      <c r="D9" t="s">
        <v>35</v>
      </c>
      <c r="E9" t="s">
        <v>13</v>
      </c>
      <c r="F9">
        <v>0</v>
      </c>
      <c r="G9">
        <v>6.0190000000000001</v>
      </c>
      <c r="H9" s="3">
        <v>1998</v>
      </c>
      <c r="I9">
        <v>5.0000000000000001E-3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34</v>
      </c>
      <c r="Q9" s="2">
        <v>45834.688993055555</v>
      </c>
      <c r="R9" t="s">
        <v>35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34</v>
      </c>
      <c r="AE9" s="2">
        <v>45834.688993055555</v>
      </c>
      <c r="AF9" t="s">
        <v>35</v>
      </c>
      <c r="AG9" t="s">
        <v>13</v>
      </c>
      <c r="AH9">
        <v>0</v>
      </c>
      <c r="AI9">
        <v>12.148999999999999</v>
      </c>
      <c r="AJ9" s="3">
        <v>2107</v>
      </c>
      <c r="AK9">
        <v>0.36599999999999999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5">
        <f t="shared" ref="AT9:AT32" si="0">IF(H9&lt;10000,((H9^2*0.000000008493)+(H9*0.003482)+(-3.269)),(IF(H9&lt;200000,((H9^2*-0.000000000263)+(H9*0.002682)+(3.179)),(IF(H9&lt;8000000,((H9^2*-0.000000000005099)+(H9*0.002054)+(174.8)),((V9^2*-0.00000001014)+(V9*0.2415)+(1123)))))))</f>
        <v>3.7219400899719997</v>
      </c>
      <c r="AU9" s="16">
        <f t="shared" ref="AU9:AU32" si="1">IF(AJ9&lt;45000,((-0.00000004907*AJ9^2)+(0.2277*AJ9)+(-134)),((-0.00000001062*AJ9^2)+(0.2147*AJ9)+(590.6)))</f>
        <v>345.54605623757004</v>
      </c>
      <c r="AW9" s="6">
        <f t="shared" ref="AW9:AW32" si="2">IF(H9&lt;10000,((0.0000001453*H9^2)+(0.0008349*H9)+(-1.805)),(IF(H9&lt;700000,((-0.00000000008054*H9^2)+(0.002348*H9)+(-2.47)), ((-0.00000001938*V9^2)+(0.2471*V9)+(226.8)))))</f>
        <v>0.44316838120000024</v>
      </c>
      <c r="AX9" s="7">
        <f t="shared" ref="AX9:AX32" si="3">(-0.00000002552*AJ9^2)+(0.2067*AJ9)+(-103.7)</f>
        <v>331.70360526151995</v>
      </c>
      <c r="AZ9" s="11">
        <f t="shared" ref="AZ9:AZ32" si="4">IF(H9&lt;10000,((H9^2*0.00000054)+(H9*-0.004765)+(12.72)),(IF(H9&lt;200000,((H9^2*-0.000000001577)+(H9*0.003043)+(-10.42)),(IF(H9&lt;8000000,((H9^2*-0.0000000000186)+(H9*0.00194)+(154.1)),((V9^2*-0.00000002)+(V9*0.2565)+(-1032)))))))</f>
        <v>5.3552121600000007</v>
      </c>
      <c r="BA9" s="12">
        <f t="shared" ref="BA9:BA32" si="5">IF(AJ9&lt;45000,((-0.0000004561*AJ9^2)+(0.244*AJ9)+(-21.72)),((-0.0000000409*AJ9^2)+(0.2477*AJ9)+(-1777)))</f>
        <v>490.36316731109991</v>
      </c>
      <c r="BC9" s="13">
        <f t="shared" ref="BC9:BC32" si="6">IF(H9&lt;10000,((H9^2*0.00000005714)+(H9*0.002453)+(-3.811)),(IF(H9&lt;200000,((H9^2*-0.0000000002888)+(H9*0.002899)+(-4.321)),(IF(H9&lt;8000000,((H9^2*-0.0000000000062)+(H9*0.002143)+(157)),((V9^2*-0.000000031)+(V9*0.2771)+(-709.5)))))))</f>
        <v>1.3181971085599997</v>
      </c>
      <c r="BD9" s="14">
        <f t="shared" ref="BD9:BD32" si="7">IF(AJ9&lt;45000,((-0.0000000598*AJ9^2)+(0.205*AJ9)+(34.1)),((-0.00000002403*AJ9^2)+(0.2063*AJ9)+(-550.7)))</f>
        <v>465.76952094980004</v>
      </c>
      <c r="BF9" s="15">
        <f t="shared" ref="BF9:BF32" si="8">IF(H9&lt;10000,((H9^2*0.000000008493)+(H9*0.003482)+(-3.269)),(IF(H9&lt;200000,((H9^2*-0.000000000263)+(H9*0.002682)+(3.179)),(IF(H9&lt;8000000,((H9^2*-0.000000000005099)+(H9*0.002054)+(174.8)),((V9^2*-0.00000001014)+(V9*0.2415)+(1123)))))))</f>
        <v>3.7219400899719997</v>
      </c>
      <c r="BG9" s="16">
        <f t="shared" ref="BG9:BG32" si="9">IF(AJ9&lt;45000,((-0.00000004907*AJ9^2)+(0.2277*AJ9)+(-134)),((-0.00000001062*AJ9^2)+(0.2147*AJ9)+(590.6)))</f>
        <v>345.54605623757004</v>
      </c>
      <c r="BI9">
        <v>45</v>
      </c>
      <c r="BJ9" t="s">
        <v>34</v>
      </c>
      <c r="BK9" s="2">
        <v>45834.688993055555</v>
      </c>
      <c r="BL9" t="s">
        <v>35</v>
      </c>
      <c r="BM9" t="s">
        <v>13</v>
      </c>
      <c r="BN9">
        <v>0</v>
      </c>
      <c r="BO9">
        <v>2.6960000000000002</v>
      </c>
      <c r="BP9" s="3">
        <v>4928839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45834.710231481484</v>
      </c>
      <c r="D10" t="s">
        <v>29</v>
      </c>
      <c r="E10" t="s">
        <v>13</v>
      </c>
      <c r="F10">
        <v>0</v>
      </c>
      <c r="G10">
        <v>5.984</v>
      </c>
      <c r="H10" s="3">
        <v>1079570</v>
      </c>
      <c r="I10">
        <v>2.4390000000000001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45834.710231481484</v>
      </c>
      <c r="R10" t="s">
        <v>29</v>
      </c>
      <c r="S10" t="s">
        <v>13</v>
      </c>
      <c r="T10">
        <v>0</v>
      </c>
      <c r="U10">
        <v>5.9349999999999996</v>
      </c>
      <c r="V10" s="3">
        <v>9422</v>
      </c>
      <c r="W10">
        <v>2.4209999999999998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45834.710231481484</v>
      </c>
      <c r="AF10" t="s">
        <v>29</v>
      </c>
      <c r="AG10" t="s">
        <v>13</v>
      </c>
      <c r="AH10">
        <v>0</v>
      </c>
      <c r="AI10">
        <v>12.159000000000001</v>
      </c>
      <c r="AJ10" s="3">
        <v>8324</v>
      </c>
      <c r="AK10">
        <v>1.7290000000000001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5">
        <f t="shared" si="0"/>
        <v>2386.2940414083951</v>
      </c>
      <c r="AU10" s="16">
        <f t="shared" si="1"/>
        <v>1757.9747899476799</v>
      </c>
      <c r="AW10" s="6">
        <f t="shared" si="2"/>
        <v>2553.2557582520799</v>
      </c>
      <c r="AX10" s="7">
        <f t="shared" si="3"/>
        <v>1615.1025453324798</v>
      </c>
      <c r="AZ10" s="11">
        <f t="shared" si="4"/>
        <v>2226.78803224086</v>
      </c>
      <c r="BA10" s="12">
        <f t="shared" si="5"/>
        <v>1977.7332980464</v>
      </c>
      <c r="BC10" s="13">
        <f t="shared" si="6"/>
        <v>2463.2925874136199</v>
      </c>
      <c r="BD10" s="14">
        <f t="shared" si="7"/>
        <v>1736.3765192351998</v>
      </c>
      <c r="BF10" s="15">
        <f t="shared" si="8"/>
        <v>2386.2940414083951</v>
      </c>
      <c r="BG10" s="16">
        <f t="shared" si="9"/>
        <v>1757.9747899476799</v>
      </c>
      <c r="BI10">
        <v>46</v>
      </c>
      <c r="BJ10" t="s">
        <v>36</v>
      </c>
      <c r="BK10" s="2">
        <v>45834.710231481484</v>
      </c>
      <c r="BL10" t="s">
        <v>29</v>
      </c>
      <c r="BM10" t="s">
        <v>13</v>
      </c>
      <c r="BN10">
        <v>0</v>
      </c>
      <c r="BO10">
        <v>2.7010000000000001</v>
      </c>
      <c r="BP10" s="3">
        <v>4932871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45834.731481481482</v>
      </c>
      <c r="D11" t="s">
        <v>28</v>
      </c>
      <c r="E11" t="s">
        <v>13</v>
      </c>
      <c r="F11">
        <v>0</v>
      </c>
      <c r="G11">
        <v>6.016</v>
      </c>
      <c r="H11" s="3">
        <v>3188</v>
      </c>
      <c r="I11">
        <v>8.0000000000000002E-3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45834.731481481482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45834.731481481482</v>
      </c>
      <c r="AF11" t="s">
        <v>28</v>
      </c>
      <c r="AG11" t="s">
        <v>13</v>
      </c>
      <c r="AH11">
        <v>0</v>
      </c>
      <c r="AI11">
        <v>12.170999999999999</v>
      </c>
      <c r="AJ11" s="3">
        <v>1942</v>
      </c>
      <c r="AK11">
        <v>0.33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5">
        <f t="shared" si="0"/>
        <v>7.9179332805919991</v>
      </c>
      <c r="AU11" s="16">
        <f t="shared" si="1"/>
        <v>308.00833916852008</v>
      </c>
      <c r="AW11" s="6">
        <f t="shared" si="2"/>
        <v>2.3333950832000001</v>
      </c>
      <c r="AX11" s="7">
        <f t="shared" si="3"/>
        <v>297.61515479072</v>
      </c>
      <c r="AZ11" s="11">
        <f t="shared" si="4"/>
        <v>3.0173857600000016</v>
      </c>
      <c r="BA11" s="12">
        <f t="shared" si="5"/>
        <v>450.40788087960004</v>
      </c>
      <c r="BC11" s="13">
        <f t="shared" si="6"/>
        <v>4.5898974761599991</v>
      </c>
      <c r="BD11" s="14">
        <f t="shared" si="7"/>
        <v>431.98447243279998</v>
      </c>
      <c r="BF11" s="15">
        <f t="shared" si="8"/>
        <v>7.9179332805919991</v>
      </c>
      <c r="BG11" s="16">
        <f t="shared" si="9"/>
        <v>308.00833916852008</v>
      </c>
      <c r="BI11">
        <v>47</v>
      </c>
      <c r="BJ11" t="s">
        <v>37</v>
      </c>
      <c r="BK11" s="2">
        <v>45834.731481481482</v>
      </c>
      <c r="BL11" t="s">
        <v>28</v>
      </c>
      <c r="BM11" t="s">
        <v>13</v>
      </c>
      <c r="BN11">
        <v>0</v>
      </c>
      <c r="BO11">
        <v>2.69</v>
      </c>
      <c r="BP11" s="3">
        <v>5174749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45834.752708333333</v>
      </c>
      <c r="D12">
        <v>245</v>
      </c>
      <c r="E12" t="s">
        <v>13</v>
      </c>
      <c r="F12">
        <v>0</v>
      </c>
      <c r="G12">
        <v>5.98</v>
      </c>
      <c r="H12" s="3">
        <v>475528</v>
      </c>
      <c r="I12">
        <v>1.073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45834.752708333333</v>
      </c>
      <c r="R12">
        <v>245</v>
      </c>
      <c r="S12" t="s">
        <v>13</v>
      </c>
      <c r="T12">
        <v>0</v>
      </c>
      <c r="U12">
        <v>5.9379999999999997</v>
      </c>
      <c r="V12" s="3">
        <v>4302</v>
      </c>
      <c r="W12">
        <v>1.155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45834.752708333333</v>
      </c>
      <c r="AF12">
        <v>245</v>
      </c>
      <c r="AG12" t="s">
        <v>13</v>
      </c>
      <c r="AH12">
        <v>0</v>
      </c>
      <c r="AI12">
        <v>12.08</v>
      </c>
      <c r="AJ12" s="3">
        <v>53046</v>
      </c>
      <c r="AK12">
        <v>11.5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5">
        <f t="shared" si="0"/>
        <v>1150.3814910450803</v>
      </c>
      <c r="AU12" s="16">
        <f t="shared" si="1"/>
        <v>11949.692814408081</v>
      </c>
      <c r="AW12" s="6">
        <f t="shared" si="2"/>
        <v>1095.8574851827366</v>
      </c>
      <c r="AX12" s="7">
        <f t="shared" si="3"/>
        <v>10789.098030479679</v>
      </c>
      <c r="AZ12" s="11">
        <f t="shared" si="4"/>
        <v>1072.4183600546178</v>
      </c>
      <c r="BA12" s="12">
        <f t="shared" si="5"/>
        <v>11247.406585055602</v>
      </c>
      <c r="BC12" s="13">
        <f t="shared" si="6"/>
        <v>1174.6545173515392</v>
      </c>
      <c r="BD12" s="14">
        <f t="shared" si="7"/>
        <v>10325.072308872521</v>
      </c>
      <c r="BF12" s="15">
        <f t="shared" si="8"/>
        <v>1150.3814910450803</v>
      </c>
      <c r="BG12" s="16">
        <f t="shared" si="9"/>
        <v>11949.692814408081</v>
      </c>
      <c r="BI12">
        <v>48</v>
      </c>
      <c r="BJ12" t="s">
        <v>38</v>
      </c>
      <c r="BK12" s="2">
        <v>45834.752708333333</v>
      </c>
      <c r="BL12">
        <v>245</v>
      </c>
      <c r="BM12" t="s">
        <v>13</v>
      </c>
      <c r="BN12">
        <v>0</v>
      </c>
      <c r="BO12">
        <v>2.8220000000000001</v>
      </c>
      <c r="BP12" s="3">
        <v>1258719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45834.774004629631</v>
      </c>
      <c r="D13">
        <v>340</v>
      </c>
      <c r="E13" t="s">
        <v>13</v>
      </c>
      <c r="F13">
        <v>0</v>
      </c>
      <c r="G13">
        <v>5.98</v>
      </c>
      <c r="H13" s="3">
        <v>825753</v>
      </c>
      <c r="I13">
        <v>1.865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45834.774004629631</v>
      </c>
      <c r="R13">
        <v>340</v>
      </c>
      <c r="S13" t="s">
        <v>13</v>
      </c>
      <c r="T13">
        <v>0</v>
      </c>
      <c r="U13">
        <v>5.9329999999999998</v>
      </c>
      <c r="V13" s="3">
        <v>6864</v>
      </c>
      <c r="W13">
        <v>1.788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45834.774004629631</v>
      </c>
      <c r="AF13">
        <v>340</v>
      </c>
      <c r="AG13" t="s">
        <v>13</v>
      </c>
      <c r="AH13">
        <v>0</v>
      </c>
      <c r="AI13">
        <v>12.084</v>
      </c>
      <c r="AJ13" s="3">
        <v>67826</v>
      </c>
      <c r="AK13">
        <v>14.715999999999999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5">
        <f t="shared" si="0"/>
        <v>1867.419816981271</v>
      </c>
      <c r="AU13" s="16">
        <f t="shared" si="1"/>
        <v>15103.986310148881</v>
      </c>
      <c r="AW13" s="6">
        <f t="shared" si="2"/>
        <v>1921.98132106752</v>
      </c>
      <c r="AX13" s="7">
        <f t="shared" si="3"/>
        <v>13798.532852636479</v>
      </c>
      <c r="AZ13" s="11">
        <f t="shared" si="4"/>
        <v>1743.3780748836325</v>
      </c>
      <c r="BA13" s="12">
        <f t="shared" si="5"/>
        <v>14835.345219311599</v>
      </c>
      <c r="BC13" s="13">
        <f t="shared" si="6"/>
        <v>1922.3610972945442</v>
      </c>
      <c r="BD13" s="14">
        <f t="shared" si="7"/>
        <v>13331.25699838772</v>
      </c>
      <c r="BF13" s="15">
        <f t="shared" si="8"/>
        <v>1867.419816981271</v>
      </c>
      <c r="BG13" s="16">
        <f t="shared" si="9"/>
        <v>15103.986310148881</v>
      </c>
      <c r="BI13">
        <v>49</v>
      </c>
      <c r="BJ13" t="s">
        <v>39</v>
      </c>
      <c r="BK13" s="2">
        <v>45834.774004629631</v>
      </c>
      <c r="BL13">
        <v>340</v>
      </c>
      <c r="BM13" t="s">
        <v>13</v>
      </c>
      <c r="BN13">
        <v>0</v>
      </c>
      <c r="BO13">
        <v>2.8330000000000002</v>
      </c>
      <c r="BP13" s="3">
        <v>1042594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45834.795243055552</v>
      </c>
      <c r="D14">
        <v>68</v>
      </c>
      <c r="E14" t="s">
        <v>13</v>
      </c>
      <c r="F14">
        <v>0</v>
      </c>
      <c r="G14">
        <v>5.9880000000000004</v>
      </c>
      <c r="H14" s="3">
        <v>59352</v>
      </c>
      <c r="I14">
        <v>0.13400000000000001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45834.795243055552</v>
      </c>
      <c r="R14">
        <v>68</v>
      </c>
      <c r="S14" t="s">
        <v>13</v>
      </c>
      <c r="T14">
        <v>0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45834.795243055552</v>
      </c>
      <c r="AF14">
        <v>68</v>
      </c>
      <c r="AG14" t="s">
        <v>13</v>
      </c>
      <c r="AH14">
        <v>0</v>
      </c>
      <c r="AI14">
        <v>12.124000000000001</v>
      </c>
      <c r="AJ14" s="3">
        <v>23906</v>
      </c>
      <c r="AK14">
        <v>5.141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5">
        <f t="shared" si="0"/>
        <v>161.434604445248</v>
      </c>
      <c r="AU14" s="16">
        <f t="shared" si="1"/>
        <v>5281.35285025748</v>
      </c>
      <c r="AW14" s="6">
        <f t="shared" si="2"/>
        <v>136.60478097133185</v>
      </c>
      <c r="AX14" s="7">
        <f t="shared" si="3"/>
        <v>4823.0856007452803</v>
      </c>
      <c r="AZ14" s="11">
        <f t="shared" si="4"/>
        <v>164.63290133139202</v>
      </c>
      <c r="BA14" s="12">
        <f t="shared" si="5"/>
        <v>5550.6842931004003</v>
      </c>
      <c r="BC14" s="13">
        <f t="shared" si="6"/>
        <v>166.72310381972483</v>
      </c>
      <c r="BD14" s="14">
        <f t="shared" si="7"/>
        <v>4900.6544892071997</v>
      </c>
      <c r="BF14" s="15">
        <f t="shared" si="8"/>
        <v>161.434604445248</v>
      </c>
      <c r="BG14" s="16">
        <f t="shared" si="9"/>
        <v>5281.35285025748</v>
      </c>
      <c r="BI14">
        <v>50</v>
      </c>
      <c r="BJ14" t="s">
        <v>40</v>
      </c>
      <c r="BK14" s="2">
        <v>45834.795243055552</v>
      </c>
      <c r="BL14">
        <v>68</v>
      </c>
      <c r="BM14" t="s">
        <v>13</v>
      </c>
      <c r="BN14">
        <v>0</v>
      </c>
      <c r="BO14">
        <v>2.8319999999999999</v>
      </c>
      <c r="BP14" s="3">
        <v>1153997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45834.816493055558</v>
      </c>
      <c r="D15">
        <v>376</v>
      </c>
      <c r="E15" t="s">
        <v>13</v>
      </c>
      <c r="F15">
        <v>0</v>
      </c>
      <c r="G15">
        <v>5.9829999999999997</v>
      </c>
      <c r="H15" s="3">
        <v>97059</v>
      </c>
      <c r="I15">
        <v>0.219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45834.816493055558</v>
      </c>
      <c r="R15">
        <v>376</v>
      </c>
      <c r="S15" t="s">
        <v>13</v>
      </c>
      <c r="T15">
        <v>0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45834.816493055558</v>
      </c>
      <c r="AF15">
        <v>376</v>
      </c>
      <c r="AG15" t="s">
        <v>13</v>
      </c>
      <c r="AH15">
        <v>0</v>
      </c>
      <c r="AI15">
        <v>12.114000000000001</v>
      </c>
      <c r="AJ15" s="3">
        <v>36400</v>
      </c>
      <c r="AK15">
        <v>7.8710000000000004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5">
        <f t="shared" si="0"/>
        <v>261.01365978649693</v>
      </c>
      <c r="AU15" s="16">
        <f t="shared" si="1"/>
        <v>8089.2642128000007</v>
      </c>
      <c r="AW15" s="6">
        <f t="shared" si="2"/>
        <v>224.66580899880023</v>
      </c>
      <c r="AX15" s="7">
        <f t="shared" si="3"/>
        <v>7386.3670208000003</v>
      </c>
      <c r="AZ15" s="11">
        <f t="shared" si="4"/>
        <v>270.07448816846301</v>
      </c>
      <c r="BA15" s="12">
        <f t="shared" si="5"/>
        <v>8255.5657440000014</v>
      </c>
      <c r="BC15" s="13">
        <f t="shared" si="6"/>
        <v>274.33241518988723</v>
      </c>
      <c r="BD15" s="14">
        <f t="shared" si="7"/>
        <v>7416.8673920000001</v>
      </c>
      <c r="BF15" s="15">
        <f t="shared" si="8"/>
        <v>261.01365978649693</v>
      </c>
      <c r="BG15" s="16">
        <f t="shared" si="9"/>
        <v>8089.2642128000007</v>
      </c>
      <c r="BI15">
        <v>51</v>
      </c>
      <c r="BJ15" t="s">
        <v>41</v>
      </c>
      <c r="BK15" s="2">
        <v>45834.816493055558</v>
      </c>
      <c r="BL15">
        <v>376</v>
      </c>
      <c r="BM15" t="s">
        <v>13</v>
      </c>
      <c r="BN15">
        <v>0</v>
      </c>
      <c r="BO15">
        <v>2.8260000000000001</v>
      </c>
      <c r="BP15" s="3">
        <v>1186373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45834.837766203702</v>
      </c>
      <c r="D16">
        <v>347</v>
      </c>
      <c r="E16" t="s">
        <v>13</v>
      </c>
      <c r="F16">
        <v>0</v>
      </c>
      <c r="G16">
        <v>5.9859999999999998</v>
      </c>
      <c r="H16" s="3">
        <v>29343</v>
      </c>
      <c r="I16">
        <v>6.7000000000000004E-2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45834.837766203702</v>
      </c>
      <c r="R16">
        <v>347</v>
      </c>
      <c r="S16" t="s">
        <v>13</v>
      </c>
      <c r="T16">
        <v>0</v>
      </c>
      <c r="U16" t="s">
        <v>14</v>
      </c>
      <c r="V16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45834.837766203702</v>
      </c>
      <c r="AF16">
        <v>347</v>
      </c>
      <c r="AG16" t="s">
        <v>13</v>
      </c>
      <c r="AH16">
        <v>0</v>
      </c>
      <c r="AI16">
        <v>12.141</v>
      </c>
      <c r="AJ16" s="3">
        <v>15278</v>
      </c>
      <c r="AK16">
        <v>3.2530000000000001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5">
        <f t="shared" si="0"/>
        <v>81.650479936312991</v>
      </c>
      <c r="AU16" s="16">
        <f t="shared" si="1"/>
        <v>3333.34681387412</v>
      </c>
      <c r="AW16" s="6">
        <f t="shared" si="2"/>
        <v>66.358018121789542</v>
      </c>
      <c r="AX16" s="7">
        <f t="shared" si="3"/>
        <v>3048.3057909123199</v>
      </c>
      <c r="AZ16" s="11">
        <f t="shared" si="4"/>
        <v>77.512933629526998</v>
      </c>
      <c r="BA16" s="12">
        <f t="shared" si="5"/>
        <v>3599.6503767675999</v>
      </c>
      <c r="BC16" s="13">
        <f t="shared" si="6"/>
        <v>80.495696835768811</v>
      </c>
      <c r="BD16" s="14">
        <f t="shared" si="7"/>
        <v>3152.1316464167999</v>
      </c>
      <c r="BF16" s="15">
        <f t="shared" si="8"/>
        <v>81.650479936312991</v>
      </c>
      <c r="BG16" s="16">
        <f t="shared" si="9"/>
        <v>3333.34681387412</v>
      </c>
      <c r="BI16">
        <v>52</v>
      </c>
      <c r="BJ16" t="s">
        <v>42</v>
      </c>
      <c r="BK16" s="2">
        <v>45834.837766203702</v>
      </c>
      <c r="BL16">
        <v>347</v>
      </c>
      <c r="BM16" t="s">
        <v>13</v>
      </c>
      <c r="BN16">
        <v>0</v>
      </c>
      <c r="BO16">
        <v>2.8210000000000002</v>
      </c>
      <c r="BP16" s="3">
        <v>1313792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45834.858993055554</v>
      </c>
      <c r="D17">
        <v>407</v>
      </c>
      <c r="E17" t="s">
        <v>13</v>
      </c>
      <c r="F17">
        <v>0</v>
      </c>
      <c r="G17">
        <v>5.984</v>
      </c>
      <c r="H17" s="3">
        <v>191689</v>
      </c>
      <c r="I17">
        <v>0.433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45834.858993055554</v>
      </c>
      <c r="R17">
        <v>407</v>
      </c>
      <c r="S17" t="s">
        <v>13</v>
      </c>
      <c r="T17">
        <v>0</v>
      </c>
      <c r="U17">
        <v>5.9329999999999998</v>
      </c>
      <c r="V17" s="3">
        <v>1164</v>
      </c>
      <c r="W17">
        <v>0.378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45834.858993055554</v>
      </c>
      <c r="AF17">
        <v>407</v>
      </c>
      <c r="AG17" t="s">
        <v>13</v>
      </c>
      <c r="AH17">
        <v>0</v>
      </c>
      <c r="AI17">
        <v>12.093999999999999</v>
      </c>
      <c r="AJ17" s="3">
        <v>53508</v>
      </c>
      <c r="AK17">
        <v>11.601000000000001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5">
        <f t="shared" si="0"/>
        <v>507.62504907437688</v>
      </c>
      <c r="AU17" s="16">
        <f t="shared" si="1"/>
        <v>12048.361413600322</v>
      </c>
      <c r="AW17" s="6">
        <f t="shared" si="2"/>
        <v>444.65635605905061</v>
      </c>
      <c r="AX17" s="7">
        <f t="shared" si="3"/>
        <v>10883.33713324672</v>
      </c>
      <c r="AZ17" s="11">
        <f t="shared" si="4"/>
        <v>514.94327811898302</v>
      </c>
      <c r="BA17" s="12">
        <f t="shared" si="5"/>
        <v>11359.8305619824</v>
      </c>
      <c r="BC17" s="13">
        <f t="shared" si="6"/>
        <v>540.77354951817517</v>
      </c>
      <c r="BD17" s="14">
        <f t="shared" si="7"/>
        <v>10419.199961282078</v>
      </c>
      <c r="BF17" s="15">
        <f t="shared" si="8"/>
        <v>507.62504907437688</v>
      </c>
      <c r="BG17" s="16">
        <f t="shared" si="9"/>
        <v>12048.361413600322</v>
      </c>
      <c r="BI17">
        <v>53</v>
      </c>
      <c r="BJ17" t="s">
        <v>43</v>
      </c>
      <c r="BK17" s="2">
        <v>45834.858993055554</v>
      </c>
      <c r="BL17">
        <v>407</v>
      </c>
      <c r="BM17" t="s">
        <v>13</v>
      </c>
      <c r="BN17">
        <v>0</v>
      </c>
      <c r="BO17">
        <v>2.8</v>
      </c>
      <c r="BP17" s="3">
        <v>1718456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45834.880254629628</v>
      </c>
      <c r="D18">
        <v>152</v>
      </c>
      <c r="E18" t="s">
        <v>13</v>
      </c>
      <c r="F18">
        <v>0</v>
      </c>
      <c r="G18">
        <v>5.976</v>
      </c>
      <c r="H18" s="3">
        <v>3070368</v>
      </c>
      <c r="I18">
        <v>6.9710000000000001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45834.880254629628</v>
      </c>
      <c r="R18">
        <v>152</v>
      </c>
      <c r="S18" t="s">
        <v>13</v>
      </c>
      <c r="T18">
        <v>0</v>
      </c>
      <c r="U18">
        <v>5.93</v>
      </c>
      <c r="V18" s="3">
        <v>23877</v>
      </c>
      <c r="W18">
        <v>5.99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45834.880254629628</v>
      </c>
      <c r="AF18">
        <v>152</v>
      </c>
      <c r="AG18" t="s">
        <v>13</v>
      </c>
      <c r="AH18">
        <v>0</v>
      </c>
      <c r="AI18">
        <v>12.108000000000001</v>
      </c>
      <c r="AJ18" s="3">
        <v>46688</v>
      </c>
      <c r="AK18">
        <v>10.115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5">
        <f t="shared" si="0"/>
        <v>6433.2667849169929</v>
      </c>
      <c r="AU18" s="16">
        <f t="shared" si="1"/>
        <v>10591.364449566719</v>
      </c>
      <c r="AW18" s="6">
        <f t="shared" si="2"/>
        <v>6115.75794631998</v>
      </c>
      <c r="AX18" s="7">
        <f t="shared" si="3"/>
        <v>9491.0818863411187</v>
      </c>
      <c r="AZ18" s="11">
        <f t="shared" si="4"/>
        <v>5935.2687504091145</v>
      </c>
      <c r="BA18" s="12">
        <f t="shared" si="5"/>
        <v>9698.4650338304</v>
      </c>
      <c r="BC18" s="13">
        <f t="shared" si="6"/>
        <v>6678.350234136371</v>
      </c>
      <c r="BD18" s="14">
        <f t="shared" si="7"/>
        <v>9028.6545426636803</v>
      </c>
      <c r="BF18" s="15">
        <f t="shared" si="8"/>
        <v>6433.2667849169929</v>
      </c>
      <c r="BG18" s="16">
        <f t="shared" si="9"/>
        <v>10591.364449566719</v>
      </c>
      <c r="BI18">
        <v>54</v>
      </c>
      <c r="BJ18" t="s">
        <v>44</v>
      </c>
      <c r="BK18" s="2">
        <v>45834.880254629628</v>
      </c>
      <c r="BL18">
        <v>152</v>
      </c>
      <c r="BM18" t="s">
        <v>13</v>
      </c>
      <c r="BN18">
        <v>0</v>
      </c>
      <c r="BO18">
        <v>2.798</v>
      </c>
      <c r="BP18" s="3">
        <v>1772855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45834.90148148148</v>
      </c>
      <c r="D19">
        <v>74</v>
      </c>
      <c r="E19" t="s">
        <v>13</v>
      </c>
      <c r="F19">
        <v>0</v>
      </c>
      <c r="G19">
        <v>5.9749999999999996</v>
      </c>
      <c r="H19" s="3">
        <v>3075829</v>
      </c>
      <c r="I19">
        <v>6.984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45834.90148148148</v>
      </c>
      <c r="R19">
        <v>74</v>
      </c>
      <c r="S19" t="s">
        <v>13</v>
      </c>
      <c r="T19">
        <v>0</v>
      </c>
      <c r="U19">
        <v>5.9279999999999999</v>
      </c>
      <c r="V19" s="3">
        <v>23565</v>
      </c>
      <c r="W19">
        <v>5.9130000000000003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45834.90148148148</v>
      </c>
      <c r="AF19">
        <v>74</v>
      </c>
      <c r="AG19" t="s">
        <v>13</v>
      </c>
      <c r="AH19">
        <v>0</v>
      </c>
      <c r="AI19">
        <v>12.097</v>
      </c>
      <c r="AJ19" s="3">
        <v>51402</v>
      </c>
      <c r="AK19">
        <v>11.141999999999999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5">
        <f t="shared" si="0"/>
        <v>6444.3125341341083</v>
      </c>
      <c r="AU19" s="16">
        <f t="shared" si="1"/>
        <v>11598.549601285522</v>
      </c>
      <c r="AW19" s="6">
        <f t="shared" si="2"/>
        <v>6038.9496072194997</v>
      </c>
      <c r="AX19" s="7">
        <f t="shared" si="3"/>
        <v>10453.665333785919</v>
      </c>
      <c r="AZ19" s="11">
        <f t="shared" si="4"/>
        <v>5945.2387929073175</v>
      </c>
      <c r="BA19" s="12">
        <f t="shared" si="5"/>
        <v>10847.210826796401</v>
      </c>
      <c r="BC19" s="13">
        <f t="shared" si="6"/>
        <v>6689.8450579691053</v>
      </c>
      <c r="BD19" s="14">
        <f t="shared" si="7"/>
        <v>9990.0413605358808</v>
      </c>
      <c r="BF19" s="15">
        <f t="shared" si="8"/>
        <v>6444.3125341341083</v>
      </c>
      <c r="BG19" s="16">
        <f t="shared" si="9"/>
        <v>11598.549601285522</v>
      </c>
      <c r="BI19">
        <v>55</v>
      </c>
      <c r="BJ19" t="s">
        <v>45</v>
      </c>
      <c r="BK19" s="2">
        <v>45834.90148148148</v>
      </c>
      <c r="BL19">
        <v>74</v>
      </c>
      <c r="BM19" t="s">
        <v>13</v>
      </c>
      <c r="BN19">
        <v>0</v>
      </c>
      <c r="BO19">
        <v>2.8180000000000001</v>
      </c>
      <c r="BP19" s="3">
        <v>1313463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45834.922743055555</v>
      </c>
      <c r="D20">
        <v>279</v>
      </c>
      <c r="E20" t="s">
        <v>13</v>
      </c>
      <c r="F20">
        <v>0</v>
      </c>
      <c r="G20">
        <v>5.9909999999999997</v>
      </c>
      <c r="H20" s="3">
        <v>10678</v>
      </c>
      <c r="I20">
        <v>2.4E-2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45834.922743055555</v>
      </c>
      <c r="R20">
        <v>279</v>
      </c>
      <c r="S20" t="s">
        <v>13</v>
      </c>
      <c r="T20">
        <v>0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45834.922743055555</v>
      </c>
      <c r="AF20">
        <v>279</v>
      </c>
      <c r="AG20" t="s">
        <v>13</v>
      </c>
      <c r="AH20">
        <v>0</v>
      </c>
      <c r="AI20">
        <v>12.143000000000001</v>
      </c>
      <c r="AJ20" s="3">
        <v>12641</v>
      </c>
      <c r="AK20">
        <v>2.6749999999999998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5">
        <f t="shared" si="0"/>
        <v>31.787408823107999</v>
      </c>
      <c r="AU20" s="16">
        <f t="shared" si="1"/>
        <v>2736.5145651893299</v>
      </c>
      <c r="AW20" s="6">
        <f t="shared" si="2"/>
        <v>22.592760854650638</v>
      </c>
      <c r="AX20" s="7">
        <f t="shared" si="3"/>
        <v>2505.1167346368802</v>
      </c>
      <c r="AZ20" s="11">
        <f t="shared" si="4"/>
        <v>21.893344958332001</v>
      </c>
      <c r="BA20" s="12">
        <f t="shared" si="5"/>
        <v>2989.8015547759001</v>
      </c>
      <c r="BC20" s="13">
        <f t="shared" si="6"/>
        <v>26.601593115260805</v>
      </c>
      <c r="BD20" s="14">
        <f t="shared" si="7"/>
        <v>2615.9492661161999</v>
      </c>
      <c r="BF20" s="15">
        <f t="shared" si="8"/>
        <v>31.787408823107999</v>
      </c>
      <c r="BG20" s="16">
        <f t="shared" si="9"/>
        <v>2736.5145651893299</v>
      </c>
      <c r="BI20">
        <v>56</v>
      </c>
      <c r="BJ20" t="s">
        <v>46</v>
      </c>
      <c r="BK20" s="2">
        <v>45834.922743055555</v>
      </c>
      <c r="BL20">
        <v>279</v>
      </c>
      <c r="BM20" t="s">
        <v>13</v>
      </c>
      <c r="BN20">
        <v>0</v>
      </c>
      <c r="BO20">
        <v>2.8319999999999999</v>
      </c>
      <c r="BP20" s="3">
        <v>1071741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45834.943993055553</v>
      </c>
      <c r="D21">
        <v>288</v>
      </c>
      <c r="E21" t="s">
        <v>13</v>
      </c>
      <c r="F21">
        <v>0</v>
      </c>
      <c r="G21">
        <v>6</v>
      </c>
      <c r="H21" s="3">
        <v>4725</v>
      </c>
      <c r="I21">
        <v>1.0999999999999999E-2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45834.943993055553</v>
      </c>
      <c r="R21">
        <v>288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45834.943993055553</v>
      </c>
      <c r="AF21">
        <v>288</v>
      </c>
      <c r="AG21" t="s">
        <v>13</v>
      </c>
      <c r="AH21">
        <v>0</v>
      </c>
      <c r="AI21">
        <v>12.141</v>
      </c>
      <c r="AJ21" s="3">
        <v>8872</v>
      </c>
      <c r="AK21">
        <v>1.849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5">
        <f t="shared" si="0"/>
        <v>13.373061533124998</v>
      </c>
      <c r="AU21" s="16">
        <f t="shared" si="1"/>
        <v>1882.2919833171202</v>
      </c>
      <c r="AW21" s="6">
        <f t="shared" si="2"/>
        <v>5.3838158125</v>
      </c>
      <c r="AX21" s="7">
        <f t="shared" si="3"/>
        <v>1728.1336599603198</v>
      </c>
      <c r="AZ21" s="11">
        <f t="shared" si="4"/>
        <v>2.2612124999999992</v>
      </c>
      <c r="BA21" s="12">
        <f t="shared" si="5"/>
        <v>2107.1472816576002</v>
      </c>
      <c r="BC21" s="13">
        <f t="shared" si="6"/>
        <v>9.0551112125</v>
      </c>
      <c r="BD21" s="14">
        <f t="shared" si="7"/>
        <v>1848.1529994368</v>
      </c>
      <c r="BF21" s="15">
        <f t="shared" si="8"/>
        <v>13.373061533124998</v>
      </c>
      <c r="BG21" s="16">
        <f t="shared" si="9"/>
        <v>1882.2919833171202</v>
      </c>
      <c r="BI21">
        <v>57</v>
      </c>
      <c r="BJ21" t="s">
        <v>47</v>
      </c>
      <c r="BK21" s="2">
        <v>45834.943993055553</v>
      </c>
      <c r="BL21">
        <v>288</v>
      </c>
      <c r="BM21" t="s">
        <v>13</v>
      </c>
      <c r="BN21">
        <v>0</v>
      </c>
      <c r="BO21">
        <v>2.8279999999999998</v>
      </c>
      <c r="BP21" s="3">
        <v>1176895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45834.965243055558</v>
      </c>
      <c r="D22">
        <v>44</v>
      </c>
      <c r="E22" t="s">
        <v>13</v>
      </c>
      <c r="F22">
        <v>0</v>
      </c>
      <c r="G22">
        <v>5.98</v>
      </c>
      <c r="H22" s="3">
        <v>430798</v>
      </c>
      <c r="I22">
        <v>0.97199999999999998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45834.965243055558</v>
      </c>
      <c r="R22">
        <v>44</v>
      </c>
      <c r="S22" t="s">
        <v>13</v>
      </c>
      <c r="T22">
        <v>0</v>
      </c>
      <c r="U22">
        <v>5.9379999999999997</v>
      </c>
      <c r="V22" s="3">
        <v>3710</v>
      </c>
      <c r="W22">
        <v>1.008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45834.965243055558</v>
      </c>
      <c r="AF22">
        <v>44</v>
      </c>
      <c r="AG22" t="s">
        <v>13</v>
      </c>
      <c r="AH22">
        <v>0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5">
        <f t="shared" si="0"/>
        <v>1058.7127843112164</v>
      </c>
      <c r="AU22" s="16" t="e">
        <f t="shared" si="1"/>
        <v>#VALUE!</v>
      </c>
      <c r="AW22" s="6">
        <f t="shared" si="2"/>
        <v>994.09653372060575</v>
      </c>
      <c r="AX22" s="7" t="e">
        <f t="shared" si="3"/>
        <v>#VALUE!</v>
      </c>
      <c r="AZ22" s="11">
        <f t="shared" si="4"/>
        <v>986.39620334744575</v>
      </c>
      <c r="BA22" s="12" t="e">
        <f t="shared" si="5"/>
        <v>#VALUE!</v>
      </c>
      <c r="BC22" s="13">
        <f t="shared" si="6"/>
        <v>1079.0494751158153</v>
      </c>
      <c r="BD22" s="14" t="e">
        <f t="shared" si="7"/>
        <v>#VALUE!</v>
      </c>
      <c r="BF22" s="15">
        <f t="shared" si="8"/>
        <v>1058.7127843112164</v>
      </c>
      <c r="BG22" s="16" t="e">
        <f t="shared" si="9"/>
        <v>#VALUE!</v>
      </c>
      <c r="BI22">
        <v>58</v>
      </c>
      <c r="BJ22" t="s">
        <v>48</v>
      </c>
      <c r="BK22" s="2">
        <v>45834.965243055558</v>
      </c>
      <c r="BL22">
        <v>44</v>
      </c>
      <c r="BM22" t="s">
        <v>13</v>
      </c>
      <c r="BN22">
        <v>0</v>
      </c>
      <c r="BO22">
        <v>2.8290000000000002</v>
      </c>
      <c r="BP22" s="3">
        <v>1098872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45834.986516203702</v>
      </c>
      <c r="D23">
        <v>203</v>
      </c>
      <c r="E23" t="s">
        <v>13</v>
      </c>
      <c r="F23">
        <v>0</v>
      </c>
      <c r="G23">
        <v>5.9880000000000004</v>
      </c>
      <c r="H23" s="3">
        <v>14447</v>
      </c>
      <c r="I23">
        <v>3.3000000000000002E-2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45834.986516203702</v>
      </c>
      <c r="R23">
        <v>203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45834.986516203702</v>
      </c>
      <c r="AF23">
        <v>203</v>
      </c>
      <c r="AG23" t="s">
        <v>13</v>
      </c>
      <c r="AH23">
        <v>0</v>
      </c>
      <c r="AI23" t="s">
        <v>14</v>
      </c>
      <c r="AJ23" t="s">
        <v>14</v>
      </c>
      <c r="AK23" t="s">
        <v>14</v>
      </c>
      <c r="AL23" t="s">
        <v>14</v>
      </c>
      <c r="AM23" t="s">
        <v>14</v>
      </c>
      <c r="AN23" t="s">
        <v>14</v>
      </c>
      <c r="AO23" t="s">
        <v>14</v>
      </c>
      <c r="AQ23">
        <v>2</v>
      </c>
      <c r="AR23" t="s">
        <v>61</v>
      </c>
      <c r="AS23" s="10">
        <v>59</v>
      </c>
      <c r="AT23" s="15">
        <f t="shared" si="0"/>
        <v>41.870961742233</v>
      </c>
      <c r="AU23" s="16" t="e">
        <f t="shared" si="1"/>
        <v>#VALUE!</v>
      </c>
      <c r="AW23" s="6">
        <f t="shared" si="2"/>
        <v>31.434746028743135</v>
      </c>
      <c r="AX23" s="7" t="e">
        <f t="shared" si="3"/>
        <v>#VALUE!</v>
      </c>
      <c r="AZ23" s="11">
        <f t="shared" si="4"/>
        <v>33.213076169207</v>
      </c>
      <c r="BA23" s="12" t="e">
        <f t="shared" si="5"/>
        <v>#VALUE!</v>
      </c>
      <c r="BC23" s="13">
        <f t="shared" si="6"/>
        <v>37.500575874360798</v>
      </c>
      <c r="BD23" s="14" t="e">
        <f t="shared" si="7"/>
        <v>#VALUE!</v>
      </c>
      <c r="BF23" s="15">
        <f t="shared" si="8"/>
        <v>41.870961742233</v>
      </c>
      <c r="BG23" s="16" t="e">
        <f t="shared" si="9"/>
        <v>#VALUE!</v>
      </c>
      <c r="BI23">
        <v>59</v>
      </c>
      <c r="BJ23" t="s">
        <v>49</v>
      </c>
      <c r="BK23" s="2">
        <v>45834.986516203702</v>
      </c>
      <c r="BL23">
        <v>203</v>
      </c>
      <c r="BM23" t="s">
        <v>13</v>
      </c>
      <c r="BN23">
        <v>0</v>
      </c>
      <c r="BO23">
        <v>2.823</v>
      </c>
      <c r="BP23" s="3">
        <v>1242517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45835.007754629631</v>
      </c>
      <c r="D24">
        <v>372</v>
      </c>
      <c r="E24" t="s">
        <v>13</v>
      </c>
      <c r="F24">
        <v>0</v>
      </c>
      <c r="G24">
        <v>5.97</v>
      </c>
      <c r="H24" s="3">
        <v>4792058</v>
      </c>
      <c r="I24">
        <v>10.927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45835.007754629631</v>
      </c>
      <c r="R24">
        <v>372</v>
      </c>
      <c r="S24" t="s">
        <v>13</v>
      </c>
      <c r="T24">
        <v>0</v>
      </c>
      <c r="U24">
        <v>5.923</v>
      </c>
      <c r="V24" s="3">
        <v>34087</v>
      </c>
      <c r="W24">
        <v>8.5079999999999991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45835.007754629631</v>
      </c>
      <c r="AF24">
        <v>372</v>
      </c>
      <c r="AG24" t="s">
        <v>13</v>
      </c>
      <c r="AH24">
        <v>0</v>
      </c>
      <c r="AI24">
        <v>12.066000000000001</v>
      </c>
      <c r="AJ24" s="3">
        <v>45837</v>
      </c>
      <c r="AK24">
        <v>9.93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5">
        <f t="shared" si="0"/>
        <v>9900.5946144555182</v>
      </c>
      <c r="AU24" s="16">
        <f t="shared" si="1"/>
        <v>10409.490955357222</v>
      </c>
      <c r="AW24" s="6">
        <f t="shared" si="2"/>
        <v>8627.179621232779</v>
      </c>
      <c r="AX24" s="7">
        <f t="shared" si="3"/>
        <v>9317.1895998791206</v>
      </c>
      <c r="AZ24" s="11">
        <f t="shared" si="4"/>
        <v>9023.5654703182299</v>
      </c>
      <c r="BA24" s="12">
        <f t="shared" si="5"/>
        <v>9490.8927497279001</v>
      </c>
      <c r="BC24" s="13">
        <f t="shared" si="6"/>
        <v>10284.004610772743</v>
      </c>
      <c r="BD24" s="14">
        <f t="shared" si="7"/>
        <v>8854.9853354269289</v>
      </c>
      <c r="BF24" s="15">
        <f t="shared" si="8"/>
        <v>9900.5946144555182</v>
      </c>
      <c r="BG24" s="16">
        <f t="shared" si="9"/>
        <v>10409.490955357222</v>
      </c>
      <c r="BI24">
        <v>60</v>
      </c>
      <c r="BJ24" t="s">
        <v>50</v>
      </c>
      <c r="BK24" s="2">
        <v>45835.007754629631</v>
      </c>
      <c r="BL24">
        <v>372</v>
      </c>
      <c r="BM24" t="s">
        <v>13</v>
      </c>
      <c r="BN24">
        <v>0</v>
      </c>
      <c r="BO24">
        <v>2.8279999999999998</v>
      </c>
      <c r="BP24" s="3">
        <v>1122450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45835.028993055559</v>
      </c>
      <c r="D25">
        <v>368</v>
      </c>
      <c r="E25" t="s">
        <v>13</v>
      </c>
      <c r="F25">
        <v>0</v>
      </c>
      <c r="G25">
        <v>5.9930000000000003</v>
      </c>
      <c r="H25" s="3">
        <v>8687</v>
      </c>
      <c r="I25">
        <v>0.02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45835.028993055559</v>
      </c>
      <c r="R25">
        <v>368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45835.028993055559</v>
      </c>
      <c r="AF25">
        <v>368</v>
      </c>
      <c r="AG25" t="s">
        <v>13</v>
      </c>
      <c r="AH25">
        <v>0</v>
      </c>
      <c r="AI25">
        <v>12.121</v>
      </c>
      <c r="AJ25" s="3">
        <v>3663</v>
      </c>
      <c r="AK25">
        <v>0.70699999999999996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5">
        <f t="shared" si="0"/>
        <v>27.620049488717001</v>
      </c>
      <c r="AU25" s="16">
        <f t="shared" si="1"/>
        <v>699.40669988917</v>
      </c>
      <c r="AW25" s="6">
        <f t="shared" si="2"/>
        <v>16.4126909957</v>
      </c>
      <c r="AX25" s="7">
        <f t="shared" si="3"/>
        <v>653.09968363912003</v>
      </c>
      <c r="AZ25" s="11">
        <f t="shared" si="4"/>
        <v>12.076988260000002</v>
      </c>
      <c r="BA25" s="12">
        <f t="shared" si="5"/>
        <v>865.93224677909996</v>
      </c>
      <c r="BC25" s="13">
        <f t="shared" si="6"/>
        <v>21.810222188659999</v>
      </c>
      <c r="BD25" s="14">
        <f t="shared" si="7"/>
        <v>784.21262937380004</v>
      </c>
      <c r="BF25" s="15">
        <f t="shared" si="8"/>
        <v>27.620049488717001</v>
      </c>
      <c r="BG25" s="16">
        <f t="shared" si="9"/>
        <v>699.40669988917</v>
      </c>
      <c r="BI25">
        <v>61</v>
      </c>
      <c r="BJ25" t="s">
        <v>51</v>
      </c>
      <c r="BK25" s="2">
        <v>45835.028993055559</v>
      </c>
      <c r="BL25">
        <v>368</v>
      </c>
      <c r="BM25" t="s">
        <v>13</v>
      </c>
      <c r="BN25">
        <v>0</v>
      </c>
      <c r="BO25">
        <v>2.8279999999999998</v>
      </c>
      <c r="BP25" s="3">
        <v>1193822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45835.050208333334</v>
      </c>
      <c r="D26">
        <v>384</v>
      </c>
      <c r="E26" t="s">
        <v>13</v>
      </c>
      <c r="F26">
        <v>0</v>
      </c>
      <c r="G26">
        <v>5.9950000000000001</v>
      </c>
      <c r="H26" s="3">
        <v>47090</v>
      </c>
      <c r="I26">
        <v>0.107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45835.050208333334</v>
      </c>
      <c r="R26">
        <v>384</v>
      </c>
      <c r="S26" t="s">
        <v>13</v>
      </c>
      <c r="T26">
        <v>0</v>
      </c>
      <c r="U26" t="s">
        <v>14</v>
      </c>
      <c r="V26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45835.050208333334</v>
      </c>
      <c r="AF26">
        <v>384</v>
      </c>
      <c r="AG26" t="s">
        <v>13</v>
      </c>
      <c r="AH26">
        <v>0</v>
      </c>
      <c r="AI26">
        <v>12.122999999999999</v>
      </c>
      <c r="AJ26" s="3">
        <v>27580</v>
      </c>
      <c r="AK26">
        <v>5.944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5">
        <f t="shared" si="0"/>
        <v>128.89118588969998</v>
      </c>
      <c r="AU26" s="16">
        <f t="shared" si="1"/>
        <v>6108.6405904520007</v>
      </c>
      <c r="AW26" s="6">
        <f t="shared" si="2"/>
        <v>107.918725119226</v>
      </c>
      <c r="AX26" s="7">
        <f t="shared" si="3"/>
        <v>5577.674048672</v>
      </c>
      <c r="AZ26" s="11">
        <f t="shared" si="4"/>
        <v>129.37792280630001</v>
      </c>
      <c r="BA26" s="12">
        <f t="shared" si="5"/>
        <v>6360.8646159599994</v>
      </c>
      <c r="BC26" s="13">
        <f t="shared" si="6"/>
        <v>131.55250521272001</v>
      </c>
      <c r="BD26" s="14">
        <f t="shared" si="7"/>
        <v>5642.5127472800004</v>
      </c>
      <c r="BF26" s="15">
        <f t="shared" si="8"/>
        <v>128.89118588969998</v>
      </c>
      <c r="BG26" s="16">
        <f t="shared" si="9"/>
        <v>6108.6405904520007</v>
      </c>
      <c r="BI26">
        <v>62</v>
      </c>
      <c r="BJ26" t="s">
        <v>52</v>
      </c>
      <c r="BK26" s="2">
        <v>45835.050208333334</v>
      </c>
      <c r="BL26">
        <v>384</v>
      </c>
      <c r="BM26" t="s">
        <v>13</v>
      </c>
      <c r="BN26">
        <v>0</v>
      </c>
      <c r="BO26">
        <v>2.8420000000000001</v>
      </c>
      <c r="BP26" s="3">
        <v>1041615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45835.071469907409</v>
      </c>
      <c r="D27">
        <v>130</v>
      </c>
      <c r="E27" t="s">
        <v>13</v>
      </c>
      <c r="F27">
        <v>0</v>
      </c>
      <c r="G27">
        <v>5.984</v>
      </c>
      <c r="H27" s="3">
        <v>106518</v>
      </c>
      <c r="I27">
        <v>0.24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45835.071469907409</v>
      </c>
      <c r="R27">
        <v>130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45835.071469907409</v>
      </c>
      <c r="AF27">
        <v>130</v>
      </c>
      <c r="AG27" t="s">
        <v>13</v>
      </c>
      <c r="AH27">
        <v>0</v>
      </c>
      <c r="AI27">
        <v>12.085000000000001</v>
      </c>
      <c r="AJ27" s="3">
        <v>43620</v>
      </c>
      <c r="AK27">
        <v>9.4459999999999997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5">
        <f t="shared" si="0"/>
        <v>285.87625582278793</v>
      </c>
      <c r="AU27" s="16">
        <f t="shared" si="1"/>
        <v>9704.9082950920019</v>
      </c>
      <c r="AW27" s="6">
        <f t="shared" si="2"/>
        <v>246.72045036854502</v>
      </c>
      <c r="AX27" s="7">
        <f t="shared" si="3"/>
        <v>8863.9969837119988</v>
      </c>
      <c r="AZ27" s="11">
        <f t="shared" si="4"/>
        <v>295.82149902105198</v>
      </c>
      <c r="BA27" s="12">
        <f t="shared" si="5"/>
        <v>9753.7365231600015</v>
      </c>
      <c r="BC27" s="13">
        <f t="shared" si="6"/>
        <v>301.1979328472288</v>
      </c>
      <c r="BD27" s="14">
        <f t="shared" si="7"/>
        <v>8862.4182768800001</v>
      </c>
      <c r="BF27" s="15">
        <f t="shared" si="8"/>
        <v>285.87625582278793</v>
      </c>
      <c r="BG27" s="16">
        <f t="shared" si="9"/>
        <v>9704.9082950920019</v>
      </c>
      <c r="BI27">
        <v>63</v>
      </c>
      <c r="BJ27" t="s">
        <v>53</v>
      </c>
      <c r="BK27" s="2">
        <v>45835.071469907409</v>
      </c>
      <c r="BL27">
        <v>130</v>
      </c>
      <c r="BM27" t="s">
        <v>13</v>
      </c>
      <c r="BN27">
        <v>0</v>
      </c>
      <c r="BO27">
        <v>2.8290000000000002</v>
      </c>
      <c r="BP27" s="3">
        <v>1105274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45835.092731481483</v>
      </c>
      <c r="D28">
        <v>359</v>
      </c>
      <c r="E28" t="s">
        <v>13</v>
      </c>
      <c r="F28">
        <v>0</v>
      </c>
      <c r="G28">
        <v>5.9960000000000004</v>
      </c>
      <c r="H28" s="3">
        <v>7580</v>
      </c>
      <c r="I28">
        <v>1.7000000000000001E-2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45835.092731481483</v>
      </c>
      <c r="R28">
        <v>359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45835.092731481483</v>
      </c>
      <c r="AF28">
        <v>359</v>
      </c>
      <c r="AG28" t="s">
        <v>13</v>
      </c>
      <c r="AH28">
        <v>0</v>
      </c>
      <c r="AI28">
        <v>12.135</v>
      </c>
      <c r="AJ28" s="3">
        <v>14002</v>
      </c>
      <c r="AK28">
        <v>2.9729999999999999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5">
        <f t="shared" si="0"/>
        <v>23.612537205199999</v>
      </c>
      <c r="AU28" s="16">
        <f t="shared" si="1"/>
        <v>3044.6349318837201</v>
      </c>
      <c r="AW28" s="6">
        <f t="shared" si="2"/>
        <v>12.871956919999999</v>
      </c>
      <c r="AX28" s="7">
        <f t="shared" si="3"/>
        <v>2785.5100507779202</v>
      </c>
      <c r="AZ28" s="11">
        <f t="shared" si="4"/>
        <v>7.6277559999999962</v>
      </c>
      <c r="BA28" s="12">
        <f t="shared" si="5"/>
        <v>3305.3468565756002</v>
      </c>
      <c r="BC28" s="13">
        <f t="shared" si="6"/>
        <v>18.065798696000002</v>
      </c>
      <c r="BD28" s="14">
        <f t="shared" si="7"/>
        <v>2892.7858509608</v>
      </c>
      <c r="BF28" s="15">
        <f t="shared" si="8"/>
        <v>23.612537205199999</v>
      </c>
      <c r="BG28" s="16">
        <f t="shared" si="9"/>
        <v>3044.6349318837201</v>
      </c>
      <c r="BI28">
        <v>64</v>
      </c>
      <c r="BJ28" t="s">
        <v>54</v>
      </c>
      <c r="BK28" s="2">
        <v>45835.092731481483</v>
      </c>
      <c r="BL28">
        <v>359</v>
      </c>
      <c r="BM28" t="s">
        <v>13</v>
      </c>
      <c r="BN28">
        <v>0</v>
      </c>
      <c r="BO28">
        <v>2.83</v>
      </c>
      <c r="BP28" s="3">
        <v>1137585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45835.113958333335</v>
      </c>
      <c r="D29">
        <v>273</v>
      </c>
      <c r="E29" t="s">
        <v>13</v>
      </c>
      <c r="F29">
        <v>0</v>
      </c>
      <c r="G29">
        <v>5.9720000000000004</v>
      </c>
      <c r="H29" s="3">
        <v>7208050</v>
      </c>
      <c r="I29">
        <v>16.536999999999999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45835.113958333335</v>
      </c>
      <c r="R29">
        <v>273</v>
      </c>
      <c r="S29" t="s">
        <v>13</v>
      </c>
      <c r="T29">
        <v>0</v>
      </c>
      <c r="U29">
        <v>5.9240000000000004</v>
      </c>
      <c r="V29" s="3">
        <v>50742</v>
      </c>
      <c r="W29">
        <v>12.606999999999999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45835.113958333335</v>
      </c>
      <c r="AF29">
        <v>273</v>
      </c>
      <c r="AG29" t="s">
        <v>13</v>
      </c>
      <c r="AH29">
        <v>0</v>
      </c>
      <c r="AI29">
        <v>12.128</v>
      </c>
      <c r="AJ29" s="3">
        <v>32176</v>
      </c>
      <c r="AK29">
        <v>6.9489999999999998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5">
        <f t="shared" si="0"/>
        <v>14715.211133492052</v>
      </c>
      <c r="AU29" s="16">
        <f t="shared" si="1"/>
        <v>7141.6732755276807</v>
      </c>
      <c r="AW29" s="6">
        <f t="shared" si="2"/>
        <v>12715.249534069679</v>
      </c>
      <c r="AX29" s="7">
        <f t="shared" si="3"/>
        <v>6520.6584722124799</v>
      </c>
      <c r="AZ29" s="11">
        <f t="shared" si="4"/>
        <v>13171.3356826735</v>
      </c>
      <c r="BA29" s="12">
        <f t="shared" si="5"/>
        <v>7357.0259614463994</v>
      </c>
      <c r="BC29" s="13">
        <f t="shared" si="6"/>
        <v>15281.7240442245</v>
      </c>
      <c r="BD29" s="14">
        <f t="shared" si="7"/>
        <v>6568.2693604352007</v>
      </c>
      <c r="BF29" s="15">
        <f t="shared" si="8"/>
        <v>14715.211133492052</v>
      </c>
      <c r="BG29" s="16">
        <f t="shared" si="9"/>
        <v>7141.6732755276807</v>
      </c>
      <c r="BI29">
        <v>65</v>
      </c>
      <c r="BJ29" t="s">
        <v>55</v>
      </c>
      <c r="BK29" s="2">
        <v>45835.113958333335</v>
      </c>
      <c r="BL29">
        <v>273</v>
      </c>
      <c r="BM29" t="s">
        <v>13</v>
      </c>
      <c r="BN29">
        <v>0</v>
      </c>
      <c r="BO29">
        <v>2.8420000000000001</v>
      </c>
      <c r="BP29" s="3">
        <v>974112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45835.135208333333</v>
      </c>
      <c r="D30">
        <v>73</v>
      </c>
      <c r="E30" t="s">
        <v>13</v>
      </c>
      <c r="F30">
        <v>0</v>
      </c>
      <c r="G30">
        <v>5.9950000000000001</v>
      </c>
      <c r="H30" s="3">
        <v>8970</v>
      </c>
      <c r="I30">
        <v>2.1000000000000001E-2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45835.135208333333</v>
      </c>
      <c r="R30">
        <v>73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45835.135208333333</v>
      </c>
      <c r="AF30">
        <v>73</v>
      </c>
      <c r="AG30" t="s">
        <v>13</v>
      </c>
      <c r="AH30">
        <v>0</v>
      </c>
      <c r="AI30">
        <v>12.157</v>
      </c>
      <c r="AJ30">
        <v>345</v>
      </c>
      <c r="AK30">
        <v>-2.1000000000000001E-2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5">
        <f t="shared" si="0"/>
        <v>28.647894423699995</v>
      </c>
      <c r="AU30" s="16">
        <f t="shared" si="1"/>
        <v>-55.449340556750002</v>
      </c>
      <c r="AW30" s="6">
        <f t="shared" si="2"/>
        <v>17.37502177</v>
      </c>
      <c r="AX30" s="7">
        <f t="shared" si="3"/>
        <v>-32.391537518000007</v>
      </c>
      <c r="AZ30" s="11">
        <f t="shared" si="4"/>
        <v>13.426836000000003</v>
      </c>
      <c r="BA30" s="12">
        <f t="shared" si="5"/>
        <v>62.405712697499993</v>
      </c>
      <c r="BC30" s="13">
        <f t="shared" si="6"/>
        <v>22.789945826</v>
      </c>
      <c r="BD30" s="14">
        <f t="shared" si="7"/>
        <v>104.81788230499998</v>
      </c>
      <c r="BF30" s="15">
        <f t="shared" si="8"/>
        <v>28.647894423699995</v>
      </c>
      <c r="BG30" s="16">
        <f t="shared" si="9"/>
        <v>-55.449340556750002</v>
      </c>
      <c r="BI30">
        <v>66</v>
      </c>
      <c r="BJ30" t="s">
        <v>56</v>
      </c>
      <c r="BK30" s="2">
        <v>45835.135208333333</v>
      </c>
      <c r="BL30">
        <v>73</v>
      </c>
      <c r="BM30" t="s">
        <v>13</v>
      </c>
      <c r="BN30">
        <v>0</v>
      </c>
      <c r="BO30">
        <v>2.8130000000000002</v>
      </c>
      <c r="BP30" s="3">
        <v>1527175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45835.465185185189</v>
      </c>
      <c r="D31" t="s">
        <v>58</v>
      </c>
      <c r="E31" t="s">
        <v>13</v>
      </c>
      <c r="F31">
        <v>0</v>
      </c>
      <c r="G31">
        <v>5.9980000000000002</v>
      </c>
      <c r="H31" s="3">
        <v>13925</v>
      </c>
      <c r="I31">
        <v>3.2000000000000001E-2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45835.465185185189</v>
      </c>
      <c r="R31" t="s">
        <v>58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45835.465185185189</v>
      </c>
      <c r="AF31" t="s">
        <v>58</v>
      </c>
      <c r="AG31" t="s">
        <v>13</v>
      </c>
      <c r="AH31">
        <v>0</v>
      </c>
      <c r="AI31">
        <v>12.147</v>
      </c>
      <c r="AJ31" s="3">
        <v>22681</v>
      </c>
      <c r="AK31">
        <v>4.8730000000000002</v>
      </c>
      <c r="AL31" t="s">
        <v>14</v>
      </c>
      <c r="AM31" t="s">
        <v>14</v>
      </c>
      <c r="AN31" t="s">
        <v>14</v>
      </c>
      <c r="AO31" t="s">
        <v>14</v>
      </c>
      <c r="AQ31">
        <v>2</v>
      </c>
      <c r="AR31" t="s">
        <v>62</v>
      </c>
      <c r="AS31" s="10">
        <v>67</v>
      </c>
      <c r="AT31" s="15">
        <f t="shared" si="0"/>
        <v>40.474852820624996</v>
      </c>
      <c r="AU31" s="16">
        <f t="shared" si="1"/>
        <v>5005.2207297677305</v>
      </c>
      <c r="AW31" s="6">
        <f t="shared" si="2"/>
        <v>30.210282840962499</v>
      </c>
      <c r="AX31" s="7">
        <f t="shared" si="3"/>
        <v>4571.3345035392804</v>
      </c>
      <c r="AZ31" s="11">
        <f t="shared" si="4"/>
        <v>31.647985829375003</v>
      </c>
      <c r="BA31" s="12">
        <f t="shared" si="5"/>
        <v>5277.8134982078991</v>
      </c>
      <c r="BC31" s="13">
        <f t="shared" si="6"/>
        <v>35.9915750555</v>
      </c>
      <c r="BD31" s="14">
        <f t="shared" si="7"/>
        <v>4652.9422198922002</v>
      </c>
      <c r="BF31" s="15">
        <f t="shared" si="8"/>
        <v>40.474852820624996</v>
      </c>
      <c r="BG31" s="16">
        <f t="shared" si="9"/>
        <v>5005.2207297677305</v>
      </c>
      <c r="BI31">
        <v>67</v>
      </c>
      <c r="BJ31" t="s">
        <v>57</v>
      </c>
      <c r="BK31" s="2">
        <v>45835.465185185189</v>
      </c>
      <c r="BL31" t="s">
        <v>58</v>
      </c>
      <c r="BM31" t="s">
        <v>13</v>
      </c>
      <c r="BN31">
        <v>0</v>
      </c>
      <c r="BO31">
        <v>2.794</v>
      </c>
      <c r="BP31" s="3">
        <v>1931448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59</v>
      </c>
      <c r="C32" s="2">
        <v>45835.486435185187</v>
      </c>
      <c r="D32" t="s">
        <v>60</v>
      </c>
      <c r="E32" t="s">
        <v>13</v>
      </c>
      <c r="F32">
        <v>0</v>
      </c>
      <c r="G32">
        <v>5.9720000000000004</v>
      </c>
      <c r="H32" s="3">
        <v>4591287</v>
      </c>
      <c r="I32">
        <v>10.464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59</v>
      </c>
      <c r="Q32" s="2">
        <v>45835.486435185187</v>
      </c>
      <c r="R32" t="s">
        <v>60</v>
      </c>
      <c r="S32" t="s">
        <v>13</v>
      </c>
      <c r="T32">
        <v>0</v>
      </c>
      <c r="U32">
        <v>5.9249999999999998</v>
      </c>
      <c r="V32" s="3">
        <v>33427</v>
      </c>
      <c r="W32">
        <v>8.3450000000000006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59</v>
      </c>
      <c r="AE32" s="2">
        <v>45835.486435185187</v>
      </c>
      <c r="AF32" t="s">
        <v>60</v>
      </c>
      <c r="AG32" t="s">
        <v>13</v>
      </c>
      <c r="AH32">
        <v>0</v>
      </c>
      <c r="AI32">
        <v>12.111000000000001</v>
      </c>
      <c r="AJ32" s="3">
        <v>40033</v>
      </c>
      <c r="AK32">
        <v>8.6639999999999997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10">
        <v>68</v>
      </c>
      <c r="AT32" s="15">
        <f t="shared" si="0"/>
        <v>9497.8170047028343</v>
      </c>
      <c r="AU32" s="16">
        <f t="shared" si="1"/>
        <v>8902.8725017627712</v>
      </c>
      <c r="AW32" s="6">
        <f t="shared" si="2"/>
        <v>8464.9571793039795</v>
      </c>
      <c r="AX32" s="7">
        <f t="shared" si="3"/>
        <v>8130.2216994087203</v>
      </c>
      <c r="AZ32" s="11">
        <f t="shared" si="4"/>
        <v>8669.1103365155377</v>
      </c>
      <c r="BA32" s="12">
        <f t="shared" si="5"/>
        <v>9015.3673993071006</v>
      </c>
      <c r="BC32" s="13">
        <f t="shared" si="6"/>
        <v>9865.4325598385112</v>
      </c>
      <c r="BD32" s="14">
        <f t="shared" si="7"/>
        <v>8145.0270628777998</v>
      </c>
      <c r="BF32" s="15">
        <f t="shared" si="8"/>
        <v>9497.8170047028343</v>
      </c>
      <c r="BG32" s="16">
        <f t="shared" si="9"/>
        <v>8902.8725017627712</v>
      </c>
      <c r="BI32">
        <v>68</v>
      </c>
      <c r="BJ32" t="s">
        <v>59</v>
      </c>
      <c r="BK32" s="2">
        <v>45835.486435185187</v>
      </c>
      <c r="BL32" t="s">
        <v>60</v>
      </c>
      <c r="BM32" t="s">
        <v>13</v>
      </c>
      <c r="BN32">
        <v>0</v>
      </c>
      <c r="BO32">
        <v>2.794</v>
      </c>
      <c r="BP32" s="3">
        <v>1874617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2025-07-02T15:29:55Z</dcterms:modified>
</cp:coreProperties>
</file>