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4A7BE87D-2E4B-4F9B-BDAA-E8E11EC23B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0" i="1" l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42" i="1"/>
  <c r="AU42" i="1"/>
  <c r="AW42" i="1"/>
  <c r="AX42" i="1"/>
  <c r="AZ42" i="1"/>
  <c r="BA42" i="1"/>
  <c r="BC42" i="1"/>
  <c r="BD42" i="1"/>
  <c r="BF42" i="1"/>
  <c r="BG42" i="1"/>
  <c r="AT43" i="1"/>
  <c r="AU43" i="1"/>
  <c r="AW43" i="1"/>
  <c r="AX43" i="1"/>
  <c r="AZ43" i="1"/>
  <c r="BA43" i="1"/>
  <c r="BC43" i="1"/>
  <c r="BD43" i="1"/>
  <c r="BF43" i="1"/>
  <c r="BG43" i="1"/>
  <c r="AT44" i="1"/>
  <c r="AU44" i="1"/>
  <c r="AW44" i="1"/>
  <c r="AX44" i="1"/>
  <c r="AZ44" i="1"/>
  <c r="BA44" i="1"/>
  <c r="BC44" i="1"/>
  <c r="BD44" i="1"/>
  <c r="BF44" i="1"/>
  <c r="BG44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</calcChain>
</file>

<file path=xl/sharedStrings.xml><?xml version="1.0" encoding="utf-8"?>
<sst xmlns="http://schemas.openxmlformats.org/spreadsheetml/2006/main" count="1036" uniqueCount="73">
  <si>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</si>
  <si>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</si>
  <si>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</si>
  <si>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</si>
  <si>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</si>
  <si>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</si>
  <si>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</si>
  <si>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</si>
  <si>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</si>
  <si>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</si>
  <si>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</si>
  <si>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</si>
  <si>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</si>
  <si>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</si>
  <si>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</si>
  <si>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</si>
  <si>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</si>
  <si>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</si>
  <si>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</si>
  <si>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</si>
  <si>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</si>
  <si>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</si>
  <si>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</si>
  <si>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</si>
  <si>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</si>
  <si>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</si>
  <si>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</si>
  <si>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</si>
  <si>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</si>
  <si>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</si>
  <si>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</si>
  <si>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</si>
  <si>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</si>
  <si>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</si>
  <si>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</si>
  <si>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FMI20250916_001.gcd</t>
  </si>
  <si>
    <t>FMI20250916_002.gcd</t>
  </si>
  <si>
    <t>FMI20250916_003.gcd</t>
  </si>
  <si>
    <t>FMI20250916_004.gcd</t>
  </si>
  <si>
    <t>FMI20250916_005.gcd</t>
  </si>
  <si>
    <t>FMI20250916_006.gcd</t>
  </si>
  <si>
    <t>FMI20250916_007.gcd</t>
  </si>
  <si>
    <t>FMI20250916_008.gcd</t>
  </si>
  <si>
    <t>FMI20250916_009.gcd</t>
  </si>
  <si>
    <t>FMI20250916_010.gcd</t>
  </si>
  <si>
    <t>FMI20250916_011.gcd</t>
  </si>
  <si>
    <t>FMI20250916_012.gcd</t>
  </si>
  <si>
    <t>FMI20250916_013.gcd</t>
  </si>
  <si>
    <t>FMI20250916_014.gcd</t>
  </si>
  <si>
    <t>FMI20250916_015.gcd</t>
  </si>
  <si>
    <t>FMI20250916_016.gcd</t>
  </si>
  <si>
    <t>FMI20250916_017.gcd</t>
  </si>
  <si>
    <t>FMI20250916_018.gcd</t>
  </si>
  <si>
    <t>FMI20250916_019.gcd</t>
  </si>
  <si>
    <t>FMI20250916_020.gcd</t>
  </si>
  <si>
    <t>FMI20250916_021.gcd</t>
  </si>
  <si>
    <t>FMI20250916_022.gcd</t>
  </si>
  <si>
    <t>FMI20250916_023.gcd</t>
  </si>
  <si>
    <t>FMI20250916_024.gcd</t>
  </si>
  <si>
    <t>FMI20250916_025.gcd</t>
  </si>
  <si>
    <t>FMI20250916_026.gcd</t>
  </si>
  <si>
    <t>FMI20250916_027.gcd</t>
  </si>
  <si>
    <t>FMI20250916_028.gcd</t>
  </si>
  <si>
    <t>FMI20250916_029.gcd</t>
  </si>
  <si>
    <t>FMI20250916_030.gcd</t>
  </si>
  <si>
    <t>FMI20250916_031.gcd</t>
  </si>
  <si>
    <t>FMI20250916_032.gcd</t>
  </si>
  <si>
    <t>FMI20250916_033.gcd</t>
  </si>
  <si>
    <t>FMI20250916_034.gcd</t>
  </si>
  <si>
    <t>FMI20250916_035.gcd</t>
  </si>
  <si>
    <t>FMI20250916_036.gcd</t>
  </si>
  <si>
    <t>Interference. Do not use CO2. Use CH4.</t>
  </si>
  <si>
    <t>resampled due to AOC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</si>
</sst>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4"/>
  <sheetViews>
    <sheetView tabSelected="1" topLeftCell="AF1" workbookViewId="0">
      <selection activeCell="AR41" sqref="AR4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45916.539224537039</v>
      </c>
      <c r="D9" t="s">
        <v>34</v>
      </c>
      <c r="E9" t="s">
        <v>13</v>
      </c>
      <c r="F9">
        <v>0</v>
      </c>
      <c r="G9">
        <v>6.0880000000000001</v>
      </c>
      <c r="H9" s="3">
        <v>1033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45916.539224537039</v>
      </c>
      <c r="R9" t="s">
        <v>34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45916.539224537039</v>
      </c>
      <c r="AF9" t="s">
        <v>34</v>
      </c>
      <c r="AG9" t="s">
        <v>13</v>
      </c>
      <c r="AH9">
        <v>0</v>
      </c>
      <c r="AI9">
        <v>12.371</v>
      </c>
      <c r="AJ9" s="3">
        <v>1785</v>
      </c>
      <c r="AK9">
        <v>0.29499999999999998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8" si="0">IF(H9&lt;10000,((H9^2*0.000000008493)+(H9*0.003482)+(-3.269)),(IF(H9&lt;200000,((H9^2*-0.000000000263)+(H9*0.002682)+(3.179)),(IF(H9&lt;8000000,((H9^2*-0.000000000005099)+(H9*0.002054)+(174.8)),((V9^2*-0.00000001014)+(V9*0.2415)+(1123)))))))</f>
        <v>0.33696878687699972</v>
      </c>
      <c r="AU9" s="17">
        <f t="shared" ref="AU9:AU18" si="1">IF(AJ9&lt;45000,((-0.00000004907*AJ9^2)+(0.2277*AJ9)+(-134)),((-0.00000001062*AJ9^2)+(0.2147*AJ9)+(590.6)))</f>
        <v>272.28815193924999</v>
      </c>
      <c r="AW9" s="6">
        <f t="shared" ref="AW9:AW18" si="2">IF(H9&lt;10000,((0.0000001453*H9^2)+(0.0008349*H9)+(-1.805)),(IF(H9&lt;700000,((-0.00000000008054*H9^2)+(0.002348*H9)+(-2.47)), ((-0.00000001938*V9^2)+(0.2471*V9)+(226.8)))))</f>
        <v>-0.78750026830000008</v>
      </c>
      <c r="AX9" s="7">
        <f t="shared" ref="AX9:AX18" si="3">(-0.00000002552*AJ9^2)+(0.2067*AJ9)+(-103.7)</f>
        <v>265.17818753799997</v>
      </c>
      <c r="AZ9" s="11">
        <f t="shared" ref="AZ9:AZ18" si="4">IF(H9&lt;10000,((H9^2*0.00000054)+(H9*-0.004765)+(12.72)),(IF(H9&lt;200000,((H9^2*-0.000000001577)+(H9*0.003043)+(-10.42)),(IF(H9&lt;8000000,((H9^2*-0.0000000000186)+(H9*0.00194)+(154.1)),((V9^2*-0.00000002)+(V9*0.2565)+(-1032)))))))</f>
        <v>8.3739830600000005</v>
      </c>
      <c r="BA9" s="12">
        <f t="shared" ref="BA9:BA18" si="5">IF(AJ9&lt;45000,((-0.0000004561*AJ9^2)+(0.244*AJ9)+(-21.72)),((-0.0000000409*AJ9^2)+(0.2477*AJ9)+(-1777)))</f>
        <v>412.36676277749996</v>
      </c>
      <c r="BC9" s="13">
        <f t="shared" ref="BC9:BC18" si="6">IF(H9&lt;10000,((H9^2*0.00000005714)+(H9*0.002453)+(-3.811)),(IF(H9&lt;200000,((H9^2*-0.0000000002888)+(H9*0.002899)+(-4.321)),(IF(H9&lt;8000000,((H9^2*-0.0000000000062)+(H9*0.002143)+(157)),((V9^2*-0.000000031)+(V9*0.2771)+(-709.5)))))))</f>
        <v>-1.2160775345400001</v>
      </c>
      <c r="BD9" s="14">
        <f t="shared" ref="BD9:BD18" si="7">IF(AJ9&lt;45000,((-0.0000000598*AJ9^2)+(0.205*AJ9)+(34.1)),((-0.00000002403*AJ9^2)+(0.2063*AJ9)+(-550.7)))</f>
        <v>399.83446374499999</v>
      </c>
      <c r="BF9" s="16">
        <f t="shared" ref="BF9:BF18" si="8">IF(H9&lt;10000,((H9^2*0.000000008493)+(H9*0.003482)+(-3.269)),(IF(H9&lt;200000,((H9^2*-0.000000000263)+(H9*0.002682)+(3.179)),(IF(H9&lt;8000000,((H9^2*-0.000000000005099)+(H9*0.002054)+(174.8)),((V9^2*-0.00000001014)+(V9*0.2415)+(1123)))))))</f>
        <v>0.33696878687699972</v>
      </c>
      <c r="BG9" s="17">
        <f t="shared" ref="BG9:BG18" si="9">IF(AJ9&lt;45000,((-0.00000004907*AJ9^2)+(0.2277*AJ9)+(-134)),((-0.00000001062*AJ9^2)+(0.2147*AJ9)+(590.6)))</f>
        <v>272.28815193924999</v>
      </c>
      <c r="BI9">
        <v>45</v>
      </c>
      <c r="BJ9" t="s">
        <v>35</v>
      </c>
      <c r="BK9" s="2">
        <v>45916.539224537039</v>
      </c>
      <c r="BL9" t="s">
        <v>34</v>
      </c>
      <c r="BM9" t="s">
        <v>13</v>
      </c>
      <c r="BN9">
        <v>0</v>
      </c>
      <c r="BO9">
        <v>2.738</v>
      </c>
      <c r="BP9" s="3">
        <v>4753834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45916.560439814813</v>
      </c>
      <c r="D10" t="s">
        <v>29</v>
      </c>
      <c r="E10" t="s">
        <v>13</v>
      </c>
      <c r="F10">
        <v>0</v>
      </c>
      <c r="G10">
        <v>6.0529999999999999</v>
      </c>
      <c r="H10" s="3">
        <v>926663</v>
      </c>
      <c r="I10">
        <v>2.093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45916.560439814813</v>
      </c>
      <c r="R10" t="s">
        <v>29</v>
      </c>
      <c r="S10" t="s">
        <v>13</v>
      </c>
      <c r="T10">
        <v>0</v>
      </c>
      <c r="U10">
        <v>6.0069999999999997</v>
      </c>
      <c r="V10" s="3">
        <v>7232</v>
      </c>
      <c r="W10">
        <v>1.879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45916.560439814813</v>
      </c>
      <c r="AF10" t="s">
        <v>29</v>
      </c>
      <c r="AG10" t="s">
        <v>13</v>
      </c>
      <c r="AH10">
        <v>0</v>
      </c>
      <c r="AI10">
        <v>12.318</v>
      </c>
      <c r="AJ10" s="3">
        <v>8370</v>
      </c>
      <c r="AK10">
        <v>1.7390000000000001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2073.7872686949136</v>
      </c>
      <c r="AU10" s="17">
        <f t="shared" si="1"/>
        <v>1768.4113079170002</v>
      </c>
      <c r="AW10" s="6">
        <f t="shared" si="2"/>
        <v>2012.8135906508799</v>
      </c>
      <c r="AX10" s="7">
        <f t="shared" si="3"/>
        <v>1624.591147912</v>
      </c>
      <c r="AZ10" s="11">
        <f t="shared" si="4"/>
        <v>1935.8543197304166</v>
      </c>
      <c r="BA10" s="12">
        <f t="shared" si="5"/>
        <v>1988.6070479099999</v>
      </c>
      <c r="BC10" s="13">
        <f t="shared" si="6"/>
        <v>2137.5148422434722</v>
      </c>
      <c r="BD10" s="14">
        <f t="shared" si="7"/>
        <v>1745.7605973799998</v>
      </c>
      <c r="BF10" s="16">
        <f t="shared" si="8"/>
        <v>2073.7872686949136</v>
      </c>
      <c r="BG10" s="17">
        <f t="shared" si="9"/>
        <v>1768.4113079170002</v>
      </c>
      <c r="BI10">
        <v>46</v>
      </c>
      <c r="BJ10" t="s">
        <v>36</v>
      </c>
      <c r="BK10" s="2">
        <v>45916.560439814813</v>
      </c>
      <c r="BL10" t="s">
        <v>29</v>
      </c>
      <c r="BM10" t="s">
        <v>13</v>
      </c>
      <c r="BN10">
        <v>0</v>
      </c>
      <c r="BO10">
        <v>2.7309999999999999</v>
      </c>
      <c r="BP10" s="3">
        <v>4806025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45916.600127314814</v>
      </c>
      <c r="D11" t="s">
        <v>28</v>
      </c>
      <c r="E11" t="s">
        <v>13</v>
      </c>
      <c r="F11">
        <v>0</v>
      </c>
      <c r="G11">
        <v>6.0940000000000003</v>
      </c>
      <c r="H11" s="3">
        <v>2572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45916.600127314814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45916.600127314814</v>
      </c>
      <c r="AF11" t="s">
        <v>28</v>
      </c>
      <c r="AG11" t="s">
        <v>13</v>
      </c>
      <c r="AH11">
        <v>0</v>
      </c>
      <c r="AI11">
        <v>12.378</v>
      </c>
      <c r="AJ11" s="3">
        <v>1758</v>
      </c>
      <c r="AK11">
        <v>0.28899999999999998</v>
      </c>
      <c r="AL11" t="s">
        <v>14</v>
      </c>
      <c r="AM11" t="s">
        <v>14</v>
      </c>
      <c r="AN11" t="s">
        <v>14</v>
      </c>
      <c r="AO11" t="s">
        <v>14</v>
      </c>
      <c r="AQ11">
        <v>2</v>
      </c>
      <c r="AR11" t="s">
        <v>72</v>
      </c>
      <c r="AS11" s="10">
        <v>47</v>
      </c>
      <c r="AT11" s="16">
        <f t="shared" si="0"/>
        <v>5.7428867577119984</v>
      </c>
      <c r="AU11" s="17">
        <f t="shared" si="1"/>
        <v>266.14494602452004</v>
      </c>
      <c r="AW11" s="6">
        <f t="shared" si="2"/>
        <v>1.3035490351999999</v>
      </c>
      <c r="AX11" s="7">
        <f t="shared" si="3"/>
        <v>259.59972880672001</v>
      </c>
      <c r="AZ11" s="11">
        <f t="shared" si="4"/>
        <v>4.0366193600000013</v>
      </c>
      <c r="BA11" s="12">
        <f t="shared" si="5"/>
        <v>405.8223937596</v>
      </c>
      <c r="BC11" s="13">
        <f t="shared" si="6"/>
        <v>2.8761076137599995</v>
      </c>
      <c r="BD11" s="14">
        <f t="shared" si="7"/>
        <v>394.30518427280003</v>
      </c>
      <c r="BF11" s="16">
        <f t="shared" si="8"/>
        <v>5.7428867577119984</v>
      </c>
      <c r="BG11" s="17">
        <f t="shared" si="9"/>
        <v>266.14494602452004</v>
      </c>
      <c r="BI11">
        <v>47</v>
      </c>
      <c r="BJ11" t="s">
        <v>37</v>
      </c>
      <c r="BK11" s="2">
        <v>45916.600127314814</v>
      </c>
      <c r="BL11" t="s">
        <v>28</v>
      </c>
      <c r="BM11" t="s">
        <v>13</v>
      </c>
      <c r="BN11">
        <v>0</v>
      </c>
      <c r="BO11">
        <v>2.7290000000000001</v>
      </c>
      <c r="BP11" s="3">
        <v>4876170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45916.621365740742</v>
      </c>
      <c r="D12">
        <v>372</v>
      </c>
      <c r="E12" t="s">
        <v>13</v>
      </c>
      <c r="F12">
        <v>0</v>
      </c>
      <c r="G12">
        <v>6.06</v>
      </c>
      <c r="H12" s="3">
        <v>12293</v>
      </c>
      <c r="I12">
        <v>2.8000000000000001E-2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45916.621365740742</v>
      </c>
      <c r="R12">
        <v>372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45916.621365740742</v>
      </c>
      <c r="AF12">
        <v>372</v>
      </c>
      <c r="AG12" t="s">
        <v>13</v>
      </c>
      <c r="AH12">
        <v>0</v>
      </c>
      <c r="AI12">
        <v>12.289</v>
      </c>
      <c r="AJ12" s="3">
        <v>395</v>
      </c>
      <c r="AK12">
        <v>-0.01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36.109082005712999</v>
      </c>
      <c r="AU12" s="17">
        <f t="shared" si="1"/>
        <v>-44.066156146749989</v>
      </c>
      <c r="AW12" s="6">
        <f t="shared" si="2"/>
        <v>26.381792968441541</v>
      </c>
      <c r="AX12" s="7">
        <f t="shared" si="3"/>
        <v>-22.057481757999994</v>
      </c>
      <c r="AZ12" s="11">
        <f t="shared" si="4"/>
        <v>26.749286152127006</v>
      </c>
      <c r="BA12" s="12">
        <f t="shared" si="5"/>
        <v>74.588836997499996</v>
      </c>
      <c r="BC12" s="13">
        <f t="shared" si="6"/>
        <v>31.272764165208805</v>
      </c>
      <c r="BD12" s="14">
        <f t="shared" si="7"/>
        <v>115.065669705</v>
      </c>
      <c r="BF12" s="16">
        <f t="shared" si="8"/>
        <v>36.109082005712999</v>
      </c>
      <c r="BG12" s="17">
        <f t="shared" si="9"/>
        <v>-44.066156146749989</v>
      </c>
      <c r="BI12">
        <v>48</v>
      </c>
      <c r="BJ12" t="s">
        <v>38</v>
      </c>
      <c r="BK12" s="2">
        <v>45916.621365740742</v>
      </c>
      <c r="BL12">
        <v>372</v>
      </c>
      <c r="BM12" t="s">
        <v>13</v>
      </c>
      <c r="BN12">
        <v>0</v>
      </c>
      <c r="BO12">
        <v>2.8740000000000001</v>
      </c>
      <c r="BP12" s="3">
        <v>952498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45916.642581018517</v>
      </c>
      <c r="D13">
        <v>261</v>
      </c>
      <c r="E13" t="s">
        <v>13</v>
      </c>
      <c r="F13">
        <v>0</v>
      </c>
      <c r="G13">
        <v>6.0540000000000003</v>
      </c>
      <c r="H13" s="3">
        <v>87429</v>
      </c>
      <c r="I13">
        <v>0.19700000000000001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45916.642581018517</v>
      </c>
      <c r="R13">
        <v>261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45916.642581018517</v>
      </c>
      <c r="AF13">
        <v>261</v>
      </c>
      <c r="AG13" t="s">
        <v>13</v>
      </c>
      <c r="AH13">
        <v>0</v>
      </c>
      <c r="AI13">
        <v>12.195</v>
      </c>
      <c r="AJ13" s="3">
        <v>95684</v>
      </c>
      <c r="AK13">
        <v>20.757000000000001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235.65325069921701</v>
      </c>
      <c r="AU13" s="17">
        <f t="shared" si="1"/>
        <v>21036.724156169279</v>
      </c>
      <c r="AW13" s="6">
        <f t="shared" si="2"/>
        <v>202.19765792849785</v>
      </c>
      <c r="AX13" s="7">
        <f t="shared" si="3"/>
        <v>19440.536281114877</v>
      </c>
      <c r="AZ13" s="11">
        <f t="shared" si="4"/>
        <v>243.57212702534301</v>
      </c>
      <c r="BA13" s="12">
        <f t="shared" si="5"/>
        <v>21549.4698006896</v>
      </c>
      <c r="BC13" s="13">
        <f t="shared" si="6"/>
        <v>246.9281328841592</v>
      </c>
      <c r="BD13" s="14">
        <f t="shared" si="7"/>
        <v>18968.904268620321</v>
      </c>
      <c r="BF13" s="16">
        <f t="shared" si="8"/>
        <v>235.65325069921701</v>
      </c>
      <c r="BG13" s="17">
        <f t="shared" si="9"/>
        <v>21036.724156169279</v>
      </c>
      <c r="BI13">
        <v>49</v>
      </c>
      <c r="BJ13" t="s">
        <v>39</v>
      </c>
      <c r="BK13" s="2">
        <v>45916.642581018517</v>
      </c>
      <c r="BL13">
        <v>261</v>
      </c>
      <c r="BM13" t="s">
        <v>13</v>
      </c>
      <c r="BN13">
        <v>0</v>
      </c>
      <c r="BO13">
        <v>2.8740000000000001</v>
      </c>
      <c r="BP13" s="3">
        <v>916464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45916.663819444446</v>
      </c>
      <c r="D14">
        <v>312</v>
      </c>
      <c r="E14" t="s">
        <v>13</v>
      </c>
      <c r="F14">
        <v>0</v>
      </c>
      <c r="G14">
        <v>6.06</v>
      </c>
      <c r="H14" s="3">
        <v>7829</v>
      </c>
      <c r="I14">
        <v>1.7999999999999999E-2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45916.663819444446</v>
      </c>
      <c r="R14">
        <v>312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45916.663819444446</v>
      </c>
      <c r="AF14">
        <v>312</v>
      </c>
      <c r="AG14" t="s">
        <v>13</v>
      </c>
      <c r="AH14">
        <v>0</v>
      </c>
      <c r="AI14">
        <v>12.295</v>
      </c>
      <c r="AJ14" s="3">
        <v>6671</v>
      </c>
      <c r="AK14">
        <v>1.367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24.512141495812998</v>
      </c>
      <c r="AU14" s="17">
        <f t="shared" si="1"/>
        <v>1382.8029750341302</v>
      </c>
      <c r="AW14" s="6">
        <f t="shared" si="2"/>
        <v>13.637340017300001</v>
      </c>
      <c r="AX14" s="7">
        <f t="shared" si="3"/>
        <v>1274.0600028096801</v>
      </c>
      <c r="AZ14" s="11">
        <f t="shared" si="4"/>
        <v>8.5131651399999999</v>
      </c>
      <c r="BA14" s="12">
        <f t="shared" si="5"/>
        <v>1585.7065278798998</v>
      </c>
      <c r="BC14" s="13">
        <f t="shared" si="6"/>
        <v>18.895832790739998</v>
      </c>
      <c r="BD14" s="14">
        <f t="shared" si="7"/>
        <v>1398.9937659881998</v>
      </c>
      <c r="BF14" s="16">
        <f t="shared" si="8"/>
        <v>24.512141495812998</v>
      </c>
      <c r="BG14" s="17">
        <f t="shared" si="9"/>
        <v>1382.8029750341302</v>
      </c>
      <c r="BI14">
        <v>50</v>
      </c>
      <c r="BJ14" t="s">
        <v>40</v>
      </c>
      <c r="BK14" s="2">
        <v>45916.663819444446</v>
      </c>
      <c r="BL14">
        <v>312</v>
      </c>
      <c r="BM14" t="s">
        <v>13</v>
      </c>
      <c r="BN14">
        <v>0</v>
      </c>
      <c r="BO14">
        <v>2.871</v>
      </c>
      <c r="BP14" s="3">
        <v>988567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45916.685057870367</v>
      </c>
      <c r="D15">
        <v>193</v>
      </c>
      <c r="E15" t="s">
        <v>13</v>
      </c>
      <c r="F15">
        <v>0</v>
      </c>
      <c r="G15">
        <v>5.89</v>
      </c>
      <c r="H15" s="3">
        <v>53952051</v>
      </c>
      <c r="I15">
        <v>143.90700000000001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45916.685057870367</v>
      </c>
      <c r="R15">
        <v>193</v>
      </c>
      <c r="S15" t="s">
        <v>13</v>
      </c>
      <c r="T15">
        <v>0</v>
      </c>
      <c r="U15">
        <v>5.8570000000000002</v>
      </c>
      <c r="V15" s="3">
        <v>474128</v>
      </c>
      <c r="W15">
        <v>114.09699999999999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45916.685057870367</v>
      </c>
      <c r="AF15">
        <v>193</v>
      </c>
      <c r="AG15" t="s">
        <v>13</v>
      </c>
      <c r="AH15">
        <v>0</v>
      </c>
      <c r="AI15">
        <v>12.163</v>
      </c>
      <c r="AJ15" s="3">
        <v>132945</v>
      </c>
      <c r="AK15">
        <v>28.798999999999999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si="0"/>
        <v>113345.46676570624</v>
      </c>
      <c r="AU15" s="17">
        <f t="shared" si="1"/>
        <v>28946.189658474497</v>
      </c>
      <c r="AW15" s="6">
        <f t="shared" si="2"/>
        <v>113027.25595575808</v>
      </c>
      <c r="AX15" s="7">
        <f t="shared" si="3"/>
        <v>26924.981500401998</v>
      </c>
      <c r="AZ15" s="11">
        <f t="shared" si="4"/>
        <v>116085.88479232001</v>
      </c>
      <c r="BA15" s="12">
        <f t="shared" si="5"/>
        <v>30430.594643277498</v>
      </c>
      <c r="BC15" s="13">
        <f t="shared" si="6"/>
        <v>123702.650628096</v>
      </c>
      <c r="BD15" s="14">
        <f t="shared" si="7"/>
        <v>26451.13831620925</v>
      </c>
      <c r="BF15" s="16">
        <f t="shared" si="8"/>
        <v>113345.46676570624</v>
      </c>
      <c r="BG15" s="17">
        <f t="shared" si="9"/>
        <v>28946.189658474497</v>
      </c>
      <c r="BI15">
        <v>51</v>
      </c>
      <c r="BJ15" t="s">
        <v>41</v>
      </c>
      <c r="BK15" s="2">
        <v>45916.685057870367</v>
      </c>
      <c r="BL15">
        <v>193</v>
      </c>
      <c r="BM15" t="s">
        <v>13</v>
      </c>
      <c r="BN15">
        <v>0</v>
      </c>
      <c r="BO15">
        <v>2.895</v>
      </c>
      <c r="BP15" s="3">
        <v>516785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45916.706284722219</v>
      </c>
      <c r="D16">
        <v>230</v>
      </c>
      <c r="E16" t="s">
        <v>13</v>
      </c>
      <c r="F16">
        <v>0</v>
      </c>
      <c r="G16">
        <v>6.0670000000000002</v>
      </c>
      <c r="H16" s="3">
        <v>3413</v>
      </c>
      <c r="I16">
        <v>8.0000000000000002E-3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45916.706284722219</v>
      </c>
      <c r="R16">
        <v>230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45916.706284722219</v>
      </c>
      <c r="AF16">
        <v>230</v>
      </c>
      <c r="AG16" t="s">
        <v>13</v>
      </c>
      <c r="AH16">
        <v>0</v>
      </c>
      <c r="AI16">
        <v>12.071</v>
      </c>
      <c r="AJ16" s="3">
        <v>255012</v>
      </c>
      <c r="AK16">
        <v>54.848999999999997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0"/>
        <v>8.7139972965169985</v>
      </c>
      <c r="AU16" s="17">
        <f t="shared" si="1"/>
        <v>54651.045904070714</v>
      </c>
      <c r="AW16" s="6">
        <f t="shared" si="2"/>
        <v>2.7370507757000002</v>
      </c>
      <c r="AX16" s="7">
        <f t="shared" si="3"/>
        <v>50947.686213925124</v>
      </c>
      <c r="AZ16" s="11">
        <f t="shared" si="4"/>
        <v>2.7472822599999986</v>
      </c>
      <c r="BA16" s="12">
        <f t="shared" si="5"/>
        <v>58729.699586110401</v>
      </c>
      <c r="BC16" s="13">
        <f t="shared" si="6"/>
        <v>5.226688232659999</v>
      </c>
      <c r="BD16" s="14">
        <f t="shared" si="7"/>
        <v>50495.57778293969</v>
      </c>
      <c r="BF16" s="16">
        <f t="shared" si="8"/>
        <v>8.7139972965169985</v>
      </c>
      <c r="BG16" s="17">
        <f t="shared" si="9"/>
        <v>54651.045904070714</v>
      </c>
      <c r="BI16">
        <v>52</v>
      </c>
      <c r="BJ16" t="s">
        <v>42</v>
      </c>
      <c r="BK16" s="2">
        <v>45916.706284722219</v>
      </c>
      <c r="BL16">
        <v>230</v>
      </c>
      <c r="BM16" t="s">
        <v>13</v>
      </c>
      <c r="BN16">
        <v>0</v>
      </c>
      <c r="BO16">
        <v>2.8809999999999998</v>
      </c>
      <c r="BP16" s="3">
        <v>799449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45916.727500000001</v>
      </c>
      <c r="D17">
        <v>313</v>
      </c>
      <c r="E17" t="s">
        <v>13</v>
      </c>
      <c r="F17">
        <v>0</v>
      </c>
      <c r="G17">
        <v>6.0590000000000002</v>
      </c>
      <c r="H17" s="3">
        <v>9007</v>
      </c>
      <c r="I17">
        <v>2.1000000000000001E-2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45916.727500000001</v>
      </c>
      <c r="R17">
        <v>313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45916.727500000001</v>
      </c>
      <c r="AF17">
        <v>313</v>
      </c>
      <c r="AG17" t="s">
        <v>13</v>
      </c>
      <c r="AH17">
        <v>0</v>
      </c>
      <c r="AI17">
        <v>12.308999999999999</v>
      </c>
      <c r="AJ17" s="3">
        <v>5598</v>
      </c>
      <c r="AK17">
        <v>1.1319999999999999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0"/>
        <v>28.782377534157</v>
      </c>
      <c r="AU17" s="17">
        <f t="shared" si="1"/>
        <v>1139.1268637717201</v>
      </c>
      <c r="AW17" s="6">
        <f t="shared" si="2"/>
        <v>17.5025592197</v>
      </c>
      <c r="AX17" s="7">
        <f t="shared" si="3"/>
        <v>1052.60686434592</v>
      </c>
      <c r="AZ17" s="11">
        <f t="shared" si="4"/>
        <v>13.609711460000002</v>
      </c>
      <c r="BA17" s="12">
        <f t="shared" si="5"/>
        <v>1329.8989188155999</v>
      </c>
      <c r="BC17" s="13">
        <f t="shared" si="6"/>
        <v>22.918713439859999</v>
      </c>
      <c r="BD17" s="14">
        <f t="shared" si="7"/>
        <v>1179.8160112807998</v>
      </c>
      <c r="BF17" s="16">
        <f t="shared" si="8"/>
        <v>28.782377534157</v>
      </c>
      <c r="BG17" s="17">
        <f t="shared" si="9"/>
        <v>1139.1268637717201</v>
      </c>
      <c r="BI17">
        <v>53</v>
      </c>
      <c r="BJ17" t="s">
        <v>43</v>
      </c>
      <c r="BK17" s="2">
        <v>45916.727500000001</v>
      </c>
      <c r="BL17">
        <v>313</v>
      </c>
      <c r="BM17" t="s">
        <v>13</v>
      </c>
      <c r="BN17">
        <v>0</v>
      </c>
      <c r="BO17">
        <v>2.8620000000000001</v>
      </c>
      <c r="BP17" s="3">
        <v>1164644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45916.748726851853</v>
      </c>
      <c r="D18">
        <v>329</v>
      </c>
      <c r="E18" t="s">
        <v>13</v>
      </c>
      <c r="F18">
        <v>0</v>
      </c>
      <c r="G18">
        <v>6.008</v>
      </c>
      <c r="H18" s="3">
        <v>17244757</v>
      </c>
      <c r="I18">
        <v>40.637999999999998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45916.748726851853</v>
      </c>
      <c r="R18">
        <v>329</v>
      </c>
      <c r="S18" t="s">
        <v>13</v>
      </c>
      <c r="T18">
        <v>0</v>
      </c>
      <c r="U18">
        <v>5.9610000000000003</v>
      </c>
      <c r="V18" s="3">
        <v>126069</v>
      </c>
      <c r="W18">
        <v>31.042999999999999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45916.748726851853</v>
      </c>
      <c r="AF18">
        <v>329</v>
      </c>
      <c r="AG18" t="s">
        <v>13</v>
      </c>
      <c r="AH18">
        <v>0</v>
      </c>
      <c r="AI18">
        <v>12.183999999999999</v>
      </c>
      <c r="AJ18" s="3">
        <v>107696</v>
      </c>
      <c r="AK18">
        <v>23.353999999999999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0"/>
        <v>31407.504497403457</v>
      </c>
      <c r="AU18" s="17">
        <f t="shared" si="1"/>
        <v>23589.755890222081</v>
      </c>
      <c r="AW18" s="6">
        <f t="shared" si="2"/>
        <v>31070.435948291815</v>
      </c>
      <c r="AX18" s="7">
        <f t="shared" si="3"/>
        <v>21861.07130682368</v>
      </c>
      <c r="AZ18" s="11">
        <f t="shared" si="4"/>
        <v>30986.830644780002</v>
      </c>
      <c r="BA18" s="12">
        <f t="shared" si="5"/>
        <v>24424.9234777856</v>
      </c>
      <c r="BC18" s="13">
        <f t="shared" si="6"/>
        <v>33731.524724409006</v>
      </c>
      <c r="BD18" s="14">
        <f t="shared" si="7"/>
        <v>21388.274565163523</v>
      </c>
      <c r="BF18" s="16">
        <f t="shared" si="8"/>
        <v>31407.504497403457</v>
      </c>
      <c r="BG18" s="17">
        <f t="shared" si="9"/>
        <v>23589.755890222081</v>
      </c>
      <c r="BI18">
        <v>54</v>
      </c>
      <c r="BJ18" t="s">
        <v>44</v>
      </c>
      <c r="BK18" s="2">
        <v>45916.748726851853</v>
      </c>
      <c r="BL18">
        <v>329</v>
      </c>
      <c r="BM18" t="s">
        <v>13</v>
      </c>
      <c r="BN18">
        <v>0</v>
      </c>
      <c r="BO18">
        <v>2.8769999999999998</v>
      </c>
      <c r="BP18" s="3">
        <v>847510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45917.436423611114</v>
      </c>
      <c r="D19">
        <v>268</v>
      </c>
      <c r="E19" t="s">
        <v>13</v>
      </c>
      <c r="F19">
        <v>0</v>
      </c>
      <c r="G19">
        <v>6.0129999999999999</v>
      </c>
      <c r="H19" s="3">
        <v>17863785</v>
      </c>
      <c r="I19">
        <v>42.17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45917.436423611114</v>
      </c>
      <c r="R19">
        <v>268</v>
      </c>
      <c r="S19" t="s">
        <v>13</v>
      </c>
      <c r="T19">
        <v>0</v>
      </c>
      <c r="U19">
        <v>5.9649999999999999</v>
      </c>
      <c r="V19" s="3">
        <v>131346</v>
      </c>
      <c r="W19">
        <v>32.328000000000003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45917.436423611114</v>
      </c>
      <c r="AF19">
        <v>268</v>
      </c>
      <c r="AG19" t="s">
        <v>13</v>
      </c>
      <c r="AH19">
        <v>0</v>
      </c>
      <c r="AI19">
        <v>12.198</v>
      </c>
      <c r="AJ19" s="3">
        <v>114438</v>
      </c>
      <c r="AK19">
        <v>24.81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72</v>
      </c>
      <c r="AS19" s="10">
        <v>55</v>
      </c>
      <c r="AT19" s="16">
        <f t="shared" ref="AT19:AT29" si="10">IF(H19&lt;10000,((H19^2*0.000000008493)+(H19*0.003482)+(-3.269)),(IF(H19&lt;200000,((H19^2*-0.000000000263)+(H19*0.002682)+(3.179)),(IF(H19&lt;8000000,((H19^2*-0.000000000005099)+(H19*0.002054)+(174.8)),((V19^2*-0.00000001014)+(V19*0.2415)+(1123)))))))</f>
        <v>32668.126034799756</v>
      </c>
      <c r="AU19" s="17">
        <f t="shared" ref="AU19:AU29" si="11">IF(AJ19&lt;45000,((-0.00000004907*AJ19^2)+(0.2277*AJ19)+(-134)),((-0.00000001062*AJ19^2)+(0.2147*AJ19)+(590.6)))</f>
        <v>25021.358486936719</v>
      </c>
      <c r="AW19" s="6">
        <f t="shared" ref="AW19:AW29" si="12">IF(H19&lt;10000,((0.0000001453*H19^2)+(0.0008349*H19)+(-1.805)),(IF(H19&lt;700000,((-0.00000000008054*H19^2)+(0.002348*H19)+(-2.47)), ((-0.00000001938*V19^2)+(0.2471*V19)+(226.8)))))</f>
        <v>32348.057264143918</v>
      </c>
      <c r="AX19" s="7">
        <f t="shared" ref="AX19:AX29" si="13">(-0.00000002552*AJ19^2)+(0.2067*AJ19)+(-103.7)</f>
        <v>23216.423254861118</v>
      </c>
      <c r="AZ19" s="11">
        <f t="shared" ref="AZ19:AZ29" si="14">IF(H19&lt;10000,((H19^2*0.00000054)+(H19*-0.004765)+(12.72)),(IF(H19&lt;200000,((H19^2*-0.000000001577)+(H19*0.003043)+(-10.42)),(IF(H19&lt;8000000,((H19^2*-0.0000000000186)+(H19*0.00194)+(154.1)),((V19^2*-0.00000002)+(V19*0.2565)+(-1032)))))))</f>
        <v>32313.213565680002</v>
      </c>
      <c r="BA19" s="12">
        <f t="shared" ref="BA19:BA29" si="15">IF(AJ19&lt;45000,((-0.0000004561*AJ19^2)+(0.244*AJ19)+(-21.72)),((-0.0000000409*AJ19^2)+(0.2477*AJ19)+(-1777)))</f>
        <v>26033.6639159804</v>
      </c>
      <c r="BC19" s="13">
        <f t="shared" ref="BC19:BC29" si="16">IF(H19&lt;10000,((H19^2*0.00000005714)+(H19*0.002453)+(-3.811)),(IF(H19&lt;200000,((H19^2*-0.0000000002888)+(H19*0.002899)+(-4.321)),(IF(H19&lt;8000000,((H19^2*-0.0000000000062)+(H19*0.002143)+(157)),((V19^2*-0.000000031)+(V19*0.2771)+(-709.5)))))))</f>
        <v>35151.671676803999</v>
      </c>
      <c r="BD19" s="14">
        <f t="shared" ref="BD19:BD29" si="17">IF(AJ19&lt;45000,((-0.0000000598*AJ19^2)+(0.205*AJ19)+(34.1)),((-0.00000002403*AJ19^2)+(0.2063*AJ19)+(-550.7)))</f>
        <v>22743.16117806868</v>
      </c>
      <c r="BF19" s="16">
        <f t="shared" ref="BF19:BF29" si="18">IF(H19&lt;10000,((H19^2*0.000000008493)+(H19*0.003482)+(-3.269)),(IF(H19&lt;200000,((H19^2*-0.000000000263)+(H19*0.002682)+(3.179)),(IF(H19&lt;8000000,((H19^2*-0.000000000005099)+(H19*0.002054)+(174.8)),((V19^2*-0.00000001014)+(V19*0.2415)+(1123)))))))</f>
        <v>32668.126034799756</v>
      </c>
      <c r="BG19" s="17">
        <f t="shared" ref="BG19:BG29" si="19">IF(AJ19&lt;45000,((-0.00000004907*AJ19^2)+(0.2277*AJ19)+(-134)),((-0.00000001062*AJ19^2)+(0.2147*AJ19)+(590.6)))</f>
        <v>25021.358486936719</v>
      </c>
      <c r="BI19">
        <v>55</v>
      </c>
      <c r="BJ19" t="s">
        <v>45</v>
      </c>
      <c r="BK19" s="2">
        <v>45917.436423611114</v>
      </c>
      <c r="BL19">
        <v>268</v>
      </c>
      <c r="BM19" t="s">
        <v>13</v>
      </c>
      <c r="BN19">
        <v>0</v>
      </c>
      <c r="BO19">
        <v>2.8359999999999999</v>
      </c>
      <c r="BP19" s="3">
        <v>1598912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45917.457662037035</v>
      </c>
      <c r="D20">
        <v>342</v>
      </c>
      <c r="E20" t="s">
        <v>13</v>
      </c>
      <c r="F20">
        <v>0</v>
      </c>
      <c r="G20">
        <v>6.0830000000000002</v>
      </c>
      <c r="H20" s="3">
        <v>2266</v>
      </c>
      <c r="I20">
        <v>6.0000000000000001E-3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45917.457662037035</v>
      </c>
      <c r="R20">
        <v>342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45917.457662037035</v>
      </c>
      <c r="AF20">
        <v>342</v>
      </c>
      <c r="AG20" t="s">
        <v>13</v>
      </c>
      <c r="AH20">
        <v>0</v>
      </c>
      <c r="AI20">
        <v>12.239000000000001</v>
      </c>
      <c r="AJ20" s="3">
        <v>52520</v>
      </c>
      <c r="AK20">
        <v>11.385999999999999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4.6648214827079997</v>
      </c>
      <c r="AU20" s="17">
        <f t="shared" si="11"/>
        <v>11837.350318752</v>
      </c>
      <c r="AW20" s="6">
        <f t="shared" si="12"/>
        <v>0.83296344680000023</v>
      </c>
      <c r="AX20" s="7">
        <f t="shared" si="13"/>
        <v>10681.790897792</v>
      </c>
      <c r="AZ20" s="11">
        <f t="shared" si="14"/>
        <v>4.6952782400000004</v>
      </c>
      <c r="BA20" s="12">
        <f t="shared" si="15"/>
        <v>11119.387468639999</v>
      </c>
      <c r="BC20" s="13">
        <f t="shared" si="16"/>
        <v>2.0408979578400004</v>
      </c>
      <c r="BD20" s="14">
        <f t="shared" si="17"/>
        <v>10217.892839888</v>
      </c>
      <c r="BF20" s="16">
        <f t="shared" si="18"/>
        <v>4.6648214827079997</v>
      </c>
      <c r="BG20" s="17">
        <f t="shared" si="19"/>
        <v>11837.350318752</v>
      </c>
      <c r="BI20">
        <v>56</v>
      </c>
      <c r="BJ20" t="s">
        <v>46</v>
      </c>
      <c r="BK20" s="2">
        <v>45917.457662037035</v>
      </c>
      <c r="BL20">
        <v>342</v>
      </c>
      <c r="BM20" t="s">
        <v>13</v>
      </c>
      <c r="BN20">
        <v>0</v>
      </c>
      <c r="BO20">
        <v>2.8730000000000002</v>
      </c>
      <c r="BP20" s="3">
        <v>994970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45917.478888888887</v>
      </c>
      <c r="D21">
        <v>363</v>
      </c>
      <c r="E21" t="s">
        <v>13</v>
      </c>
      <c r="F21">
        <v>0</v>
      </c>
      <c r="G21">
        <v>6.0839999999999996</v>
      </c>
      <c r="H21" s="3">
        <v>2053</v>
      </c>
      <c r="I21">
        <v>5.0000000000000001E-3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45917.478888888887</v>
      </c>
      <c r="R21">
        <v>363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45917.478888888887</v>
      </c>
      <c r="AF21">
        <v>363</v>
      </c>
      <c r="AG21" t="s">
        <v>13</v>
      </c>
      <c r="AH21">
        <v>0</v>
      </c>
      <c r="AI21">
        <v>12.231</v>
      </c>
      <c r="AJ21" s="3">
        <v>56427</v>
      </c>
      <c r="AK21">
        <v>12.237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3.9153423728369994</v>
      </c>
      <c r="AU21" s="17">
        <f t="shared" si="11"/>
        <v>12671.66275278602</v>
      </c>
      <c r="AW21" s="6">
        <f t="shared" si="12"/>
        <v>0.52146144769999991</v>
      </c>
      <c r="AX21" s="7">
        <f t="shared" si="13"/>
        <v>11478.505058483919</v>
      </c>
      <c r="AZ21" s="11">
        <f t="shared" si="14"/>
        <v>5.2134518600000002</v>
      </c>
      <c r="BA21" s="12">
        <f t="shared" si="15"/>
        <v>12069.7420411439</v>
      </c>
      <c r="BC21" s="13">
        <f t="shared" si="16"/>
        <v>1.4658431862599999</v>
      </c>
      <c r="BD21" s="14">
        <f t="shared" si="17"/>
        <v>11013.67842791413</v>
      </c>
      <c r="BF21" s="16">
        <f t="shared" si="18"/>
        <v>3.9153423728369994</v>
      </c>
      <c r="BG21" s="17">
        <f t="shared" si="19"/>
        <v>12671.66275278602</v>
      </c>
      <c r="BI21">
        <v>57</v>
      </c>
      <c r="BJ21" t="s">
        <v>47</v>
      </c>
      <c r="BK21" s="2">
        <v>45917.478888888887</v>
      </c>
      <c r="BL21">
        <v>363</v>
      </c>
      <c r="BM21" t="s">
        <v>13</v>
      </c>
      <c r="BN21">
        <v>0</v>
      </c>
      <c r="BO21">
        <v>2.8540000000000001</v>
      </c>
      <c r="BP21" s="3">
        <v>1227689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45917.500115740739</v>
      </c>
      <c r="D22">
        <v>66</v>
      </c>
      <c r="E22" t="s">
        <v>13</v>
      </c>
      <c r="F22">
        <v>0</v>
      </c>
      <c r="G22">
        <v>6.048</v>
      </c>
      <c r="H22" s="3">
        <v>115174</v>
      </c>
      <c r="I22">
        <v>0.26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45917.500115740739</v>
      </c>
      <c r="R22">
        <v>66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45917.500115740739</v>
      </c>
      <c r="AF22">
        <v>66</v>
      </c>
      <c r="AG22" t="s">
        <v>13</v>
      </c>
      <c r="AH22">
        <v>0</v>
      </c>
      <c r="AI22">
        <v>12.185</v>
      </c>
      <c r="AJ22" s="3">
        <v>110001</v>
      </c>
      <c r="AK22">
        <v>23.852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308.58695977741195</v>
      </c>
      <c r="AU22" s="17">
        <f t="shared" si="11"/>
        <v>24079.310363589379</v>
      </c>
      <c r="AW22" s="6">
        <f t="shared" si="12"/>
        <v>266.89018485077088</v>
      </c>
      <c r="AX22" s="7">
        <f t="shared" si="13"/>
        <v>22324.709085574479</v>
      </c>
      <c r="AZ22" s="11">
        <f t="shared" si="14"/>
        <v>319.135497714748</v>
      </c>
      <c r="BA22" s="12">
        <f t="shared" si="15"/>
        <v>24975.348701959101</v>
      </c>
      <c r="BC22" s="13">
        <f t="shared" si="16"/>
        <v>325.7374794802912</v>
      </c>
      <c r="BD22" s="14">
        <f t="shared" si="17"/>
        <v>21851.738013375973</v>
      </c>
      <c r="BF22" s="16">
        <f t="shared" si="18"/>
        <v>308.58695977741195</v>
      </c>
      <c r="BG22" s="17">
        <f t="shared" si="19"/>
        <v>24079.310363589379</v>
      </c>
      <c r="BI22">
        <v>58</v>
      </c>
      <c r="BJ22" t="s">
        <v>48</v>
      </c>
      <c r="BK22" s="2">
        <v>45917.500115740739</v>
      </c>
      <c r="BL22">
        <v>66</v>
      </c>
      <c r="BM22" t="s">
        <v>13</v>
      </c>
      <c r="BN22">
        <v>0</v>
      </c>
      <c r="BO22">
        <v>2.8660000000000001</v>
      </c>
      <c r="BP22" s="3">
        <v>1001898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45917.521331018521</v>
      </c>
      <c r="D23">
        <v>111</v>
      </c>
      <c r="E23" t="s">
        <v>13</v>
      </c>
      <c r="F23">
        <v>0</v>
      </c>
      <c r="G23">
        <v>6.0750000000000002</v>
      </c>
      <c r="H23" s="3">
        <v>1503</v>
      </c>
      <c r="I23">
        <v>4.0000000000000001E-3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45917.521331018521</v>
      </c>
      <c r="R23">
        <v>111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45917.521331018521</v>
      </c>
      <c r="AF23">
        <v>111</v>
      </c>
      <c r="AG23" t="s">
        <v>13</v>
      </c>
      <c r="AH23">
        <v>0</v>
      </c>
      <c r="AI23">
        <v>12.063000000000001</v>
      </c>
      <c r="AJ23" s="3">
        <v>247075</v>
      </c>
      <c r="AK23">
        <v>53.168999999999997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1.9836317634369998</v>
      </c>
      <c r="AU23" s="17">
        <f t="shared" si="11"/>
        <v>52989.293389262501</v>
      </c>
      <c r="AW23" s="6">
        <f t="shared" si="12"/>
        <v>-0.22191129229999995</v>
      </c>
      <c r="AX23" s="7">
        <f t="shared" si="13"/>
        <v>49408.80716045</v>
      </c>
      <c r="AZ23" s="11">
        <f t="shared" si="14"/>
        <v>6.7780698600000004</v>
      </c>
      <c r="BA23" s="12">
        <f t="shared" si="15"/>
        <v>56926.693824937502</v>
      </c>
      <c r="BC23" s="13">
        <f t="shared" si="16"/>
        <v>4.9387742599997786E-3</v>
      </c>
      <c r="BD23" s="14">
        <f t="shared" si="17"/>
        <v>48953.935783331253</v>
      </c>
      <c r="BF23" s="16">
        <f t="shared" si="18"/>
        <v>1.9836317634369998</v>
      </c>
      <c r="BG23" s="17">
        <f t="shared" si="19"/>
        <v>52989.293389262501</v>
      </c>
      <c r="BI23">
        <v>59</v>
      </c>
      <c r="BJ23" t="s">
        <v>49</v>
      </c>
      <c r="BK23" s="2">
        <v>45917.521331018521</v>
      </c>
      <c r="BL23">
        <v>111</v>
      </c>
      <c r="BM23" t="s">
        <v>13</v>
      </c>
      <c r="BN23">
        <v>0</v>
      </c>
      <c r="BO23">
        <v>2.863</v>
      </c>
      <c r="BP23" s="3">
        <v>1082502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45917.542546296296</v>
      </c>
      <c r="D24">
        <v>257</v>
      </c>
      <c r="E24" t="s">
        <v>13</v>
      </c>
      <c r="F24">
        <v>0</v>
      </c>
      <c r="G24">
        <v>6.085</v>
      </c>
      <c r="H24" s="3">
        <v>1548</v>
      </c>
      <c r="I24">
        <v>4.0000000000000001E-3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45917.542546296296</v>
      </c>
      <c r="R24">
        <v>257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45917.542546296296</v>
      </c>
      <c r="AF24">
        <v>257</v>
      </c>
      <c r="AG24" t="s">
        <v>13</v>
      </c>
      <c r="AH24">
        <v>0</v>
      </c>
      <c r="AI24">
        <v>12.06</v>
      </c>
      <c r="AJ24" s="3">
        <v>245871</v>
      </c>
      <c r="AK24">
        <v>52.914000000000001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2.1414878098720003</v>
      </c>
      <c r="AU24" s="17">
        <f t="shared" si="11"/>
        <v>52737.097633432582</v>
      </c>
      <c r="AW24" s="6">
        <f t="shared" si="12"/>
        <v>-0.16439182879999992</v>
      </c>
      <c r="AX24" s="7">
        <f t="shared" si="13"/>
        <v>49175.086658681685</v>
      </c>
      <c r="AZ24" s="11">
        <f t="shared" si="14"/>
        <v>6.6377841600000007</v>
      </c>
      <c r="BA24" s="12">
        <f t="shared" si="15"/>
        <v>56652.737460583106</v>
      </c>
      <c r="BC24" s="13">
        <f t="shared" si="16"/>
        <v>0.12316881055999973</v>
      </c>
      <c r="BD24" s="14">
        <f t="shared" si="17"/>
        <v>48719.812556156779</v>
      </c>
      <c r="BF24" s="16">
        <f t="shared" si="18"/>
        <v>2.1414878098720003</v>
      </c>
      <c r="BG24" s="17">
        <f t="shared" si="19"/>
        <v>52737.097633432582</v>
      </c>
      <c r="BI24">
        <v>60</v>
      </c>
      <c r="BJ24" t="s">
        <v>50</v>
      </c>
      <c r="BK24" s="2">
        <v>45917.542546296296</v>
      </c>
      <c r="BL24">
        <v>257</v>
      </c>
      <c r="BM24" t="s">
        <v>13</v>
      </c>
      <c r="BN24">
        <v>0</v>
      </c>
      <c r="BO24">
        <v>2.8660000000000001</v>
      </c>
      <c r="BP24" s="3">
        <v>1016353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45917.563773148147</v>
      </c>
      <c r="D25">
        <v>51</v>
      </c>
      <c r="E25" t="s">
        <v>13</v>
      </c>
      <c r="F25">
        <v>0</v>
      </c>
      <c r="G25">
        <v>6.05</v>
      </c>
      <c r="H25" s="3">
        <v>19500</v>
      </c>
      <c r="I25">
        <v>4.3999999999999997E-2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45917.563773148147</v>
      </c>
      <c r="R25">
        <v>51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45917.563773148147</v>
      </c>
      <c r="AF25">
        <v>51</v>
      </c>
      <c r="AG25" t="s">
        <v>13</v>
      </c>
      <c r="AH25">
        <v>0</v>
      </c>
      <c r="AI25" t="s">
        <v>14</v>
      </c>
      <c r="AJ25" s="3" t="s">
        <v>14</v>
      </c>
      <c r="AK25" t="s">
        <v>14</v>
      </c>
      <c r="AL25" t="s">
        <v>14</v>
      </c>
      <c r="AM25" t="s">
        <v>14</v>
      </c>
      <c r="AN25" t="s">
        <v>14</v>
      </c>
      <c r="AO25" t="s">
        <v>14</v>
      </c>
      <c r="AQ25">
        <v>2</v>
      </c>
      <c r="AR25" t="s">
        <v>71</v>
      </c>
      <c r="AS25" s="10">
        <v>61</v>
      </c>
      <c r="AT25" s="16">
        <f t="shared" si="10"/>
        <v>55.37799425</v>
      </c>
      <c r="AU25" s="17" t="e">
        <f t="shared" si="11"/>
        <v>#VALUE!</v>
      </c>
      <c r="AW25" s="6">
        <f t="shared" si="12"/>
        <v>43.285374664999992</v>
      </c>
      <c r="AX25" s="7" t="e">
        <f t="shared" si="13"/>
        <v>#VALUE!</v>
      </c>
      <c r="AZ25" s="11">
        <f t="shared" si="14"/>
        <v>48.318845750000001</v>
      </c>
      <c r="BA25" s="12" t="e">
        <f t="shared" si="15"/>
        <v>#VALUE!</v>
      </c>
      <c r="BC25" s="13">
        <f t="shared" si="16"/>
        <v>52.099683800000008</v>
      </c>
      <c r="BD25" s="14" t="e">
        <f t="shared" si="17"/>
        <v>#VALUE!</v>
      </c>
      <c r="BF25" s="16">
        <f t="shared" si="18"/>
        <v>55.37799425</v>
      </c>
      <c r="BG25" s="17" t="e">
        <f t="shared" si="19"/>
        <v>#VALUE!</v>
      </c>
      <c r="BI25">
        <v>61</v>
      </c>
      <c r="BJ25" t="s">
        <v>51</v>
      </c>
      <c r="BK25" s="2">
        <v>45917.563773148147</v>
      </c>
      <c r="BL25">
        <v>51</v>
      </c>
      <c r="BM25" t="s">
        <v>13</v>
      </c>
      <c r="BN25">
        <v>0</v>
      </c>
      <c r="BO25">
        <v>2.871</v>
      </c>
      <c r="BP25" s="3">
        <v>940618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45917.585023148145</v>
      </c>
      <c r="D26">
        <v>80</v>
      </c>
      <c r="E26" t="s">
        <v>13</v>
      </c>
      <c r="F26">
        <v>0</v>
      </c>
      <c r="G26">
        <v>6.0490000000000004</v>
      </c>
      <c r="H26" s="3">
        <v>48376</v>
      </c>
      <c r="I26">
        <v>0.109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45917.585023148145</v>
      </c>
      <c r="R26">
        <v>80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45917.585023148145</v>
      </c>
      <c r="AF26">
        <v>80</v>
      </c>
      <c r="AG26" t="s">
        <v>13</v>
      </c>
      <c r="AH26">
        <v>0</v>
      </c>
      <c r="AI26">
        <v>12.223000000000001</v>
      </c>
      <c r="AJ26" s="3">
        <v>128</v>
      </c>
      <c r="AK26">
        <v>-6.8000000000000005E-2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132.30794957011199</v>
      </c>
      <c r="AU26" s="17">
        <f t="shared" si="11"/>
        <v>-104.85520396288</v>
      </c>
      <c r="AW26" s="6">
        <f t="shared" si="12"/>
        <v>110.92836528173694</v>
      </c>
      <c r="AX26" s="7">
        <f t="shared" si="13"/>
        <v>-77.24281811968001</v>
      </c>
      <c r="AZ26" s="11">
        <f t="shared" si="14"/>
        <v>133.097613658048</v>
      </c>
      <c r="BA26" s="12">
        <f t="shared" si="15"/>
        <v>9.5045272575999995</v>
      </c>
      <c r="BC26" s="13">
        <f t="shared" si="16"/>
        <v>135.24516344581122</v>
      </c>
      <c r="BD26" s="14">
        <f t="shared" si="17"/>
        <v>60.339020236799996</v>
      </c>
      <c r="BF26" s="16">
        <f t="shared" si="18"/>
        <v>132.30794957011199</v>
      </c>
      <c r="BG26" s="17">
        <f t="shared" si="19"/>
        <v>-104.85520396288</v>
      </c>
      <c r="BI26">
        <v>62</v>
      </c>
      <c r="BJ26" t="s">
        <v>52</v>
      </c>
      <c r="BK26" s="2">
        <v>45917.585023148145</v>
      </c>
      <c r="BL26">
        <v>80</v>
      </c>
      <c r="BM26" t="s">
        <v>13</v>
      </c>
      <c r="BN26">
        <v>0</v>
      </c>
      <c r="BO26">
        <v>2.87</v>
      </c>
      <c r="BP26" s="3">
        <v>971204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45917.606249999997</v>
      </c>
      <c r="D27">
        <v>411</v>
      </c>
      <c r="E27" t="s">
        <v>13</v>
      </c>
      <c r="F27">
        <v>0</v>
      </c>
      <c r="G27">
        <v>5.8639999999999999</v>
      </c>
      <c r="H27" s="3">
        <v>56084014</v>
      </c>
      <c r="I27">
        <v>150.952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45917.606249999997</v>
      </c>
      <c r="R27">
        <v>411</v>
      </c>
      <c r="S27" t="s">
        <v>13</v>
      </c>
      <c r="T27">
        <v>0</v>
      </c>
      <c r="U27">
        <v>5.8369999999999997</v>
      </c>
      <c r="V27" s="3">
        <v>531707</v>
      </c>
      <c r="W27">
        <v>127.517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45917.606249999997</v>
      </c>
      <c r="AF27">
        <v>411</v>
      </c>
      <c r="AG27" t="s">
        <v>13</v>
      </c>
      <c r="AH27">
        <v>0</v>
      </c>
      <c r="AI27">
        <v>12.125999999999999</v>
      </c>
      <c r="AJ27" s="3">
        <v>124555</v>
      </c>
      <c r="AK27">
        <v>26.992000000000001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126663.53743477113</v>
      </c>
      <c r="AU27" s="17">
        <f t="shared" si="11"/>
        <v>27167.800371974499</v>
      </c>
      <c r="AW27" s="6">
        <f t="shared" si="12"/>
        <v>126132.63467000639</v>
      </c>
      <c r="AX27" s="7">
        <f t="shared" si="13"/>
        <v>25245.902546401998</v>
      </c>
      <c r="AZ27" s="11">
        <f t="shared" si="14"/>
        <v>129696.59882302</v>
      </c>
      <c r="BA27" s="12">
        <f t="shared" si="15"/>
        <v>28440.7530257775</v>
      </c>
      <c r="BC27" s="13">
        <f t="shared" si="16"/>
        <v>137862.42735068098</v>
      </c>
      <c r="BD27" s="14">
        <f t="shared" si="17"/>
        <v>24772.19632895925</v>
      </c>
      <c r="BF27" s="16">
        <f t="shared" si="18"/>
        <v>126663.53743477113</v>
      </c>
      <c r="BG27" s="17">
        <f t="shared" si="19"/>
        <v>27167.800371974499</v>
      </c>
      <c r="BI27">
        <v>63</v>
      </c>
      <c r="BJ27" t="s">
        <v>53</v>
      </c>
      <c r="BK27" s="2">
        <v>45917.606249999997</v>
      </c>
      <c r="BL27">
        <v>411</v>
      </c>
      <c r="BM27" t="s">
        <v>13</v>
      </c>
      <c r="BN27">
        <v>0</v>
      </c>
      <c r="BO27">
        <v>2.8879999999999999</v>
      </c>
      <c r="BP27" s="3">
        <v>555432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45917.627476851849</v>
      </c>
      <c r="D28">
        <v>151</v>
      </c>
      <c r="E28" t="s">
        <v>13</v>
      </c>
      <c r="F28">
        <v>0</v>
      </c>
      <c r="G28">
        <v>5.8559999999999999</v>
      </c>
      <c r="H28" s="3">
        <v>52933641</v>
      </c>
      <c r="I28">
        <v>140.596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45917.627476851849</v>
      </c>
      <c r="R28">
        <v>151</v>
      </c>
      <c r="S28" t="s">
        <v>13</v>
      </c>
      <c r="T28">
        <v>0</v>
      </c>
      <c r="U28">
        <v>5.8330000000000002</v>
      </c>
      <c r="V28" s="3">
        <v>542103</v>
      </c>
      <c r="W28">
        <v>129.93100000000001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45917.627476851849</v>
      </c>
      <c r="AF28">
        <v>151</v>
      </c>
      <c r="AG28" t="s">
        <v>13</v>
      </c>
      <c r="AH28">
        <v>0</v>
      </c>
      <c r="AI28">
        <v>12.135999999999999</v>
      </c>
      <c r="AJ28" s="3">
        <v>114010</v>
      </c>
      <c r="AK28">
        <v>24.718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129060.97528114473</v>
      </c>
      <c r="AU28" s="17">
        <f t="shared" si="11"/>
        <v>24930.505265337997</v>
      </c>
      <c r="AW28" s="6">
        <f t="shared" si="12"/>
        <v>128485.14095863758</v>
      </c>
      <c r="AX28" s="7">
        <f t="shared" si="13"/>
        <v>23130.450891847999</v>
      </c>
      <c r="AZ28" s="11">
        <f t="shared" si="14"/>
        <v>132139.90624781998</v>
      </c>
      <c r="BA28" s="12">
        <f t="shared" si="15"/>
        <v>25931.647343910001</v>
      </c>
      <c r="BC28" s="13">
        <f t="shared" si="16"/>
        <v>140397.095759121</v>
      </c>
      <c r="BD28" s="14">
        <f t="shared" si="17"/>
        <v>22657.214329197002</v>
      </c>
      <c r="BF28" s="16">
        <f t="shared" si="18"/>
        <v>129060.97528114473</v>
      </c>
      <c r="BG28" s="17">
        <f t="shared" si="19"/>
        <v>24930.505265337997</v>
      </c>
      <c r="BI28">
        <v>64</v>
      </c>
      <c r="BJ28" t="s">
        <v>54</v>
      </c>
      <c r="BK28" s="2">
        <v>45917.627476851849</v>
      </c>
      <c r="BL28">
        <v>151</v>
      </c>
      <c r="BM28" t="s">
        <v>13</v>
      </c>
      <c r="BN28">
        <v>0</v>
      </c>
      <c r="BO28">
        <v>2.8860000000000001</v>
      </c>
      <c r="BP28" s="3">
        <v>576356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45917.648715277777</v>
      </c>
      <c r="D29">
        <v>168</v>
      </c>
      <c r="E29" t="s">
        <v>13</v>
      </c>
      <c r="F29">
        <v>0</v>
      </c>
      <c r="G29">
        <v>6.0490000000000004</v>
      </c>
      <c r="H29" s="3">
        <v>34091</v>
      </c>
      <c r="I29">
        <v>7.6999999999999999E-2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45917.648715277777</v>
      </c>
      <c r="R29">
        <v>168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45917.648715277777</v>
      </c>
      <c r="AF29">
        <v>168</v>
      </c>
      <c r="AG29" t="s">
        <v>13</v>
      </c>
      <c r="AH29">
        <v>0</v>
      </c>
      <c r="AI29">
        <v>12.237</v>
      </c>
      <c r="AJ29" s="3">
        <v>624</v>
      </c>
      <c r="AK29" s="15">
        <v>0.04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94.305404378097009</v>
      </c>
      <c r="AU29" s="17">
        <f t="shared" si="11"/>
        <v>8.0656933196800082</v>
      </c>
      <c r="AW29" s="6">
        <f t="shared" si="12"/>
        <v>77.482064711528253</v>
      </c>
      <c r="AX29" s="7">
        <f t="shared" si="13"/>
        <v>25.270863124479988</v>
      </c>
      <c r="AZ29" s="11">
        <f t="shared" si="14"/>
        <v>91.486129464863012</v>
      </c>
      <c r="BA29" s="12">
        <f t="shared" si="15"/>
        <v>130.3584056064</v>
      </c>
      <c r="BC29" s="13">
        <f t="shared" si="16"/>
        <v>94.173166714047198</v>
      </c>
      <c r="BD29" s="14">
        <f t="shared" si="17"/>
        <v>161.99671531519999</v>
      </c>
      <c r="BF29" s="16">
        <f t="shared" si="18"/>
        <v>94.305404378097009</v>
      </c>
      <c r="BG29" s="17">
        <f t="shared" si="19"/>
        <v>8.0656933196800082</v>
      </c>
      <c r="BI29">
        <v>65</v>
      </c>
      <c r="BJ29" t="s">
        <v>55</v>
      </c>
      <c r="BK29" s="2">
        <v>45917.648715277777</v>
      </c>
      <c r="BL29">
        <v>168</v>
      </c>
      <c r="BM29" t="s">
        <v>13</v>
      </c>
      <c r="BN29">
        <v>0</v>
      </c>
      <c r="BO29">
        <v>2.867</v>
      </c>
      <c r="BP29" s="3">
        <v>1033420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45917.669953703706</v>
      </c>
      <c r="D30">
        <v>266</v>
      </c>
      <c r="E30" t="s">
        <v>13</v>
      </c>
      <c r="F30">
        <v>0</v>
      </c>
      <c r="G30">
        <v>6.0810000000000004</v>
      </c>
      <c r="H30" s="3">
        <v>1933</v>
      </c>
      <c r="I30">
        <v>5.0000000000000001E-3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45917.669953703706</v>
      </c>
      <c r="R30">
        <v>266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45917.669953703706</v>
      </c>
      <c r="AF30">
        <v>266</v>
      </c>
      <c r="AG30" t="s">
        <v>13</v>
      </c>
      <c r="AH30">
        <v>0</v>
      </c>
      <c r="AI30">
        <v>12.071</v>
      </c>
      <c r="AJ30" s="3">
        <v>227321</v>
      </c>
      <c r="AK30">
        <v>48.978999999999999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ref="AT30:AT44" si="20">IF(H30&lt;10000,((H30^2*0.000000008493)+(H30*0.003482)+(-3.269)),(IF(H30&lt;200000,((H30^2*-0.000000000263)+(H30*0.002682)+(3.179)),(IF(H30&lt;8000000,((H30^2*-0.000000000005099)+(H30*0.002054)+(174.8)),((V30^2*-0.00000001014)+(V30*0.2415)+(1123)))))))</f>
        <v>3.4934400010769995</v>
      </c>
      <c r="AU30" s="17">
        <f t="shared" ref="AU30:AU44" si="21">IF(AJ30&lt;45000,((-0.00000004907*AJ30^2)+(0.2277*AJ30)+(-134)),((-0.00000001062*AJ30^2)+(0.2147*AJ30)+(590.6)))</f>
        <v>48847.631930624579</v>
      </c>
      <c r="AW30" s="6">
        <f t="shared" ref="AW30:AW44" si="22">IF(H30&lt;10000,((0.0000001453*H30^2)+(0.0008349*H30)+(-1.805)),(IF(H30&lt;700000,((-0.00000000008054*H30^2)+(0.002348*H30)+(-2.47)), ((-0.00000001938*V30^2)+(0.2471*V30)+(226.8)))))</f>
        <v>0.3517735516999998</v>
      </c>
      <c r="AX30" s="7">
        <f t="shared" ref="AX30:AX44" si="23">(-0.00000002552*AJ30^2)+(0.2067*AJ30)+(-103.7)</f>
        <v>45564.808858713681</v>
      </c>
      <c r="AZ30" s="11">
        <f t="shared" ref="AZ30:AZ44" si="24">IF(H30&lt;10000,((H30^2*0.00000054)+(H30*-0.004765)+(12.72)),(IF(H30&lt;200000,((H30^2*-0.000000001577)+(H30*0.003043)+(-10.42)),(IF(H30&lt;8000000,((H30^2*-0.0000000000186)+(H30*0.00194)+(154.1)),((V30^2*-0.00000002)+(V30*0.2565)+(-1032)))))))</f>
        <v>5.5269590599999994</v>
      </c>
      <c r="BA30" s="12">
        <f t="shared" ref="BA30:BA44" si="25">IF(AJ30&lt;45000,((-0.0000004561*AJ30^2)+(0.244*AJ30)+(-21.72)),((-0.0000000409*AJ30^2)+(0.2477*AJ30)+(-1777)))</f>
        <v>52416.910865023106</v>
      </c>
      <c r="BC30" s="13">
        <f t="shared" ref="BC30:BC44" si="26">IF(H30&lt;10000,((H30^2*0.00000005714)+(H30*0.002453)+(-3.811)),(IF(H30&lt;200000,((H30^2*-0.0000000002888)+(H30*0.002899)+(-4.321)),(IF(H30&lt;8000000,((H30^2*-0.0000000000062)+(H30*0.002143)+(157)),((V30^2*-0.000000031)+(V30*0.2771)+(-709.5)))))))</f>
        <v>1.1441519814599994</v>
      </c>
      <c r="BD30" s="14">
        <f t="shared" ref="BD30:BD44" si="27">IF(AJ30&lt;45000,((-0.0000000598*AJ30^2)+(0.205*AJ30)+(34.1)),((-0.00000002403*AJ30^2)+(0.2063*AJ30)+(-550.7)))</f>
        <v>45103.875965904772</v>
      </c>
      <c r="BF30" s="16">
        <f t="shared" ref="BF30:BF44" si="28">IF(H30&lt;10000,((H30^2*0.000000008493)+(H30*0.003482)+(-3.269)),(IF(H30&lt;200000,((H30^2*-0.000000000263)+(H30*0.002682)+(3.179)),(IF(H30&lt;8000000,((H30^2*-0.000000000005099)+(H30*0.002054)+(174.8)),((V30^2*-0.00000001014)+(V30*0.2415)+(1123)))))))</f>
        <v>3.4934400010769995</v>
      </c>
      <c r="BG30" s="17">
        <f t="shared" ref="BG30:BG44" si="29">IF(AJ30&lt;45000,((-0.00000004907*AJ30^2)+(0.2277*AJ30)+(-134)),((-0.00000001062*AJ30^2)+(0.2147*AJ30)+(590.6)))</f>
        <v>48847.631930624579</v>
      </c>
      <c r="BI30">
        <v>66</v>
      </c>
      <c r="BJ30" t="s">
        <v>56</v>
      </c>
      <c r="BK30" s="2">
        <v>45917.669953703706</v>
      </c>
      <c r="BL30">
        <v>266</v>
      </c>
      <c r="BM30" t="s">
        <v>13</v>
      </c>
      <c r="BN30">
        <v>0</v>
      </c>
      <c r="BO30">
        <v>2.867</v>
      </c>
      <c r="BP30" s="3">
        <v>996544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45917.691192129627</v>
      </c>
      <c r="D31">
        <v>360</v>
      </c>
      <c r="E31" t="s">
        <v>13</v>
      </c>
      <c r="F31">
        <v>0</v>
      </c>
      <c r="G31">
        <v>6.0469999999999997</v>
      </c>
      <c r="H31" s="3">
        <v>144196</v>
      </c>
      <c r="I31">
        <v>0.32500000000000001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45917.691192129627</v>
      </c>
      <c r="R31">
        <v>360</v>
      </c>
      <c r="S31" t="s">
        <v>13</v>
      </c>
      <c r="T31">
        <v>0</v>
      </c>
      <c r="U31">
        <v>6.0119999999999996</v>
      </c>
      <c r="V31">
        <v>857</v>
      </c>
      <c r="W31">
        <v>0.30199999999999999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45917.691192129627</v>
      </c>
      <c r="AF31">
        <v>360</v>
      </c>
      <c r="AG31" t="s">
        <v>13</v>
      </c>
      <c r="AH31">
        <v>0</v>
      </c>
      <c r="AI31">
        <v>12.101000000000001</v>
      </c>
      <c r="AJ31" s="3">
        <v>164989</v>
      </c>
      <c r="AK31">
        <v>35.680999999999997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20"/>
        <v>384.44424807259196</v>
      </c>
      <c r="AU31" s="17">
        <f t="shared" si="21"/>
        <v>35724.647349314975</v>
      </c>
      <c r="AW31" s="6">
        <f t="shared" si="22"/>
        <v>334.4275811440553</v>
      </c>
      <c r="AX31" s="7">
        <f t="shared" si="23"/>
        <v>33304.836934512088</v>
      </c>
      <c r="AZ31" s="11">
        <f t="shared" si="24"/>
        <v>395.578676921968</v>
      </c>
      <c r="BA31" s="12">
        <f t="shared" si="25"/>
        <v>37977.421262051103</v>
      </c>
      <c r="BC31" s="13">
        <f t="shared" si="26"/>
        <v>407.69833392305918</v>
      </c>
      <c r="BD31" s="14">
        <f t="shared" si="27"/>
        <v>32832.401175992374</v>
      </c>
      <c r="BF31" s="16">
        <f t="shared" si="28"/>
        <v>384.44424807259196</v>
      </c>
      <c r="BG31" s="17">
        <f t="shared" si="29"/>
        <v>35724.647349314975</v>
      </c>
      <c r="BI31">
        <v>67</v>
      </c>
      <c r="BJ31" t="s">
        <v>57</v>
      </c>
      <c r="BK31" s="2">
        <v>45917.691192129627</v>
      </c>
      <c r="BL31">
        <v>360</v>
      </c>
      <c r="BM31" t="s">
        <v>13</v>
      </c>
      <c r="BN31">
        <v>0</v>
      </c>
      <c r="BO31">
        <v>2.8639999999999999</v>
      </c>
      <c r="BP31" s="3">
        <v>999153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45917.712442129632</v>
      </c>
      <c r="D32">
        <v>359</v>
      </c>
      <c r="E32" t="s">
        <v>13</v>
      </c>
      <c r="F32">
        <v>0</v>
      </c>
      <c r="G32">
        <v>6.0519999999999996</v>
      </c>
      <c r="H32" s="3">
        <v>23159</v>
      </c>
      <c r="I32">
        <v>5.2999999999999999E-2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45917.712442129632</v>
      </c>
      <c r="R32">
        <v>359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45917.712442129632</v>
      </c>
      <c r="AF32">
        <v>359</v>
      </c>
      <c r="AG32" t="s">
        <v>13</v>
      </c>
      <c r="AH32">
        <v>0</v>
      </c>
      <c r="AI32">
        <v>12.288</v>
      </c>
      <c r="AJ32" s="3">
        <v>159</v>
      </c>
      <c r="AK32">
        <v>-6.2E-2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20"/>
        <v>65.150380769096998</v>
      </c>
      <c r="AU32" s="17">
        <f t="shared" si="21"/>
        <v>-97.796940538669986</v>
      </c>
      <c r="AW32" s="6">
        <f t="shared" si="22"/>
        <v>51.864135234308257</v>
      </c>
      <c r="AX32" s="7">
        <f t="shared" si="23"/>
        <v>-70.835345171119997</v>
      </c>
      <c r="AZ32" s="11">
        <f t="shared" si="24"/>
        <v>59.207029953863</v>
      </c>
      <c r="BA32" s="12">
        <f t="shared" si="25"/>
        <v>17.0644693359</v>
      </c>
      <c r="BC32" s="13">
        <f t="shared" si="26"/>
        <v>62.662046215647194</v>
      </c>
      <c r="BD32" s="14">
        <f t="shared" si="27"/>
        <v>66.693488196200008</v>
      </c>
      <c r="BF32" s="16">
        <f t="shared" si="28"/>
        <v>65.150380769096998</v>
      </c>
      <c r="BG32" s="17">
        <f t="shared" si="29"/>
        <v>-97.796940538669986</v>
      </c>
      <c r="BI32">
        <v>68</v>
      </c>
      <c r="BJ32" t="s">
        <v>58</v>
      </c>
      <c r="BK32" s="2">
        <v>45917.712442129632</v>
      </c>
      <c r="BL32">
        <v>359</v>
      </c>
      <c r="BM32" t="s">
        <v>13</v>
      </c>
      <c r="BN32">
        <v>0</v>
      </c>
      <c r="BO32">
        <v>2.87</v>
      </c>
      <c r="BP32" s="3">
        <v>969804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45917.733703703707</v>
      </c>
      <c r="D33">
        <v>304</v>
      </c>
      <c r="E33" t="s">
        <v>13</v>
      </c>
      <c r="F33">
        <v>0</v>
      </c>
      <c r="G33">
        <v>6.0490000000000004</v>
      </c>
      <c r="H33" s="3">
        <v>44622</v>
      </c>
      <c r="I33">
        <v>0.10100000000000001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45917.733703703707</v>
      </c>
      <c r="R33">
        <v>304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45917.733703703707</v>
      </c>
      <c r="AF33">
        <v>304</v>
      </c>
      <c r="AG33" t="s">
        <v>13</v>
      </c>
      <c r="AH33">
        <v>0</v>
      </c>
      <c r="AI33">
        <v>12.101000000000001</v>
      </c>
      <c r="AJ33" s="3">
        <v>159879</v>
      </c>
      <c r="AK33">
        <v>34.585999999999999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20"/>
        <v>122.33153868150801</v>
      </c>
      <c r="AU33" s="17">
        <f t="shared" si="21"/>
        <v>34645.160350912578</v>
      </c>
      <c r="AW33" s="6">
        <f t="shared" si="22"/>
        <v>102.14209096292264</v>
      </c>
      <c r="AX33" s="7">
        <f t="shared" si="23"/>
        <v>32290.965060761682</v>
      </c>
      <c r="AZ33" s="11">
        <f t="shared" si="24"/>
        <v>122.22474521193202</v>
      </c>
      <c r="BA33" s="12">
        <f t="shared" si="25"/>
        <v>36779.571349183097</v>
      </c>
      <c r="BC33" s="13">
        <f t="shared" si="26"/>
        <v>124.4631417111008</v>
      </c>
      <c r="BD33" s="14">
        <f t="shared" si="27"/>
        <v>31818.09978977677</v>
      </c>
      <c r="BF33" s="16">
        <f t="shared" si="28"/>
        <v>122.33153868150801</v>
      </c>
      <c r="BG33" s="17">
        <f t="shared" si="29"/>
        <v>34645.160350912578</v>
      </c>
      <c r="BI33">
        <v>69</v>
      </c>
      <c r="BJ33" t="s">
        <v>59</v>
      </c>
      <c r="BK33" s="2">
        <v>45917.733703703707</v>
      </c>
      <c r="BL33">
        <v>304</v>
      </c>
      <c r="BM33" t="s">
        <v>13</v>
      </c>
      <c r="BN33">
        <v>0</v>
      </c>
      <c r="BO33">
        <v>2.863</v>
      </c>
      <c r="BP33" s="3">
        <v>1034403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45917.754953703705</v>
      </c>
      <c r="D34">
        <v>115</v>
      </c>
      <c r="E34" t="s">
        <v>13</v>
      </c>
      <c r="F34">
        <v>0</v>
      </c>
      <c r="G34">
        <v>6.048</v>
      </c>
      <c r="H34" s="3">
        <v>96239</v>
      </c>
      <c r="I34">
        <v>0.217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45917.754953703705</v>
      </c>
      <c r="R34">
        <v>115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45917.754953703705</v>
      </c>
      <c r="AF34">
        <v>115</v>
      </c>
      <c r="AG34" t="s">
        <v>13</v>
      </c>
      <c r="AH34">
        <v>0</v>
      </c>
      <c r="AI34">
        <v>12.433999999999999</v>
      </c>
      <c r="AJ34" s="3">
        <v>133</v>
      </c>
      <c r="AK34">
        <v>-6.7000000000000004E-2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20"/>
        <v>258.85610643317699</v>
      </c>
      <c r="AU34" s="17">
        <f t="shared" si="21"/>
        <v>-103.71676799923</v>
      </c>
      <c r="AW34" s="6">
        <f t="shared" si="22"/>
        <v>222.75321493995466</v>
      </c>
      <c r="AX34" s="7">
        <f t="shared" si="23"/>
        <v>-76.209351423279998</v>
      </c>
      <c r="AZ34" s="11">
        <f t="shared" si="24"/>
        <v>267.82918954418301</v>
      </c>
      <c r="BA34" s="12">
        <f t="shared" si="25"/>
        <v>10.7239320471</v>
      </c>
      <c r="BC34" s="13">
        <f t="shared" si="26"/>
        <v>272.00101124905518</v>
      </c>
      <c r="BD34" s="14">
        <f t="shared" si="27"/>
        <v>61.3639421978</v>
      </c>
      <c r="BF34" s="16">
        <f t="shared" si="28"/>
        <v>258.85610643317699</v>
      </c>
      <c r="BG34" s="17">
        <f t="shared" si="29"/>
        <v>-103.71676799923</v>
      </c>
      <c r="BI34">
        <v>70</v>
      </c>
      <c r="BJ34" t="s">
        <v>60</v>
      </c>
      <c r="BK34" s="2">
        <v>45917.754953703705</v>
      </c>
      <c r="BL34">
        <v>115</v>
      </c>
      <c r="BM34" t="s">
        <v>13</v>
      </c>
      <c r="BN34">
        <v>0</v>
      </c>
      <c r="BO34">
        <v>2.8690000000000002</v>
      </c>
      <c r="BP34" s="3">
        <v>987650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45918.442129629628</v>
      </c>
      <c r="D35">
        <v>309</v>
      </c>
      <c r="E35" t="s">
        <v>13</v>
      </c>
      <c r="F35">
        <v>0</v>
      </c>
      <c r="G35">
        <v>6.08</v>
      </c>
      <c r="H35" s="3">
        <v>1461</v>
      </c>
      <c r="I35">
        <v>4.0000000000000001E-3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45918.442129629628</v>
      </c>
      <c r="R35">
        <v>309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45918.442129629628</v>
      </c>
      <c r="AF35">
        <v>309</v>
      </c>
      <c r="AG35" t="s">
        <v>13</v>
      </c>
      <c r="AH35">
        <v>0</v>
      </c>
      <c r="AI35">
        <v>12.084</v>
      </c>
      <c r="AJ35" s="3">
        <v>233266</v>
      </c>
      <c r="AK35">
        <v>50.241</v>
      </c>
      <c r="AL35" t="s">
        <v>14</v>
      </c>
      <c r="AM35" t="s">
        <v>14</v>
      </c>
      <c r="AN35" t="s">
        <v>14</v>
      </c>
      <c r="AO35" t="s">
        <v>14</v>
      </c>
      <c r="AQ35">
        <v>2</v>
      </c>
      <c r="AR35" t="s">
        <v>72</v>
      </c>
      <c r="AS35" s="10">
        <v>71</v>
      </c>
      <c r="AT35" s="16">
        <f t="shared" si="20"/>
        <v>1.836330486852999</v>
      </c>
      <c r="AU35" s="17">
        <f t="shared" si="21"/>
        <v>50094.943855851277</v>
      </c>
      <c r="AW35" s="6">
        <f t="shared" si="22"/>
        <v>-0.2750651986999999</v>
      </c>
      <c r="AX35" s="7">
        <f t="shared" si="23"/>
        <v>46723.761757186883</v>
      </c>
      <c r="AZ35" s="11">
        <f t="shared" si="24"/>
        <v>6.9109763400000004</v>
      </c>
      <c r="BA35" s="12">
        <f t="shared" si="25"/>
        <v>53777.495405679598</v>
      </c>
      <c r="BC35" s="13">
        <f t="shared" si="26"/>
        <v>-0.10520047006000022</v>
      </c>
      <c r="BD35" s="14">
        <f t="shared" si="27"/>
        <v>46264.530767053329</v>
      </c>
      <c r="BF35" s="16">
        <f t="shared" si="28"/>
        <v>1.836330486852999</v>
      </c>
      <c r="BG35" s="17">
        <f t="shared" si="29"/>
        <v>50094.943855851277</v>
      </c>
      <c r="BI35">
        <v>71</v>
      </c>
      <c r="BJ35" t="s">
        <v>61</v>
      </c>
      <c r="BK35" s="2">
        <v>45918.442129629628</v>
      </c>
      <c r="BL35">
        <v>309</v>
      </c>
      <c r="BM35" t="s">
        <v>13</v>
      </c>
      <c r="BN35">
        <v>0</v>
      </c>
      <c r="BO35">
        <v>2.8439999999999999</v>
      </c>
      <c r="BP35" s="3">
        <v>1516873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45918.463333333333</v>
      </c>
      <c r="D36">
        <v>173</v>
      </c>
      <c r="E36" t="s">
        <v>13</v>
      </c>
      <c r="F36">
        <v>0</v>
      </c>
      <c r="G36">
        <v>6.048</v>
      </c>
      <c r="H36" s="3">
        <v>19567</v>
      </c>
      <c r="I36">
        <v>4.4999999999999998E-2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45918.463333333333</v>
      </c>
      <c r="R36">
        <v>173</v>
      </c>
      <c r="S36" t="s">
        <v>13</v>
      </c>
      <c r="T36">
        <v>0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45918.463333333333</v>
      </c>
      <c r="AF36">
        <v>173</v>
      </c>
      <c r="AG36" t="s">
        <v>13</v>
      </c>
      <c r="AH36">
        <v>0</v>
      </c>
      <c r="AI36">
        <v>12.298</v>
      </c>
      <c r="AJ36">
        <v>701</v>
      </c>
      <c r="AK36">
        <v>5.7000000000000002E-2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20"/>
        <v>55.556999850392998</v>
      </c>
      <c r="AU36" s="17">
        <f t="shared" si="21"/>
        <v>25.593586952930025</v>
      </c>
      <c r="AW36" s="6">
        <f t="shared" si="22"/>
        <v>43.442479852435937</v>
      </c>
      <c r="AX36" s="7">
        <f t="shared" si="23"/>
        <v>41.184159446479995</v>
      </c>
      <c r="AZ36" s="11">
        <f t="shared" si="24"/>
        <v>48.518598969847005</v>
      </c>
      <c r="BA36" s="12">
        <f t="shared" si="25"/>
        <v>149.09987200389997</v>
      </c>
      <c r="BC36" s="13">
        <f t="shared" si="26"/>
        <v>52.293160869176802</v>
      </c>
      <c r="BD36" s="14">
        <f t="shared" si="27"/>
        <v>177.77561422019997</v>
      </c>
      <c r="BF36" s="16">
        <f t="shared" si="28"/>
        <v>55.556999850392998</v>
      </c>
      <c r="BG36" s="17">
        <f t="shared" si="29"/>
        <v>25.593586952930025</v>
      </c>
      <c r="BI36">
        <v>72</v>
      </c>
      <c r="BJ36" t="s">
        <v>62</v>
      </c>
      <c r="BK36" s="2">
        <v>45918.463333333333</v>
      </c>
      <c r="BL36">
        <v>173</v>
      </c>
      <c r="BM36" t="s">
        <v>13</v>
      </c>
      <c r="BN36">
        <v>0</v>
      </c>
      <c r="BO36">
        <v>2.8620000000000001</v>
      </c>
      <c r="BP36" s="3">
        <v>1088606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45918.484548611108</v>
      </c>
      <c r="D37">
        <v>280</v>
      </c>
      <c r="E37" t="s">
        <v>13</v>
      </c>
      <c r="F37">
        <v>0</v>
      </c>
      <c r="G37">
        <v>6.0469999999999997</v>
      </c>
      <c r="H37" s="3">
        <v>79879</v>
      </c>
      <c r="I37">
        <v>0.18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45918.484548611108</v>
      </c>
      <c r="R37">
        <v>280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45918.484548611108</v>
      </c>
      <c r="AF37">
        <v>280</v>
      </c>
      <c r="AG37" t="s">
        <v>13</v>
      </c>
      <c r="AH37">
        <v>0</v>
      </c>
      <c r="AI37">
        <v>12.304</v>
      </c>
      <c r="AJ37" s="3">
        <v>220</v>
      </c>
      <c r="AK37">
        <v>-4.8000000000000001E-2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20"/>
        <v>215.736365829417</v>
      </c>
      <c r="AU37" s="17">
        <f t="shared" si="21"/>
        <v>-83.908374987999991</v>
      </c>
      <c r="AW37" s="6">
        <f t="shared" si="22"/>
        <v>184.57199407521387</v>
      </c>
      <c r="AX37" s="7">
        <f t="shared" si="23"/>
        <v>-58.227235168000007</v>
      </c>
      <c r="AZ37" s="11">
        <f t="shared" si="24"/>
        <v>222.58950463114303</v>
      </c>
      <c r="BA37" s="12">
        <f t="shared" si="25"/>
        <v>31.937924760000001</v>
      </c>
      <c r="BC37" s="13">
        <f t="shared" si="26"/>
        <v>225.4054879396792</v>
      </c>
      <c r="BD37" s="14">
        <f t="shared" si="27"/>
        <v>79.197105679999993</v>
      </c>
      <c r="BF37" s="16">
        <f t="shared" si="28"/>
        <v>215.736365829417</v>
      </c>
      <c r="BG37" s="17">
        <f t="shared" si="29"/>
        <v>-83.908374987999991</v>
      </c>
      <c r="BI37">
        <v>73</v>
      </c>
      <c r="BJ37" t="s">
        <v>63</v>
      </c>
      <c r="BK37" s="2">
        <v>45918.484548611108</v>
      </c>
      <c r="BL37">
        <v>280</v>
      </c>
      <c r="BM37" t="s">
        <v>13</v>
      </c>
      <c r="BN37">
        <v>0</v>
      </c>
      <c r="BO37">
        <v>2.8660000000000001</v>
      </c>
      <c r="BP37" s="3">
        <v>1014794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45918.50577546296</v>
      </c>
      <c r="D38">
        <v>401</v>
      </c>
      <c r="E38" t="s">
        <v>13</v>
      </c>
      <c r="F38">
        <v>0</v>
      </c>
      <c r="G38">
        <v>6.0830000000000002</v>
      </c>
      <c r="H38" s="3">
        <v>1765</v>
      </c>
      <c r="I38">
        <v>4.0000000000000001E-3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45918.50577546296</v>
      </c>
      <c r="R38">
        <v>401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45918.50577546296</v>
      </c>
      <c r="AF38">
        <v>401</v>
      </c>
      <c r="AG38" t="s">
        <v>13</v>
      </c>
      <c r="AH38">
        <v>0</v>
      </c>
      <c r="AI38">
        <v>12.2</v>
      </c>
      <c r="AJ38" s="3">
        <v>282866</v>
      </c>
      <c r="AK38">
        <v>60.731999999999999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10">
        <v>74</v>
      </c>
      <c r="AT38" s="16">
        <f t="shared" si="20"/>
        <v>2.903187605924999</v>
      </c>
      <c r="AU38" s="17">
        <f t="shared" si="21"/>
        <v>60472.190292587286</v>
      </c>
      <c r="AW38" s="6">
        <f t="shared" si="22"/>
        <v>0.12124069250000002</v>
      </c>
      <c r="AX38" s="7">
        <f t="shared" si="23"/>
        <v>56322.766000642878</v>
      </c>
      <c r="AZ38" s="11">
        <f t="shared" si="24"/>
        <v>5.9919964999999999</v>
      </c>
      <c r="BA38" s="12">
        <f t="shared" si="25"/>
        <v>65016.369385199607</v>
      </c>
      <c r="BC38" s="13">
        <f t="shared" si="26"/>
        <v>0.69654895649999915</v>
      </c>
      <c r="BD38" s="14">
        <f t="shared" si="27"/>
        <v>55881.839229837329</v>
      </c>
      <c r="BF38" s="16">
        <f t="shared" si="28"/>
        <v>2.903187605924999</v>
      </c>
      <c r="BG38" s="17">
        <f t="shared" si="29"/>
        <v>60472.190292587286</v>
      </c>
      <c r="BI38">
        <v>74</v>
      </c>
      <c r="BJ38" t="s">
        <v>64</v>
      </c>
      <c r="BK38" s="2">
        <v>45918.50577546296</v>
      </c>
      <c r="BL38">
        <v>401</v>
      </c>
      <c r="BM38" t="s">
        <v>13</v>
      </c>
      <c r="BN38">
        <v>0</v>
      </c>
      <c r="BO38">
        <v>2.863</v>
      </c>
      <c r="BP38" s="3">
        <v>1021987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65</v>
      </c>
      <c r="C39" s="2">
        <v>45918.527002314811</v>
      </c>
      <c r="D39">
        <v>175</v>
      </c>
      <c r="E39" t="s">
        <v>13</v>
      </c>
      <c r="F39">
        <v>0</v>
      </c>
      <c r="G39">
        <v>6.0460000000000003</v>
      </c>
      <c r="H39" s="3">
        <v>107841</v>
      </c>
      <c r="I39">
        <v>0.24299999999999999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45918.527002314811</v>
      </c>
      <c r="R39">
        <v>175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45918.527002314811</v>
      </c>
      <c r="AF39">
        <v>175</v>
      </c>
      <c r="AG39" t="s">
        <v>13</v>
      </c>
      <c r="AH39">
        <v>0</v>
      </c>
      <c r="AI39">
        <v>12.273</v>
      </c>
      <c r="AJ39" s="3">
        <v>1577</v>
      </c>
      <c r="AK39">
        <v>0.249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10">
        <v>75</v>
      </c>
      <c r="AT39" s="16">
        <f t="shared" si="20"/>
        <v>289.34995582309693</v>
      </c>
      <c r="AU39" s="17">
        <f t="shared" si="21"/>
        <v>224.96086639396998</v>
      </c>
      <c r="AW39" s="6">
        <f t="shared" si="22"/>
        <v>249.80401346962825</v>
      </c>
      <c r="AX39" s="7">
        <f t="shared" si="23"/>
        <v>222.20243357191998</v>
      </c>
      <c r="AZ39" s="11">
        <f t="shared" si="24"/>
        <v>299.40015561986297</v>
      </c>
      <c r="BA39" s="12">
        <f t="shared" si="25"/>
        <v>361.9337116831</v>
      </c>
      <c r="BC39" s="13">
        <f t="shared" si="26"/>
        <v>304.95140704604717</v>
      </c>
      <c r="BD39" s="14">
        <f t="shared" si="27"/>
        <v>357.23628164579998</v>
      </c>
      <c r="BF39" s="16">
        <f t="shared" si="28"/>
        <v>289.34995582309693</v>
      </c>
      <c r="BG39" s="17">
        <f t="shared" si="29"/>
        <v>224.96086639396998</v>
      </c>
      <c r="BI39">
        <v>75</v>
      </c>
      <c r="BJ39" t="s">
        <v>65</v>
      </c>
      <c r="BK39" s="2">
        <v>45918.527002314811</v>
      </c>
      <c r="BL39">
        <v>175</v>
      </c>
      <c r="BM39" t="s">
        <v>13</v>
      </c>
      <c r="BN39">
        <v>0</v>
      </c>
      <c r="BO39">
        <v>2.8639999999999999</v>
      </c>
      <c r="BP39" s="3">
        <v>1066063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76</v>
      </c>
      <c r="B40" t="s">
        <v>66</v>
      </c>
      <c r="C40" s="2">
        <v>45918.548206018517</v>
      </c>
      <c r="D40">
        <v>71</v>
      </c>
      <c r="E40" t="s">
        <v>13</v>
      </c>
      <c r="F40">
        <v>0</v>
      </c>
      <c r="G40">
        <v>6.0469999999999997</v>
      </c>
      <c r="H40" s="3">
        <v>105934</v>
      </c>
      <c r="I40">
        <v>0.23899999999999999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66</v>
      </c>
      <c r="Q40" s="2">
        <v>45918.548206018517</v>
      </c>
      <c r="R40">
        <v>71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66</v>
      </c>
      <c r="AE40" s="2">
        <v>45918.548206018517</v>
      </c>
      <c r="AF40">
        <v>71</v>
      </c>
      <c r="AG40" t="s">
        <v>13</v>
      </c>
      <c r="AH40">
        <v>0</v>
      </c>
      <c r="AI40">
        <v>12.284000000000001</v>
      </c>
      <c r="AJ40" s="3">
        <v>4553</v>
      </c>
      <c r="AK40">
        <v>0.90200000000000002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10">
        <v>76</v>
      </c>
      <c r="AT40" s="16">
        <f t="shared" si="20"/>
        <v>284.34259875037196</v>
      </c>
      <c r="AU40" s="17">
        <f t="shared" si="21"/>
        <v>901.70088827237009</v>
      </c>
      <c r="AW40" s="6">
        <f t="shared" si="22"/>
        <v>245.35921112484775</v>
      </c>
      <c r="AX40" s="7">
        <f t="shared" si="23"/>
        <v>836.87607527431999</v>
      </c>
      <c r="AZ40" s="11">
        <f t="shared" si="24"/>
        <v>294.24004851458801</v>
      </c>
      <c r="BA40" s="12">
        <f t="shared" si="25"/>
        <v>1079.7571341150999</v>
      </c>
      <c r="BC40" s="13">
        <f t="shared" si="26"/>
        <v>299.54074883158717</v>
      </c>
      <c r="BD40" s="14">
        <f t="shared" si="27"/>
        <v>966.22535742179991</v>
      </c>
      <c r="BF40" s="16">
        <f t="shared" si="28"/>
        <v>284.34259875037196</v>
      </c>
      <c r="BG40" s="17">
        <f t="shared" si="29"/>
        <v>901.70088827237009</v>
      </c>
      <c r="BI40">
        <v>76</v>
      </c>
      <c r="BJ40" t="s">
        <v>66</v>
      </c>
      <c r="BK40" s="2">
        <v>45918.548206018517</v>
      </c>
      <c r="BL40">
        <v>71</v>
      </c>
      <c r="BM40" t="s">
        <v>13</v>
      </c>
      <c r="BN40">
        <v>0</v>
      </c>
      <c r="BO40">
        <v>2.8650000000000002</v>
      </c>
      <c r="BP40" s="3">
        <v>1043731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A41">
        <v>77</v>
      </c>
      <c r="B41" t="s">
        <v>67</v>
      </c>
      <c r="C41" s="2">
        <v>45918.569421296299</v>
      </c>
      <c r="D41">
        <v>323</v>
      </c>
      <c r="E41" t="s">
        <v>13</v>
      </c>
      <c r="F41">
        <v>0</v>
      </c>
      <c r="G41">
        <v>6.0490000000000004</v>
      </c>
      <c r="H41" s="3">
        <v>42494</v>
      </c>
      <c r="I41">
        <v>9.6000000000000002E-2</v>
      </c>
      <c r="J41" t="s">
        <v>14</v>
      </c>
      <c r="K41" t="s">
        <v>14</v>
      </c>
      <c r="L41" t="s">
        <v>14</v>
      </c>
      <c r="M41" t="s">
        <v>14</v>
      </c>
      <c r="O41">
        <v>77</v>
      </c>
      <c r="P41" t="s">
        <v>67</v>
      </c>
      <c r="Q41" s="2">
        <v>45918.569421296299</v>
      </c>
      <c r="R41">
        <v>323</v>
      </c>
      <c r="S41" t="s">
        <v>13</v>
      </c>
      <c r="T41">
        <v>0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C41">
        <v>77</v>
      </c>
      <c r="AD41" t="s">
        <v>67</v>
      </c>
      <c r="AE41" s="2">
        <v>45918.569421296299</v>
      </c>
      <c r="AF41">
        <v>323</v>
      </c>
      <c r="AG41" t="s">
        <v>13</v>
      </c>
      <c r="AH41">
        <v>0</v>
      </c>
      <c r="AI41">
        <v>12.233000000000001</v>
      </c>
      <c r="AJ41" s="3">
        <v>922</v>
      </c>
      <c r="AK41">
        <v>0.106</v>
      </c>
      <c r="AL41" t="s">
        <v>14</v>
      </c>
      <c r="AM41" t="s">
        <v>14</v>
      </c>
      <c r="AN41" t="s">
        <v>14</v>
      </c>
      <c r="AO41" t="s">
        <v>14</v>
      </c>
      <c r="AQ41">
        <v>1</v>
      </c>
      <c r="AS41" s="10">
        <v>77</v>
      </c>
      <c r="AT41" s="16">
        <f t="shared" si="20"/>
        <v>116.672998370532</v>
      </c>
      <c r="AU41" s="17">
        <f t="shared" si="21"/>
        <v>75.89768637812</v>
      </c>
      <c r="AW41" s="6">
        <f t="shared" si="22"/>
        <v>97.160477697500554</v>
      </c>
      <c r="AX41" s="7">
        <f t="shared" si="23"/>
        <v>86.855705856319972</v>
      </c>
      <c r="AZ41" s="11">
        <f t="shared" si="24"/>
        <v>116.04158996322801</v>
      </c>
      <c r="BA41" s="12">
        <f t="shared" si="25"/>
        <v>202.86027668759999</v>
      </c>
      <c r="BC41" s="13">
        <f t="shared" si="26"/>
        <v>118.3476082776032</v>
      </c>
      <c r="BD41" s="14">
        <f t="shared" si="27"/>
        <v>223.05916497679999</v>
      </c>
      <c r="BF41" s="16">
        <f t="shared" si="28"/>
        <v>116.672998370532</v>
      </c>
      <c r="BG41" s="17">
        <f t="shared" si="29"/>
        <v>75.89768637812</v>
      </c>
      <c r="BI41">
        <v>77</v>
      </c>
      <c r="BJ41" t="s">
        <v>67</v>
      </c>
      <c r="BK41" s="2">
        <v>45918.569421296299</v>
      </c>
      <c r="BL41">
        <v>323</v>
      </c>
      <c r="BM41" t="s">
        <v>13</v>
      </c>
      <c r="BN41">
        <v>0</v>
      </c>
      <c r="BO41">
        <v>2.8690000000000002</v>
      </c>
      <c r="BP41" s="3">
        <v>974961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35">
      <c r="A42">
        <v>78</v>
      </c>
      <c r="B42" t="s">
        <v>68</v>
      </c>
      <c r="C42" s="2">
        <v>45918.590671296297</v>
      </c>
      <c r="D42">
        <v>199</v>
      </c>
      <c r="E42" t="s">
        <v>13</v>
      </c>
      <c r="F42">
        <v>0</v>
      </c>
      <c r="G42">
        <v>6.0540000000000003</v>
      </c>
      <c r="H42" s="3">
        <v>85680</v>
      </c>
      <c r="I42">
        <v>0.19400000000000001</v>
      </c>
      <c r="J42" t="s">
        <v>14</v>
      </c>
      <c r="K42" t="s">
        <v>14</v>
      </c>
      <c r="L42" t="s">
        <v>14</v>
      </c>
      <c r="M42" t="s">
        <v>14</v>
      </c>
      <c r="O42">
        <v>78</v>
      </c>
      <c r="P42" t="s">
        <v>68</v>
      </c>
      <c r="Q42" s="2">
        <v>45918.590671296297</v>
      </c>
      <c r="R42">
        <v>199</v>
      </c>
      <c r="S42" t="s">
        <v>13</v>
      </c>
      <c r="T42">
        <v>0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C42">
        <v>78</v>
      </c>
      <c r="AD42" t="s">
        <v>68</v>
      </c>
      <c r="AE42" s="2">
        <v>45918.590671296297</v>
      </c>
      <c r="AF42">
        <v>199</v>
      </c>
      <c r="AG42" t="s">
        <v>13</v>
      </c>
      <c r="AH42">
        <v>0</v>
      </c>
      <c r="AI42">
        <v>12.303000000000001</v>
      </c>
      <c r="AJ42">
        <v>937</v>
      </c>
      <c r="AK42">
        <v>0.109</v>
      </c>
      <c r="AL42" t="s">
        <v>14</v>
      </c>
      <c r="AM42" t="s">
        <v>14</v>
      </c>
      <c r="AN42" t="s">
        <v>14</v>
      </c>
      <c r="AO42" t="s">
        <v>14</v>
      </c>
      <c r="AQ42">
        <v>1</v>
      </c>
      <c r="AS42" s="10">
        <v>78</v>
      </c>
      <c r="AT42" s="16">
        <f t="shared" si="20"/>
        <v>231.04206058879998</v>
      </c>
      <c r="AU42" s="17">
        <f t="shared" si="21"/>
        <v>79.311818061170015</v>
      </c>
      <c r="AW42" s="6">
        <f t="shared" si="22"/>
        <v>198.11539083430398</v>
      </c>
      <c r="AX42" s="7">
        <f t="shared" si="23"/>
        <v>89.955494231119999</v>
      </c>
      <c r="AZ42" s="11">
        <f t="shared" si="24"/>
        <v>238.72738459520002</v>
      </c>
      <c r="BA42" s="12">
        <f t="shared" si="25"/>
        <v>206.5075583391</v>
      </c>
      <c r="BC42" s="13">
        <f t="shared" si="26"/>
        <v>241.94522117888002</v>
      </c>
      <c r="BD42" s="14">
        <f t="shared" si="27"/>
        <v>226.13249745379997</v>
      </c>
      <c r="BF42" s="16">
        <f t="shared" si="28"/>
        <v>231.04206058879998</v>
      </c>
      <c r="BG42" s="17">
        <f t="shared" si="29"/>
        <v>79.311818061170015</v>
      </c>
      <c r="BI42">
        <v>78</v>
      </c>
      <c r="BJ42" t="s">
        <v>68</v>
      </c>
      <c r="BK42" s="2">
        <v>45918.590671296297</v>
      </c>
      <c r="BL42">
        <v>199</v>
      </c>
      <c r="BM42" t="s">
        <v>13</v>
      </c>
      <c r="BN42">
        <v>0</v>
      </c>
      <c r="BO42">
        <v>2.8639999999999999</v>
      </c>
      <c r="BP42" s="3">
        <v>1194595</v>
      </c>
      <c r="BQ42">
        <v>0</v>
      </c>
      <c r="BR42" t="s">
        <v>14</v>
      </c>
      <c r="BS42" t="s">
        <v>14</v>
      </c>
      <c r="BT42" t="s">
        <v>14</v>
      </c>
      <c r="BU42" t="s">
        <v>14</v>
      </c>
    </row>
    <row r="43" spans="1:73" x14ac:dyDescent="0.35">
      <c r="A43">
        <v>79</v>
      </c>
      <c r="B43" t="s">
        <v>69</v>
      </c>
      <c r="C43" s="2">
        <v>45918.611909722225</v>
      </c>
      <c r="D43">
        <v>252</v>
      </c>
      <c r="E43" t="s">
        <v>13</v>
      </c>
      <c r="F43">
        <v>0</v>
      </c>
      <c r="G43">
        <v>6.0590000000000002</v>
      </c>
      <c r="H43" s="3">
        <v>4573</v>
      </c>
      <c r="I43">
        <v>1.0999999999999999E-2</v>
      </c>
      <c r="J43" t="s">
        <v>14</v>
      </c>
      <c r="K43" t="s">
        <v>14</v>
      </c>
      <c r="L43" t="s">
        <v>14</v>
      </c>
      <c r="M43" t="s">
        <v>14</v>
      </c>
      <c r="O43">
        <v>79</v>
      </c>
      <c r="P43" t="s">
        <v>69</v>
      </c>
      <c r="Q43" s="2">
        <v>45918.611909722225</v>
      </c>
      <c r="R43">
        <v>252</v>
      </c>
      <c r="S43" t="s">
        <v>13</v>
      </c>
      <c r="T43">
        <v>0</v>
      </c>
      <c r="U43" t="s">
        <v>14</v>
      </c>
      <c r="V43" t="s">
        <v>14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C43">
        <v>79</v>
      </c>
      <c r="AD43" t="s">
        <v>69</v>
      </c>
      <c r="AE43" s="2">
        <v>45918.611909722225</v>
      </c>
      <c r="AF43">
        <v>252</v>
      </c>
      <c r="AG43" t="s">
        <v>13</v>
      </c>
      <c r="AH43">
        <v>0</v>
      </c>
      <c r="AI43">
        <v>12.279</v>
      </c>
      <c r="AJ43" s="3">
        <v>4541</v>
      </c>
      <c r="AK43">
        <v>0.9</v>
      </c>
      <c r="AL43" t="s">
        <v>14</v>
      </c>
      <c r="AM43" t="s">
        <v>14</v>
      </c>
      <c r="AN43" t="s">
        <v>14</v>
      </c>
      <c r="AO43" t="s">
        <v>14</v>
      </c>
      <c r="AQ43">
        <v>1</v>
      </c>
      <c r="AS43" s="10">
        <v>79</v>
      </c>
      <c r="AT43" s="16">
        <f t="shared" si="20"/>
        <v>12.831794410197</v>
      </c>
      <c r="AU43" s="17">
        <f t="shared" si="21"/>
        <v>898.97384318333002</v>
      </c>
      <c r="AW43" s="6">
        <f t="shared" si="22"/>
        <v>5.0515591037000007</v>
      </c>
      <c r="AX43" s="7">
        <f t="shared" si="23"/>
        <v>834.39846022087988</v>
      </c>
      <c r="AZ43" s="11">
        <f t="shared" si="24"/>
        <v>2.2223126599999983</v>
      </c>
      <c r="BA43" s="12">
        <f t="shared" si="25"/>
        <v>1076.8789073958999</v>
      </c>
      <c r="BC43" s="13">
        <f t="shared" si="26"/>
        <v>8.6014994790599992</v>
      </c>
      <c r="BD43" s="14">
        <f t="shared" si="27"/>
        <v>963.77188327620001</v>
      </c>
      <c r="BF43" s="16">
        <f t="shared" si="28"/>
        <v>12.831794410197</v>
      </c>
      <c r="BG43" s="17">
        <f t="shared" si="29"/>
        <v>898.97384318333002</v>
      </c>
      <c r="BI43">
        <v>79</v>
      </c>
      <c r="BJ43" t="s">
        <v>69</v>
      </c>
      <c r="BK43" s="2">
        <v>45918.611909722225</v>
      </c>
      <c r="BL43">
        <v>252</v>
      </c>
      <c r="BM43" t="s">
        <v>13</v>
      </c>
      <c r="BN43">
        <v>0</v>
      </c>
      <c r="BO43">
        <v>2.8620000000000001</v>
      </c>
      <c r="BP43" s="3">
        <v>1115366</v>
      </c>
      <c r="BQ43">
        <v>0</v>
      </c>
      <c r="BR43" t="s">
        <v>14</v>
      </c>
      <c r="BS43" t="s">
        <v>14</v>
      </c>
      <c r="BT43" t="s">
        <v>14</v>
      </c>
      <c r="BU43" t="s">
        <v>14</v>
      </c>
    </row>
    <row r="44" spans="1:73" x14ac:dyDescent="0.35">
      <c r="A44">
        <v>80</v>
      </c>
      <c r="B44" t="s">
        <v>70</v>
      </c>
      <c r="C44" s="2">
        <v>45918.633148148147</v>
      </c>
      <c r="D44">
        <v>91</v>
      </c>
      <c r="E44" t="s">
        <v>13</v>
      </c>
      <c r="F44">
        <v>0</v>
      </c>
      <c r="G44">
        <v>5.8579999999999997</v>
      </c>
      <c r="H44" s="3">
        <v>56605529</v>
      </c>
      <c r="I44">
        <v>152.69900000000001</v>
      </c>
      <c r="J44" t="s">
        <v>14</v>
      </c>
      <c r="K44" t="s">
        <v>14</v>
      </c>
      <c r="L44" t="s">
        <v>14</v>
      </c>
      <c r="M44" t="s">
        <v>14</v>
      </c>
      <c r="O44">
        <v>80</v>
      </c>
      <c r="P44" t="s">
        <v>70</v>
      </c>
      <c r="Q44" s="2">
        <v>45918.633148148147</v>
      </c>
      <c r="R44">
        <v>91</v>
      </c>
      <c r="S44" t="s">
        <v>13</v>
      </c>
      <c r="T44">
        <v>0</v>
      </c>
      <c r="U44">
        <v>5.8319999999999999</v>
      </c>
      <c r="V44" s="3">
        <v>555278</v>
      </c>
      <c r="W44">
        <v>132.98599999999999</v>
      </c>
      <c r="X44" t="s">
        <v>14</v>
      </c>
      <c r="Y44" t="s">
        <v>14</v>
      </c>
      <c r="Z44" t="s">
        <v>14</v>
      </c>
      <c r="AA44" t="s">
        <v>14</v>
      </c>
      <c r="AC44">
        <v>80</v>
      </c>
      <c r="AD44" t="s">
        <v>70</v>
      </c>
      <c r="AE44" s="2">
        <v>45918.633148148147</v>
      </c>
      <c r="AF44">
        <v>91</v>
      </c>
      <c r="AG44" t="s">
        <v>13</v>
      </c>
      <c r="AH44">
        <v>0</v>
      </c>
      <c r="AI44">
        <v>12.137</v>
      </c>
      <c r="AJ44" s="3">
        <v>150085</v>
      </c>
      <c r="AK44">
        <v>32.484000000000002</v>
      </c>
      <c r="AL44" t="s">
        <v>14</v>
      </c>
      <c r="AM44" t="s">
        <v>14</v>
      </c>
      <c r="AN44" t="s">
        <v>14</v>
      </c>
      <c r="AO44" t="s">
        <v>14</v>
      </c>
      <c r="AQ44">
        <v>1</v>
      </c>
      <c r="AS44" s="10">
        <v>80</v>
      </c>
      <c r="AT44" s="16">
        <f t="shared" si="20"/>
        <v>132096.13371514023</v>
      </c>
      <c r="AU44" s="17">
        <f t="shared" si="21"/>
        <v>32574.628613270499</v>
      </c>
      <c r="AW44" s="6">
        <f t="shared" si="22"/>
        <v>131460.48752183604</v>
      </c>
      <c r="AX44" s="7">
        <f t="shared" si="23"/>
        <v>30344.018555617997</v>
      </c>
      <c r="AZ44" s="11">
        <f t="shared" si="24"/>
        <v>135230.13385432001</v>
      </c>
      <c r="BA44" s="12">
        <f t="shared" si="25"/>
        <v>34477.761254497498</v>
      </c>
      <c r="BC44" s="13">
        <f t="shared" si="26"/>
        <v>143599.69042419601</v>
      </c>
      <c r="BD44" s="14">
        <f t="shared" si="27"/>
        <v>29870.54756138325</v>
      </c>
      <c r="BF44" s="16">
        <f t="shared" si="28"/>
        <v>132096.13371514023</v>
      </c>
      <c r="BG44" s="17">
        <f t="shared" si="29"/>
        <v>32574.628613270499</v>
      </c>
      <c r="BI44">
        <v>80</v>
      </c>
      <c r="BJ44" t="s">
        <v>70</v>
      </c>
      <c r="BK44" s="2">
        <v>45918.633148148147</v>
      </c>
      <c r="BL44">
        <v>91</v>
      </c>
      <c r="BM44" t="s">
        <v>13</v>
      </c>
      <c r="BN44">
        <v>0</v>
      </c>
      <c r="BO44">
        <v>2.8759999999999999</v>
      </c>
      <c r="BP44" s="3">
        <v>722230</v>
      </c>
      <c r="BQ44">
        <v>0</v>
      </c>
      <c r="BR44" t="s">
        <v>14</v>
      </c>
      <c r="BS44" t="s">
        <v>14</v>
      </c>
      <c r="BT44" t="s">
        <v>14</v>
      </c>
      <c r="BU44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2025-09-19T15:21:42Z</dcterms:modified>
</cp:coreProperties>
</file>