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DXE mesocosms\"/>
    </mc:Choice>
  </mc:AlternateContent>
  <xr:revisionPtr revIDLastSave="0" documentId="13_ncr:1_{34978113-14D8-476F-8C4D-1624DE766ED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32" i="1" l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9" i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</calcChain>
</file>

<file path=xl/sharedStrings.xml><?xml version="1.0" encoding="utf-8"?>
<sst xmlns="http://schemas.openxmlformats.org/spreadsheetml/2006/main" count="980" uniqueCount="70">
  <si>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</si>
  <si>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</si>
  <si>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</si>
  <si>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</si>
  <si>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</si>
  <si>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</si>
  <si>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</si>
  <si>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</si>
  <si>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</si>
  <si>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</si>
  <si>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</si>
  <si>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</si>
  <si>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</si>
  <si>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</si>
  <si>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</si>
  <si>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</si>
  <si>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</si>
  <si>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</si>
  <si>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</si>
  <si>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</si>
  <si>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</si>
  <si>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</si>
  <si>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</si>
  <si>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</si>
  <si>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</si>
  <si>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</si>
  <si>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</si>
  <si>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</si>
  <si>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</si>
  <si>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</si>
  <si>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</si>
  <si>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</si>
  <si>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</si>
  <si>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</si>
  <si>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FMI20250708_001.gcd</t>
  </si>
  <si>
    <t>QC outside air</t>
  </si>
  <si>
    <t>FMI20250708_002.gcd</t>
  </si>
  <si>
    <t>FMI20250708_003.gcd</t>
  </si>
  <si>
    <t>FMI20250708_004.gcd</t>
  </si>
  <si>
    <t>FMI20250708_005.gcd</t>
  </si>
  <si>
    <t>FMI20250708_006.gcd</t>
  </si>
  <si>
    <t>FMI20250708_007.gcd</t>
  </si>
  <si>
    <t>FMI20250708_008.gcd</t>
  </si>
  <si>
    <t>FMI20250708_009.gcd</t>
  </si>
  <si>
    <t>FMI20250708_010.gcd</t>
  </si>
  <si>
    <t>FMI20250708_011.gcd</t>
  </si>
  <si>
    <t>FMI20250708_012.gcd</t>
  </si>
  <si>
    <t>FMI20250708_013.gcd</t>
  </si>
  <si>
    <t>FMI20250708_014.gcd</t>
  </si>
  <si>
    <t>FMI20250708_015.gcd</t>
  </si>
  <si>
    <t>FMI20250708_016.gcd</t>
  </si>
  <si>
    <t>FMI20250708_017.gcd</t>
  </si>
  <si>
    <t>FMI20250708_018.gcd</t>
  </si>
  <si>
    <t>FMI20250708_019.gcd</t>
  </si>
  <si>
    <t>FMI20250708_020.gcd</t>
  </si>
  <si>
    <t>FMI20250708_021.gcd</t>
  </si>
  <si>
    <t>FMI20250708_022.gcd</t>
  </si>
  <si>
    <t>FMI20250708_023.gcd</t>
  </si>
  <si>
    <t>FMI20250709_001.gcd</t>
  </si>
  <si>
    <t>FMI20250709_002.gcd</t>
  </si>
  <si>
    <t>FMI20250709_003.gcd</t>
  </si>
  <si>
    <t>FMI20250709_004.gcd</t>
  </si>
  <si>
    <t>FMI20250709_005.gcd</t>
  </si>
  <si>
    <t>FMI20250709_006.gcd</t>
  </si>
  <si>
    <t>FMI20250709_007.gcd</t>
  </si>
  <si>
    <t>FMI20250709_008.gcd</t>
  </si>
  <si>
    <t>FMI20250709_009.gcd</t>
  </si>
  <si>
    <t>FMI20250709_010.gcd</t>
  </si>
  <si>
    <t>Reinjection. Use CO2. Do not use CH4.</t>
  </si>
  <si>
    <t>CO2 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</si>
</sst>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6"/>
  <sheetViews>
    <sheetView tabSelected="1" topLeftCell="A6" workbookViewId="0">
      <selection activeCell="A32" sqref="A32:XFD3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45846.564166666663</v>
      </c>
      <c r="D9" t="s">
        <v>35</v>
      </c>
      <c r="E9" t="s">
        <v>13</v>
      </c>
      <c r="F9">
        <v>0</v>
      </c>
      <c r="G9">
        <v>6.0540000000000003</v>
      </c>
      <c r="H9" s="3">
        <v>2262</v>
      </c>
      <c r="I9">
        <v>6.0000000000000001E-3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45846.564166666663</v>
      </c>
      <c r="R9" t="s">
        <v>35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45846.564166666663</v>
      </c>
      <c r="AF9" t="s">
        <v>35</v>
      </c>
      <c r="AG9" t="s">
        <v>13</v>
      </c>
      <c r="AH9">
        <v>0</v>
      </c>
      <c r="AI9">
        <v>12.249000000000001</v>
      </c>
      <c r="AJ9" s="3">
        <v>2463</v>
      </c>
      <c r="AK9">
        <v>0.44400000000000001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5">
        <f t="shared" ref="AT9:AT31" si="0">IF(H9&lt;10000,((H9^2*0.000000008493)+(H9*0.003482)+(-3.269)),(IF(H9&lt;200000,((H9^2*-0.000000000263)+(H9*0.002682)+(3.179)),(IF(H9&lt;8000000,((H9^2*-0.000000000005099)+(H9*0.002054)+(174.8)),((V9^2*-0.00000001014)+(V9*0.2415)+(1123)))))))</f>
        <v>4.6507396574920001</v>
      </c>
      <c r="AU9" s="16">
        <f t="shared" ref="AU9:AU31" si="1">IF(AJ9&lt;45000,((-0.00000004907*AJ9^2)+(0.2277*AJ9)+(-134)),((-0.00000001062*AJ9^2)+(0.2147*AJ9)+(590.6)))</f>
        <v>426.52742327317003</v>
      </c>
      <c r="AW9" s="6">
        <f t="shared" ref="AW9:AW31" si="2">IF(H9&lt;10000,((0.0000001453*H9^2)+(0.0008349*H9)+(-1.805)),(IF(H9&lt;700000,((-0.00000000008054*H9^2)+(0.002348*H9)+(-2.47)), ((-0.00000001938*V9^2)+(0.2471*V9)+(226.8)))))</f>
        <v>0.82699217320000007</v>
      </c>
      <c r="AX9" s="7">
        <f t="shared" ref="AX9:AX31" si="3">(-0.00000002552*AJ9^2)+(0.2067*AJ9)+(-103.7)</f>
        <v>405.24728626312003</v>
      </c>
      <c r="AZ9" s="11">
        <f t="shared" ref="AZ9:AZ31" si="4">IF(H9&lt;10000,((H9^2*0.00000054)+(H9*-0.004765)+(12.72)),(IF(H9&lt;200000,((H9^2*-0.000000001577)+(H9*0.003043)+(-10.42)),(IF(H9&lt;8000000,((H9^2*-0.0000000000186)+(H9*0.00194)+(154.1)),((V9^2*-0.00000002)+(V9*0.2565)+(-1032)))))))</f>
        <v>4.7045577600000001</v>
      </c>
      <c r="BA9" s="12">
        <f t="shared" ref="BA9:BA31" si="5">IF(AJ9&lt;45000,((-0.0000004561*AJ9^2)+(0.244*AJ9)+(-21.72)),((-0.0000000409*AJ9^2)+(0.2477*AJ9)+(-1777)))</f>
        <v>576.48512909909994</v>
      </c>
      <c r="BC9" s="13">
        <f t="shared" ref="BC9:BC31" si="6">IF(H9&lt;10000,((H9^2*0.00000005714)+(H9*0.002453)+(-3.811)),(IF(H9&lt;200000,((H9^2*-0.0000000002888)+(H9*0.002899)+(-4.321)),(IF(H9&lt;8000000,((H9^2*-0.0000000000062)+(H9*0.002143)+(157)),((V9^2*-0.000000031)+(V9*0.2771)+(-709.5)))))))</f>
        <v>2.0300510381599999</v>
      </c>
      <c r="BD9" s="14">
        <f t="shared" ref="BD9:BD31" si="7">IF(AJ9&lt;45000,((-0.0000000598*AJ9^2)+(0.205*AJ9)+(34.1)),((-0.00000002403*AJ9^2)+(0.2063*AJ9)+(-550.7)))</f>
        <v>538.6522311338</v>
      </c>
      <c r="BF9" s="15">
        <f t="shared" ref="BF9:BF31" si="8">IF(H9&lt;10000,((H9^2*0.000000008493)+(H9*0.003482)+(-3.269)),(IF(H9&lt;200000,((H9^2*-0.000000000263)+(H9*0.002682)+(3.179)),(IF(H9&lt;8000000,((H9^2*-0.000000000005099)+(H9*0.002054)+(174.8)),((V9^2*-0.00000001014)+(V9*0.2415)+(1123)))))))</f>
        <v>4.6507396574920001</v>
      </c>
      <c r="BG9" s="16">
        <f t="shared" ref="BG9:BG31" si="9">IF(AJ9&lt;45000,((-0.00000004907*AJ9^2)+(0.2277*AJ9)+(-134)),((-0.00000001062*AJ9^2)+(0.2147*AJ9)+(590.6)))</f>
        <v>426.52742327317003</v>
      </c>
      <c r="BI9">
        <v>45</v>
      </c>
      <c r="BJ9" t="s">
        <v>34</v>
      </c>
      <c r="BK9" s="2">
        <v>45846.564166666663</v>
      </c>
      <c r="BL9" t="s">
        <v>35</v>
      </c>
      <c r="BM9" t="s">
        <v>13</v>
      </c>
      <c r="BN9">
        <v>0</v>
      </c>
      <c r="BO9">
        <v>2.7010000000000001</v>
      </c>
      <c r="BP9" s="3">
        <v>5133980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45846.585439814815</v>
      </c>
      <c r="D10" t="s">
        <v>29</v>
      </c>
      <c r="E10" t="s">
        <v>13</v>
      </c>
      <c r="F10">
        <v>0</v>
      </c>
      <c r="G10">
        <v>5.9939999999999998</v>
      </c>
      <c r="H10" s="3">
        <v>1130943</v>
      </c>
      <c r="I10">
        <v>2.556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45846.585439814815</v>
      </c>
      <c r="R10" t="s">
        <v>29</v>
      </c>
      <c r="S10" t="s">
        <v>13</v>
      </c>
      <c r="T10">
        <v>0</v>
      </c>
      <c r="U10">
        <v>5.9420000000000002</v>
      </c>
      <c r="V10" s="3">
        <v>8897</v>
      </c>
      <c r="W10">
        <v>2.2909999999999999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45846.585439814815</v>
      </c>
      <c r="AF10" t="s">
        <v>29</v>
      </c>
      <c r="AG10" t="s">
        <v>13</v>
      </c>
      <c r="AH10">
        <v>0</v>
      </c>
      <c r="AI10">
        <v>12.21</v>
      </c>
      <c r="AJ10" s="3">
        <v>8064</v>
      </c>
      <c r="AK10">
        <v>1.6719999999999999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5">
        <f t="shared" si="0"/>
        <v>2491.2351374788996</v>
      </c>
      <c r="AU10" s="16">
        <f t="shared" si="1"/>
        <v>1698.98187132928</v>
      </c>
      <c r="AW10" s="6">
        <f t="shared" si="2"/>
        <v>2423.7146449175802</v>
      </c>
      <c r="AX10" s="7">
        <f t="shared" si="3"/>
        <v>1561.46928299008</v>
      </c>
      <c r="AZ10" s="11">
        <f t="shared" si="4"/>
        <v>2324.339423511969</v>
      </c>
      <c r="BA10" s="12">
        <f t="shared" si="5"/>
        <v>1916.2366854144</v>
      </c>
      <c r="BC10" s="13">
        <f t="shared" si="6"/>
        <v>2572.6808501706564</v>
      </c>
      <c r="BD10" s="14">
        <f t="shared" si="7"/>
        <v>1683.3313198591998</v>
      </c>
      <c r="BF10" s="15">
        <f t="shared" si="8"/>
        <v>2491.2351374788996</v>
      </c>
      <c r="BG10" s="16">
        <f t="shared" si="9"/>
        <v>1698.98187132928</v>
      </c>
      <c r="BI10">
        <v>46</v>
      </c>
      <c r="BJ10" t="s">
        <v>36</v>
      </c>
      <c r="BK10" s="2">
        <v>45846.585439814815</v>
      </c>
      <c r="BL10" t="s">
        <v>29</v>
      </c>
      <c r="BM10" t="s">
        <v>13</v>
      </c>
      <c r="BN10">
        <v>0</v>
      </c>
      <c r="BO10">
        <v>2.7010000000000001</v>
      </c>
      <c r="BP10" s="3">
        <v>5067615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45846.606712962966</v>
      </c>
      <c r="D11" t="s">
        <v>28</v>
      </c>
      <c r="E11" t="s">
        <v>13</v>
      </c>
      <c r="F11">
        <v>0</v>
      </c>
      <c r="G11">
        <v>6.0289999999999999</v>
      </c>
      <c r="H11" s="3">
        <v>3862</v>
      </c>
      <c r="I11">
        <v>8.9999999999999993E-3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45846.606712962966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45846.606712962966</v>
      </c>
      <c r="AF11" t="s">
        <v>28</v>
      </c>
      <c r="AG11" t="s">
        <v>13</v>
      </c>
      <c r="AH11">
        <v>0</v>
      </c>
      <c r="AI11">
        <v>12.239000000000001</v>
      </c>
      <c r="AJ11" s="3">
        <v>1691</v>
      </c>
      <c r="AK11">
        <v>0.27400000000000002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5">
        <f t="shared" si="0"/>
        <v>10.305157468691998</v>
      </c>
      <c r="AU11" s="16">
        <f t="shared" si="1"/>
        <v>250.90038526733002</v>
      </c>
      <c r="AW11" s="6">
        <f t="shared" si="2"/>
        <v>3.5865396932000007</v>
      </c>
      <c r="AX11" s="7">
        <f t="shared" si="3"/>
        <v>245.75672604488</v>
      </c>
      <c r="AZ11" s="11">
        <f t="shared" si="4"/>
        <v>2.3716937600000012</v>
      </c>
      <c r="BA11" s="12">
        <f t="shared" si="5"/>
        <v>389.5797907159</v>
      </c>
      <c r="BC11" s="13">
        <f t="shared" si="6"/>
        <v>6.5147316141599987</v>
      </c>
      <c r="BD11" s="14">
        <f t="shared" si="7"/>
        <v>380.58400303619999</v>
      </c>
      <c r="BF11" s="15">
        <f t="shared" si="8"/>
        <v>10.305157468691998</v>
      </c>
      <c r="BG11" s="16">
        <f t="shared" si="9"/>
        <v>250.90038526733002</v>
      </c>
      <c r="BI11">
        <v>47</v>
      </c>
      <c r="BJ11" t="s">
        <v>37</v>
      </c>
      <c r="BK11" s="2">
        <v>45846.606712962966</v>
      </c>
      <c r="BL11" t="s">
        <v>28</v>
      </c>
      <c r="BM11" t="s">
        <v>13</v>
      </c>
      <c r="BN11">
        <v>0</v>
      </c>
      <c r="BO11">
        <v>2.6930000000000001</v>
      </c>
      <c r="BP11" s="3">
        <v>5222039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45846.627951388888</v>
      </c>
      <c r="D12">
        <v>373</v>
      </c>
      <c r="E12" t="s">
        <v>13</v>
      </c>
      <c r="F12">
        <v>0</v>
      </c>
      <c r="G12">
        <v>5.9950000000000001</v>
      </c>
      <c r="H12" s="3">
        <v>41842</v>
      </c>
      <c r="I12">
        <v>9.5000000000000001E-2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45846.627951388888</v>
      </c>
      <c r="R12">
        <v>373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45846.627951388888</v>
      </c>
      <c r="AF12">
        <v>373</v>
      </c>
      <c r="AG12" t="s">
        <v>13</v>
      </c>
      <c r="AH12">
        <v>0</v>
      </c>
      <c r="AI12">
        <v>12.157</v>
      </c>
      <c r="AJ12" s="3">
        <v>11827</v>
      </c>
      <c r="AK12">
        <v>2.4969999999999999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5">
        <f t="shared" si="0"/>
        <v>114.93879597046799</v>
      </c>
      <c r="AU12" s="16">
        <f t="shared" si="1"/>
        <v>2552.14409002397</v>
      </c>
      <c r="AW12" s="6">
        <f t="shared" si="2"/>
        <v>95.634010356279433</v>
      </c>
      <c r="AX12" s="7">
        <f t="shared" si="3"/>
        <v>2337.3712152519201</v>
      </c>
      <c r="AZ12" s="11">
        <f t="shared" si="4"/>
        <v>114.144268575772</v>
      </c>
      <c r="BA12" s="12">
        <f t="shared" si="5"/>
        <v>2800.2696765831001</v>
      </c>
      <c r="BC12" s="13">
        <f t="shared" si="6"/>
        <v>116.47334054399681</v>
      </c>
      <c r="BD12" s="14">
        <f t="shared" si="7"/>
        <v>2450.2702998457999</v>
      </c>
      <c r="BF12" s="15">
        <f t="shared" si="8"/>
        <v>114.93879597046799</v>
      </c>
      <c r="BG12" s="16">
        <f t="shared" si="9"/>
        <v>2552.14409002397</v>
      </c>
      <c r="BI12">
        <v>48</v>
      </c>
      <c r="BJ12" t="s">
        <v>38</v>
      </c>
      <c r="BK12" s="2">
        <v>45846.627951388888</v>
      </c>
      <c r="BL12">
        <v>373</v>
      </c>
      <c r="BM12" t="s">
        <v>13</v>
      </c>
      <c r="BN12">
        <v>0</v>
      </c>
      <c r="BO12">
        <v>2.831</v>
      </c>
      <c r="BP12" s="3">
        <v>1185583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45846.649236111109</v>
      </c>
      <c r="D13">
        <v>278</v>
      </c>
      <c r="E13" t="s">
        <v>13</v>
      </c>
      <c r="F13">
        <v>0</v>
      </c>
      <c r="G13">
        <v>5.9980000000000002</v>
      </c>
      <c r="H13" s="3">
        <v>202243</v>
      </c>
      <c r="I13">
        <v>0.45600000000000002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45846.649236111109</v>
      </c>
      <c r="R13">
        <v>278</v>
      </c>
      <c r="S13" t="s">
        <v>13</v>
      </c>
      <c r="T13">
        <v>0</v>
      </c>
      <c r="U13">
        <v>5.9569999999999999</v>
      </c>
      <c r="V13" s="3">
        <v>1640</v>
      </c>
      <c r="W13">
        <v>0.496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45846.649236111109</v>
      </c>
      <c r="AF13">
        <v>278</v>
      </c>
      <c r="AG13" t="s">
        <v>13</v>
      </c>
      <c r="AH13">
        <v>0</v>
      </c>
      <c r="AI13">
        <v>12.134</v>
      </c>
      <c r="AJ13" s="3">
        <v>45331</v>
      </c>
      <c r="AK13">
        <v>9.8190000000000008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5">
        <f t="shared" si="0"/>
        <v>589.99856152388111</v>
      </c>
      <c r="AU13" s="16">
        <f t="shared" si="1"/>
        <v>10301.34266666218</v>
      </c>
      <c r="AW13" s="6">
        <f t="shared" si="2"/>
        <v>469.10229831131352</v>
      </c>
      <c r="AX13" s="7">
        <f t="shared" si="3"/>
        <v>9213.7766632032799</v>
      </c>
      <c r="AZ13" s="11">
        <f t="shared" si="4"/>
        <v>545.69063850248858</v>
      </c>
      <c r="BA13" s="12">
        <f t="shared" si="5"/>
        <v>9367.4433079551</v>
      </c>
      <c r="BC13" s="13">
        <f t="shared" si="6"/>
        <v>590.15315516749615</v>
      </c>
      <c r="BD13" s="14">
        <f t="shared" si="7"/>
        <v>8751.7060635491707</v>
      </c>
      <c r="BF13" s="15">
        <f t="shared" si="8"/>
        <v>589.99856152388111</v>
      </c>
      <c r="BG13" s="16">
        <f t="shared" si="9"/>
        <v>10301.34266666218</v>
      </c>
      <c r="BI13">
        <v>49</v>
      </c>
      <c r="BJ13" t="s">
        <v>39</v>
      </c>
      <c r="BK13" s="2">
        <v>45846.649236111109</v>
      </c>
      <c r="BL13">
        <v>278</v>
      </c>
      <c r="BM13" t="s">
        <v>13</v>
      </c>
      <c r="BN13">
        <v>0</v>
      </c>
      <c r="BO13">
        <v>2.8370000000000002</v>
      </c>
      <c r="BP13" s="3">
        <v>1158281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45846.67050925926</v>
      </c>
      <c r="D14">
        <v>217</v>
      </c>
      <c r="E14" t="s">
        <v>13</v>
      </c>
      <c r="F14">
        <v>0</v>
      </c>
      <c r="G14">
        <v>5.9909999999999997</v>
      </c>
      <c r="H14" s="3">
        <v>260700</v>
      </c>
      <c r="I14">
        <v>0.58799999999999997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45846.67050925926</v>
      </c>
      <c r="R14">
        <v>217</v>
      </c>
      <c r="S14" t="s">
        <v>13</v>
      </c>
      <c r="T14">
        <v>0</v>
      </c>
      <c r="U14">
        <v>5.9329999999999998</v>
      </c>
      <c r="V14" s="3">
        <v>2069</v>
      </c>
      <c r="W14">
        <v>0.60199999999999998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45846.67050925926</v>
      </c>
      <c r="AF14">
        <v>217</v>
      </c>
      <c r="AG14" t="s">
        <v>13</v>
      </c>
      <c r="AH14">
        <v>0</v>
      </c>
      <c r="AI14">
        <v>12.151</v>
      </c>
      <c r="AJ14" s="3">
        <v>15623</v>
      </c>
      <c r="AK14">
        <v>3.3279999999999998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5">
        <f t="shared" si="0"/>
        <v>709.93124906548996</v>
      </c>
      <c r="AU14" s="16">
        <f t="shared" si="1"/>
        <v>3411.3801862099704</v>
      </c>
      <c r="AW14" s="6">
        <f t="shared" si="2"/>
        <v>604.17973997540003</v>
      </c>
      <c r="AX14" s="7">
        <f t="shared" si="3"/>
        <v>3119.3452261479201</v>
      </c>
      <c r="AZ14" s="11">
        <f t="shared" si="4"/>
        <v>658.59386048600004</v>
      </c>
      <c r="BA14" s="12">
        <f t="shared" si="5"/>
        <v>3678.9679653631001</v>
      </c>
      <c r="BC14" s="13">
        <f t="shared" si="6"/>
        <v>715.25872016200003</v>
      </c>
      <c r="BD14" s="14">
        <f t="shared" si="7"/>
        <v>3222.2191278857995</v>
      </c>
      <c r="BF14" s="15">
        <f t="shared" si="8"/>
        <v>709.93124906548996</v>
      </c>
      <c r="BG14" s="16">
        <f t="shared" si="9"/>
        <v>3411.3801862099704</v>
      </c>
      <c r="BI14">
        <v>50</v>
      </c>
      <c r="BJ14" t="s">
        <v>40</v>
      </c>
      <c r="BK14" s="2">
        <v>45846.67050925926</v>
      </c>
      <c r="BL14">
        <v>217</v>
      </c>
      <c r="BM14" t="s">
        <v>13</v>
      </c>
      <c r="BN14">
        <v>0</v>
      </c>
      <c r="BO14">
        <v>2.8319999999999999</v>
      </c>
      <c r="BP14" s="3">
        <v>1158977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45846.691759259258</v>
      </c>
      <c r="D15">
        <v>269</v>
      </c>
      <c r="E15" t="s">
        <v>13</v>
      </c>
      <c r="F15">
        <v>0</v>
      </c>
      <c r="G15">
        <v>5.9770000000000003</v>
      </c>
      <c r="H15" s="3">
        <v>7640355</v>
      </c>
      <c r="I15">
        <v>17.547999999999998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45846.691759259258</v>
      </c>
      <c r="R15">
        <v>269</v>
      </c>
      <c r="S15" t="s">
        <v>13</v>
      </c>
      <c r="T15">
        <v>0</v>
      </c>
      <c r="U15">
        <v>5.9290000000000003</v>
      </c>
      <c r="V15" s="3">
        <v>56069</v>
      </c>
      <c r="W15">
        <v>13.917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45846.691759259258</v>
      </c>
      <c r="AF15">
        <v>269</v>
      </c>
      <c r="AG15" t="s">
        <v>13</v>
      </c>
      <c r="AH15">
        <v>0</v>
      </c>
      <c r="AI15">
        <v>12.106999999999999</v>
      </c>
      <c r="AJ15" s="3">
        <v>61920</v>
      </c>
      <c r="AK15">
        <v>13.432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5">
        <f t="shared" si="0"/>
        <v>15570.434919941796</v>
      </c>
      <c r="AU15" s="16">
        <f t="shared" si="1"/>
        <v>13844.106002432001</v>
      </c>
      <c r="AW15" s="6">
        <f t="shared" si="2"/>
        <v>14020.524359091818</v>
      </c>
      <c r="AX15" s="7">
        <f t="shared" si="3"/>
        <v>12597.318115071999</v>
      </c>
      <c r="AZ15" s="11">
        <f t="shared" si="4"/>
        <v>13890.613243815937</v>
      </c>
      <c r="BA15" s="12">
        <f t="shared" si="5"/>
        <v>13403.76986624</v>
      </c>
      <c r="BC15" s="13">
        <f t="shared" si="6"/>
        <v>16168.355612938645</v>
      </c>
      <c r="BD15" s="14">
        <f t="shared" si="7"/>
        <v>12131.262903808001</v>
      </c>
      <c r="BF15" s="15">
        <f t="shared" si="8"/>
        <v>15570.434919941796</v>
      </c>
      <c r="BG15" s="16">
        <f t="shared" si="9"/>
        <v>13844.106002432001</v>
      </c>
      <c r="BI15">
        <v>51</v>
      </c>
      <c r="BJ15" t="s">
        <v>41</v>
      </c>
      <c r="BK15" s="2">
        <v>45846.691759259258</v>
      </c>
      <c r="BL15">
        <v>269</v>
      </c>
      <c r="BM15" t="s">
        <v>13</v>
      </c>
      <c r="BN15">
        <v>0</v>
      </c>
      <c r="BO15">
        <v>2.8420000000000001</v>
      </c>
      <c r="BP15" s="3">
        <v>1013410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45846.713009259256</v>
      </c>
      <c r="D16">
        <v>311</v>
      </c>
      <c r="E16" t="s">
        <v>13</v>
      </c>
      <c r="F16">
        <v>0</v>
      </c>
      <c r="G16">
        <v>6.0049999999999999</v>
      </c>
      <c r="H16" s="3">
        <v>5889</v>
      </c>
      <c r="I16">
        <v>1.4E-2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45846.713009259256</v>
      </c>
      <c r="R16">
        <v>311</v>
      </c>
      <c r="S16" t="s">
        <v>13</v>
      </c>
      <c r="T16">
        <v>0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45846.713009259256</v>
      </c>
      <c r="AF16">
        <v>311</v>
      </c>
      <c r="AG16" t="s">
        <v>13</v>
      </c>
      <c r="AH16">
        <v>0</v>
      </c>
      <c r="AI16">
        <v>12.157999999999999</v>
      </c>
      <c r="AJ16" s="3">
        <v>7349</v>
      </c>
      <c r="AK16">
        <v>1.516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5">
        <f t="shared" si="0"/>
        <v>17.531037966253002</v>
      </c>
      <c r="AU16" s="16">
        <f t="shared" si="1"/>
        <v>1536.7171372049302</v>
      </c>
      <c r="AW16" s="6">
        <f t="shared" si="2"/>
        <v>8.1507767412999996</v>
      </c>
      <c r="AX16" s="7">
        <f t="shared" si="3"/>
        <v>1413.9600209184798</v>
      </c>
      <c r="AZ16" s="11">
        <f t="shared" si="4"/>
        <v>3.3862883399999983</v>
      </c>
      <c r="BA16" s="12">
        <f t="shared" si="5"/>
        <v>1746.8030419638999</v>
      </c>
      <c r="BC16" s="13">
        <f t="shared" si="6"/>
        <v>12.616350541940001</v>
      </c>
      <c r="BD16" s="14">
        <f t="shared" si="7"/>
        <v>1537.4153335001997</v>
      </c>
      <c r="BF16" s="15">
        <f t="shared" si="8"/>
        <v>17.531037966253002</v>
      </c>
      <c r="BG16" s="16">
        <f t="shared" si="9"/>
        <v>1536.7171372049302</v>
      </c>
      <c r="BI16">
        <v>52</v>
      </c>
      <c r="BJ16" t="s">
        <v>42</v>
      </c>
      <c r="BK16" s="2">
        <v>45846.713009259256</v>
      </c>
      <c r="BL16">
        <v>311</v>
      </c>
      <c r="BM16" t="s">
        <v>13</v>
      </c>
      <c r="BN16">
        <v>0</v>
      </c>
      <c r="BO16">
        <v>2.8330000000000002</v>
      </c>
      <c r="BP16" s="3">
        <v>1130805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45846.734270833331</v>
      </c>
      <c r="D17">
        <v>191</v>
      </c>
      <c r="E17" t="s">
        <v>13</v>
      </c>
      <c r="F17">
        <v>0</v>
      </c>
      <c r="G17">
        <v>5.9909999999999997</v>
      </c>
      <c r="H17" s="3">
        <v>154295</v>
      </c>
      <c r="I17">
        <v>0.34799999999999998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45846.734270833331</v>
      </c>
      <c r="R17">
        <v>191</v>
      </c>
      <c r="S17" t="s">
        <v>13</v>
      </c>
      <c r="T17">
        <v>0</v>
      </c>
      <c r="U17">
        <v>5.9370000000000003</v>
      </c>
      <c r="V17" s="3">
        <v>1250</v>
      </c>
      <c r="W17">
        <v>0.4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45846.734270833331</v>
      </c>
      <c r="AF17">
        <v>191</v>
      </c>
      <c r="AG17" t="s">
        <v>13</v>
      </c>
      <c r="AH17">
        <v>0</v>
      </c>
      <c r="AI17">
        <v>12.147</v>
      </c>
      <c r="AJ17" s="3">
        <v>21035</v>
      </c>
      <c r="AK17">
        <v>4.5129999999999999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5">
        <f t="shared" si="0"/>
        <v>410.73696293242494</v>
      </c>
      <c r="AU17" s="16">
        <f t="shared" si="1"/>
        <v>4633.9574369892498</v>
      </c>
      <c r="AW17" s="6">
        <f t="shared" si="2"/>
        <v>357.89724848660643</v>
      </c>
      <c r="AX17" s="7">
        <f t="shared" si="3"/>
        <v>4232.9426343380001</v>
      </c>
      <c r="AZ17" s="11">
        <f t="shared" si="4"/>
        <v>421.55612954157499</v>
      </c>
      <c r="BA17" s="12">
        <f t="shared" si="5"/>
        <v>4909.0088742774997</v>
      </c>
      <c r="BC17" s="13">
        <f t="shared" si="6"/>
        <v>436.10475869918002</v>
      </c>
      <c r="BD17" s="14">
        <f t="shared" si="7"/>
        <v>4319.8152207450003</v>
      </c>
      <c r="BF17" s="15">
        <f t="shared" si="8"/>
        <v>410.73696293242494</v>
      </c>
      <c r="BG17" s="16">
        <f t="shared" si="9"/>
        <v>4633.9574369892498</v>
      </c>
      <c r="BI17">
        <v>53</v>
      </c>
      <c r="BJ17" t="s">
        <v>43</v>
      </c>
      <c r="BK17" s="2">
        <v>45846.734270833331</v>
      </c>
      <c r="BL17">
        <v>191</v>
      </c>
      <c r="BM17" t="s">
        <v>13</v>
      </c>
      <c r="BN17">
        <v>0</v>
      </c>
      <c r="BO17">
        <v>2.8319999999999999</v>
      </c>
      <c r="BP17" s="3">
        <v>1133174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45846.755543981482</v>
      </c>
      <c r="D18">
        <v>318</v>
      </c>
      <c r="E18" t="s">
        <v>13</v>
      </c>
      <c r="F18">
        <v>0</v>
      </c>
      <c r="G18">
        <v>6.0389999999999997</v>
      </c>
      <c r="H18" s="3">
        <v>2695</v>
      </c>
      <c r="I18">
        <v>6.0000000000000001E-3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45846.755543981482</v>
      </c>
      <c r="R18">
        <v>318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45846.755543981482</v>
      </c>
      <c r="AF18">
        <v>318</v>
      </c>
      <c r="AG18" t="s">
        <v>13</v>
      </c>
      <c r="AH18">
        <v>0</v>
      </c>
      <c r="AI18">
        <v>12.106999999999999</v>
      </c>
      <c r="AJ18" s="3">
        <v>55651</v>
      </c>
      <c r="AK18">
        <v>12.068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5">
        <f t="shared" si="0"/>
        <v>6.1766748713249982</v>
      </c>
      <c r="AU18" s="16">
        <f t="shared" si="1"/>
        <v>12505.97920103338</v>
      </c>
      <c r="AW18" s="6">
        <f t="shared" si="2"/>
        <v>1.5003730325</v>
      </c>
      <c r="AX18" s="7">
        <f t="shared" si="3"/>
        <v>11320.325397398479</v>
      </c>
      <c r="AZ18" s="11">
        <f t="shared" si="4"/>
        <v>3.8003584999999998</v>
      </c>
      <c r="BA18" s="12">
        <f t="shared" si="5"/>
        <v>11881.0840175391</v>
      </c>
      <c r="BC18" s="13">
        <f t="shared" si="6"/>
        <v>3.2148442484999995</v>
      </c>
      <c r="BD18" s="14">
        <f t="shared" si="7"/>
        <v>10855.67957776197</v>
      </c>
      <c r="BF18" s="15">
        <f t="shared" si="8"/>
        <v>6.1766748713249982</v>
      </c>
      <c r="BG18" s="16">
        <f t="shared" si="9"/>
        <v>12505.97920103338</v>
      </c>
      <c r="BI18">
        <v>54</v>
      </c>
      <c r="BJ18" t="s">
        <v>44</v>
      </c>
      <c r="BK18" s="2">
        <v>45846.755543981482</v>
      </c>
      <c r="BL18">
        <v>318</v>
      </c>
      <c r="BM18" t="s">
        <v>13</v>
      </c>
      <c r="BN18">
        <v>0</v>
      </c>
      <c r="BO18">
        <v>2.8370000000000002</v>
      </c>
      <c r="BP18" s="3">
        <v>1021063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45846.776805555557</v>
      </c>
      <c r="D19">
        <v>213</v>
      </c>
      <c r="E19" t="s">
        <v>13</v>
      </c>
      <c r="F19">
        <v>0</v>
      </c>
      <c r="G19">
        <v>5.9790000000000001</v>
      </c>
      <c r="H19" s="3">
        <v>3952473</v>
      </c>
      <c r="I19">
        <v>8.9930000000000003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45846.776805555557</v>
      </c>
      <c r="R19">
        <v>213</v>
      </c>
      <c r="S19" t="s">
        <v>13</v>
      </c>
      <c r="T19">
        <v>0</v>
      </c>
      <c r="U19">
        <v>5.9320000000000004</v>
      </c>
      <c r="V19" s="3">
        <v>29440</v>
      </c>
      <c r="W19">
        <v>7.3620000000000001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45846.776805555557</v>
      </c>
      <c r="AF19">
        <v>213</v>
      </c>
      <c r="AG19" t="s">
        <v>13</v>
      </c>
      <c r="AH19">
        <v>0</v>
      </c>
      <c r="AI19">
        <v>12.13</v>
      </c>
      <c r="AJ19" s="3">
        <v>36880</v>
      </c>
      <c r="AK19">
        <v>7.976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5">
        <f t="shared" si="0"/>
        <v>8213.5227456825978</v>
      </c>
      <c r="AU19" s="16">
        <f t="shared" si="1"/>
        <v>8196.8342049920011</v>
      </c>
      <c r="AW19" s="6">
        <f t="shared" si="2"/>
        <v>7484.6270904319999</v>
      </c>
      <c r="AX19" s="7">
        <f t="shared" si="3"/>
        <v>7484.6853701119999</v>
      </c>
      <c r="AZ19" s="11">
        <f t="shared" si="4"/>
        <v>7531.3276236274414</v>
      </c>
      <c r="BA19" s="12">
        <f t="shared" si="5"/>
        <v>8356.6427001600005</v>
      </c>
      <c r="BC19" s="13">
        <f t="shared" si="6"/>
        <v>8530.2929735424786</v>
      </c>
      <c r="BD19" s="14">
        <f t="shared" si="7"/>
        <v>7513.1639628800003</v>
      </c>
      <c r="BF19" s="15">
        <f t="shared" si="8"/>
        <v>8213.5227456825978</v>
      </c>
      <c r="BG19" s="16">
        <f t="shared" si="9"/>
        <v>8196.8342049920011</v>
      </c>
      <c r="BI19">
        <v>55</v>
      </c>
      <c r="BJ19" t="s">
        <v>45</v>
      </c>
      <c r="BK19" s="2">
        <v>45846.776805555557</v>
      </c>
      <c r="BL19">
        <v>213</v>
      </c>
      <c r="BM19" t="s">
        <v>13</v>
      </c>
      <c r="BN19">
        <v>0</v>
      </c>
      <c r="BO19">
        <v>2.8319999999999999</v>
      </c>
      <c r="BP19" s="3">
        <v>1141729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45846.798090277778</v>
      </c>
      <c r="D20">
        <v>274</v>
      </c>
      <c r="E20" t="s">
        <v>13</v>
      </c>
      <c r="F20">
        <v>0</v>
      </c>
      <c r="G20">
        <v>5.992</v>
      </c>
      <c r="H20" s="3">
        <v>15477</v>
      </c>
      <c r="I20">
        <v>3.5000000000000003E-2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45846.798090277778</v>
      </c>
      <c r="R20">
        <v>274</v>
      </c>
      <c r="S20" t="s">
        <v>13</v>
      </c>
      <c r="T20">
        <v>0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45846.798090277778</v>
      </c>
      <c r="AF20">
        <v>274</v>
      </c>
      <c r="AG20" t="s">
        <v>13</v>
      </c>
      <c r="AH20">
        <v>0</v>
      </c>
      <c r="AI20" t="s">
        <v>14</v>
      </c>
      <c r="AJ20" s="3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Q20">
        <v>2</v>
      </c>
      <c r="AR20" t="s">
        <v>69</v>
      </c>
      <c r="AS20" s="10">
        <v>56</v>
      </c>
      <c r="AT20" s="15">
        <f t="shared" si="0"/>
        <v>44.625315629873</v>
      </c>
      <c r="AU20" s="16" t="e">
        <f t="shared" si="1"/>
        <v>#VALUE!</v>
      </c>
      <c r="AW20" s="6">
        <f t="shared" si="2"/>
        <v>33.850703647414342</v>
      </c>
      <c r="AX20" s="7" t="e">
        <f t="shared" si="3"/>
        <v>#VALUE!</v>
      </c>
      <c r="AZ20" s="11">
        <f t="shared" si="4"/>
        <v>36.298760316766995</v>
      </c>
      <c r="BA20" s="12" t="e">
        <f t="shared" si="5"/>
        <v>#VALUE!</v>
      </c>
      <c r="BC20" s="13">
        <f t="shared" si="6"/>
        <v>40.477644561624807</v>
      </c>
      <c r="BD20" s="14" t="e">
        <f t="shared" si="7"/>
        <v>#VALUE!</v>
      </c>
      <c r="BF20" s="15">
        <f t="shared" si="8"/>
        <v>44.625315629873</v>
      </c>
      <c r="BG20" s="16" t="e">
        <f t="shared" si="9"/>
        <v>#VALUE!</v>
      </c>
      <c r="BI20">
        <v>56</v>
      </c>
      <c r="BJ20" t="s">
        <v>46</v>
      </c>
      <c r="BK20" s="2">
        <v>45846.798090277778</v>
      </c>
      <c r="BL20">
        <v>274</v>
      </c>
      <c r="BM20" t="s">
        <v>13</v>
      </c>
      <c r="BN20">
        <v>0</v>
      </c>
      <c r="BO20">
        <v>2.8319999999999999</v>
      </c>
      <c r="BP20" s="3">
        <v>1121285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45846.819386574076</v>
      </c>
      <c r="D21">
        <v>287</v>
      </c>
      <c r="E21" t="s">
        <v>13</v>
      </c>
      <c r="F21">
        <v>0</v>
      </c>
      <c r="G21">
        <v>5.9870000000000001</v>
      </c>
      <c r="H21" s="3">
        <v>112695</v>
      </c>
      <c r="I21">
        <v>0.254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45846.819386574076</v>
      </c>
      <c r="R21">
        <v>287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45846.819386574076</v>
      </c>
      <c r="AF21">
        <v>287</v>
      </c>
      <c r="AG21" t="s">
        <v>13</v>
      </c>
      <c r="AH21">
        <v>0</v>
      </c>
      <c r="AI21" t="s">
        <v>14</v>
      </c>
      <c r="AJ21" s="3" t="s">
        <v>14</v>
      </c>
      <c r="AK21" t="s">
        <v>14</v>
      </c>
      <c r="AL21" t="s">
        <v>14</v>
      </c>
      <c r="AM21" t="s">
        <v>14</v>
      </c>
      <c r="AN21" t="s">
        <v>14</v>
      </c>
      <c r="AO21" t="s">
        <v>14</v>
      </c>
      <c r="AQ21">
        <v>2</v>
      </c>
      <c r="AR21" t="s">
        <v>69</v>
      </c>
      <c r="AS21" s="10">
        <v>57</v>
      </c>
      <c r="AT21" s="15">
        <f t="shared" si="0"/>
        <v>302.08684712442499</v>
      </c>
      <c r="AU21" s="16" t="e">
        <f t="shared" si="1"/>
        <v>#VALUE!</v>
      </c>
      <c r="AW21" s="6">
        <f t="shared" si="2"/>
        <v>261.11498886996645</v>
      </c>
      <c r="AX21" s="7" t="e">
        <f t="shared" si="3"/>
        <v>#VALUE!</v>
      </c>
      <c r="AZ21" s="11">
        <f t="shared" si="4"/>
        <v>312.48272790957498</v>
      </c>
      <c r="BA21" s="12" t="e">
        <f t="shared" si="5"/>
        <v>#VALUE!</v>
      </c>
      <c r="BC21" s="13">
        <f t="shared" si="6"/>
        <v>318.71399791837996</v>
      </c>
      <c r="BD21" s="14" t="e">
        <f t="shared" si="7"/>
        <v>#VALUE!</v>
      </c>
      <c r="BF21" s="15">
        <f t="shared" si="8"/>
        <v>302.08684712442499</v>
      </c>
      <c r="BG21" s="16" t="e">
        <f t="shared" si="9"/>
        <v>#VALUE!</v>
      </c>
      <c r="BI21">
        <v>57</v>
      </c>
      <c r="BJ21" t="s">
        <v>47</v>
      </c>
      <c r="BK21" s="2">
        <v>45846.819386574076</v>
      </c>
      <c r="BL21">
        <v>287</v>
      </c>
      <c r="BM21" t="s">
        <v>13</v>
      </c>
      <c r="BN21">
        <v>0</v>
      </c>
      <c r="BO21">
        <v>2.8380000000000001</v>
      </c>
      <c r="BP21" s="3">
        <v>986234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45846.84065972222</v>
      </c>
      <c r="D22">
        <v>123</v>
      </c>
      <c r="E22" t="s">
        <v>13</v>
      </c>
      <c r="F22">
        <v>0</v>
      </c>
      <c r="G22">
        <v>5.99</v>
      </c>
      <c r="H22" s="3">
        <v>22964</v>
      </c>
      <c r="I22">
        <v>5.1999999999999998E-2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45846.84065972222</v>
      </c>
      <c r="R22">
        <v>123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45846.84065972222</v>
      </c>
      <c r="AF22">
        <v>123</v>
      </c>
      <c r="AG22" t="s">
        <v>13</v>
      </c>
      <c r="AH22">
        <v>0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Q22">
        <v>2</v>
      </c>
      <c r="AR22" t="s">
        <v>69</v>
      </c>
      <c r="AS22" s="10">
        <v>58</v>
      </c>
      <c r="AT22" s="15">
        <f t="shared" si="0"/>
        <v>64.629756187151997</v>
      </c>
      <c r="AU22" s="16" t="e">
        <f t="shared" si="1"/>
        <v>#VALUE!</v>
      </c>
      <c r="AW22" s="6">
        <f t="shared" si="2"/>
        <v>51.406999609860158</v>
      </c>
      <c r="AX22" s="7" t="e">
        <f t="shared" si="3"/>
        <v>#VALUE!</v>
      </c>
      <c r="AZ22" s="11">
        <f t="shared" si="4"/>
        <v>58.627828468207994</v>
      </c>
      <c r="BA22" s="12" t="e">
        <f t="shared" si="5"/>
        <v>#VALUE!</v>
      </c>
      <c r="BC22" s="13">
        <f t="shared" si="6"/>
        <v>62.09933867851521</v>
      </c>
      <c r="BD22" s="14" t="e">
        <f t="shared" si="7"/>
        <v>#VALUE!</v>
      </c>
      <c r="BF22" s="15">
        <f t="shared" si="8"/>
        <v>64.629756187151997</v>
      </c>
      <c r="BG22" s="16" t="e">
        <f t="shared" si="9"/>
        <v>#VALUE!</v>
      </c>
      <c r="BI22">
        <v>58</v>
      </c>
      <c r="BJ22" t="s">
        <v>48</v>
      </c>
      <c r="BK22" s="2">
        <v>45846.84065972222</v>
      </c>
      <c r="BL22">
        <v>123</v>
      </c>
      <c r="BM22" t="s">
        <v>13</v>
      </c>
      <c r="BN22">
        <v>0</v>
      </c>
      <c r="BO22">
        <v>2.8319999999999999</v>
      </c>
      <c r="BP22" s="3">
        <v>1093911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45846.861944444441</v>
      </c>
      <c r="D23">
        <v>181</v>
      </c>
      <c r="E23" t="s">
        <v>13</v>
      </c>
      <c r="F23">
        <v>0</v>
      </c>
      <c r="G23">
        <v>5.9989999999999997</v>
      </c>
      <c r="H23" s="3">
        <v>5000</v>
      </c>
      <c r="I23">
        <v>1.2E-2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45846.861944444441</v>
      </c>
      <c r="R23">
        <v>181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45846.861944444441</v>
      </c>
      <c r="AF23">
        <v>181</v>
      </c>
      <c r="AG23" t="s">
        <v>13</v>
      </c>
      <c r="AH23">
        <v>0</v>
      </c>
      <c r="AI23">
        <v>12.116</v>
      </c>
      <c r="AJ23" s="3">
        <v>8080</v>
      </c>
      <c r="AK23">
        <v>1.6759999999999999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5">
        <f t="shared" si="0"/>
        <v>14.353325</v>
      </c>
      <c r="AU23" s="16">
        <f t="shared" si="1"/>
        <v>1702.6123963520001</v>
      </c>
      <c r="AW23" s="6">
        <f t="shared" si="2"/>
        <v>6.0020000000000007</v>
      </c>
      <c r="AX23" s="7">
        <f t="shared" si="3"/>
        <v>1564.7698910719998</v>
      </c>
      <c r="AZ23" s="11">
        <f t="shared" si="4"/>
        <v>2.3950000000000014</v>
      </c>
      <c r="BA23" s="12">
        <f t="shared" si="5"/>
        <v>1920.0228729599999</v>
      </c>
      <c r="BC23" s="13">
        <f t="shared" si="6"/>
        <v>9.8824999999999985</v>
      </c>
      <c r="BD23" s="14">
        <f t="shared" si="7"/>
        <v>1686.5958732799998</v>
      </c>
      <c r="BF23" s="15">
        <f t="shared" si="8"/>
        <v>14.353325</v>
      </c>
      <c r="BG23" s="16">
        <f t="shared" si="9"/>
        <v>1702.6123963520001</v>
      </c>
      <c r="BI23">
        <v>59</v>
      </c>
      <c r="BJ23" t="s">
        <v>49</v>
      </c>
      <c r="BK23" s="2">
        <v>45846.861944444441</v>
      </c>
      <c r="BL23">
        <v>181</v>
      </c>
      <c r="BM23" t="s">
        <v>13</v>
      </c>
      <c r="BN23">
        <v>0</v>
      </c>
      <c r="BO23">
        <v>2.8340000000000001</v>
      </c>
      <c r="BP23" s="3">
        <v>1070674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45846.883240740739</v>
      </c>
      <c r="D24">
        <v>20</v>
      </c>
      <c r="E24" t="s">
        <v>13</v>
      </c>
      <c r="F24">
        <v>0</v>
      </c>
      <c r="G24">
        <v>5.99</v>
      </c>
      <c r="H24" s="3">
        <v>470836</v>
      </c>
      <c r="I24">
        <v>1.0629999999999999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45846.883240740739</v>
      </c>
      <c r="R24">
        <v>20</v>
      </c>
      <c r="S24" t="s">
        <v>13</v>
      </c>
      <c r="T24">
        <v>0</v>
      </c>
      <c r="U24">
        <v>5.94</v>
      </c>
      <c r="V24" s="3">
        <v>4256</v>
      </c>
      <c r="W24">
        <v>1.143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45846.883240740739</v>
      </c>
      <c r="AF24">
        <v>20</v>
      </c>
      <c r="AG24" t="s">
        <v>13</v>
      </c>
      <c r="AH24">
        <v>0</v>
      </c>
      <c r="AI24" t="s">
        <v>14</v>
      </c>
      <c r="AJ24" s="3" t="s">
        <v>14</v>
      </c>
      <c r="AK24" t="s">
        <v>14</v>
      </c>
      <c r="AL24" t="s">
        <v>14</v>
      </c>
      <c r="AM24" t="s">
        <v>14</v>
      </c>
      <c r="AN24" t="s">
        <v>14</v>
      </c>
      <c r="AO24" t="s">
        <v>14</v>
      </c>
      <c r="AQ24">
        <v>2</v>
      </c>
      <c r="AR24" t="s">
        <v>69</v>
      </c>
      <c r="AS24" s="10">
        <v>60</v>
      </c>
      <c r="AT24" s="15">
        <f t="shared" si="0"/>
        <v>1140.7667643381692</v>
      </c>
      <c r="AU24" s="16" t="e">
        <f t="shared" si="1"/>
        <v>#VALUE!</v>
      </c>
      <c r="AW24" s="6">
        <f t="shared" si="2"/>
        <v>1085.198294157316</v>
      </c>
      <c r="AX24" s="7" t="e">
        <f t="shared" si="3"/>
        <v>#VALUE!</v>
      </c>
      <c r="AZ24" s="11">
        <f t="shared" si="4"/>
        <v>1063.3984703765345</v>
      </c>
      <c r="BA24" s="12" t="e">
        <f t="shared" si="5"/>
        <v>#VALUE!</v>
      </c>
      <c r="BC24" s="13">
        <f t="shared" si="6"/>
        <v>1164.6270914588449</v>
      </c>
      <c r="BD24" s="14" t="e">
        <f t="shared" si="7"/>
        <v>#VALUE!</v>
      </c>
      <c r="BF24" s="15">
        <f t="shared" si="8"/>
        <v>1140.7667643381692</v>
      </c>
      <c r="BG24" s="16" t="e">
        <f t="shared" si="9"/>
        <v>#VALUE!</v>
      </c>
      <c r="BI24">
        <v>60</v>
      </c>
      <c r="BJ24" t="s">
        <v>50</v>
      </c>
      <c r="BK24" s="2">
        <v>45846.883240740739</v>
      </c>
      <c r="BL24">
        <v>20</v>
      </c>
      <c r="BM24" t="s">
        <v>13</v>
      </c>
      <c r="BN24">
        <v>0</v>
      </c>
      <c r="BO24">
        <v>2.8450000000000002</v>
      </c>
      <c r="BP24" s="3">
        <v>967143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45846.904513888891</v>
      </c>
      <c r="D25">
        <v>370</v>
      </c>
      <c r="E25" t="s">
        <v>13</v>
      </c>
      <c r="F25">
        <v>0</v>
      </c>
      <c r="G25">
        <v>5.9820000000000002</v>
      </c>
      <c r="H25" s="3">
        <v>509008</v>
      </c>
      <c r="I25">
        <v>1.149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45846.904513888891</v>
      </c>
      <c r="R25">
        <v>370</v>
      </c>
      <c r="S25" t="s">
        <v>13</v>
      </c>
      <c r="T25">
        <v>0</v>
      </c>
      <c r="U25">
        <v>5.9370000000000003</v>
      </c>
      <c r="V25" s="3">
        <v>4740</v>
      </c>
      <c r="W25">
        <v>1.2629999999999999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45846.904513888891</v>
      </c>
      <c r="AF25">
        <v>370</v>
      </c>
      <c r="AG25" t="s">
        <v>13</v>
      </c>
      <c r="AH25">
        <v>0</v>
      </c>
      <c r="AI25" t="s">
        <v>14</v>
      </c>
      <c r="AJ25" s="3" t="s">
        <v>14</v>
      </c>
      <c r="AK25" t="s">
        <v>14</v>
      </c>
      <c r="AL25" t="s">
        <v>14</v>
      </c>
      <c r="AM25" t="s">
        <v>14</v>
      </c>
      <c r="AN25" t="s">
        <v>14</v>
      </c>
      <c r="AO25" t="s">
        <v>14</v>
      </c>
      <c r="AQ25">
        <v>2</v>
      </c>
      <c r="AR25" t="s">
        <v>69</v>
      </c>
      <c r="AS25" s="10">
        <v>61</v>
      </c>
      <c r="AT25" s="15">
        <f t="shared" si="0"/>
        <v>1218.9813364544177</v>
      </c>
      <c r="AU25" s="16" t="e">
        <f t="shared" si="1"/>
        <v>#VALUE!</v>
      </c>
      <c r="AW25" s="6">
        <f t="shared" si="2"/>
        <v>1171.8137443370854</v>
      </c>
      <c r="AX25" s="7" t="e">
        <f t="shared" si="3"/>
        <v>#VALUE!</v>
      </c>
      <c r="AZ25" s="11">
        <f t="shared" si="4"/>
        <v>1136.7564619204097</v>
      </c>
      <c r="BA25" s="12" t="e">
        <f t="shared" si="5"/>
        <v>#VALUE!</v>
      </c>
      <c r="BC25" s="13">
        <f t="shared" si="6"/>
        <v>1246.1977913068031</v>
      </c>
      <c r="BD25" s="14" t="e">
        <f t="shared" si="7"/>
        <v>#VALUE!</v>
      </c>
      <c r="BF25" s="15">
        <f t="shared" si="8"/>
        <v>1218.9813364544177</v>
      </c>
      <c r="BG25" s="16" t="e">
        <f t="shared" si="9"/>
        <v>#VALUE!</v>
      </c>
      <c r="BI25">
        <v>61</v>
      </c>
      <c r="BJ25" t="s">
        <v>51</v>
      </c>
      <c r="BK25" s="2">
        <v>45846.904513888891</v>
      </c>
      <c r="BL25">
        <v>370</v>
      </c>
      <c r="BM25" t="s">
        <v>13</v>
      </c>
      <c r="BN25">
        <v>0</v>
      </c>
      <c r="BO25">
        <v>2.831</v>
      </c>
      <c r="BP25" s="3">
        <v>1094466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45846.925810185188</v>
      </c>
      <c r="D26">
        <v>229</v>
      </c>
      <c r="E26" t="s">
        <v>13</v>
      </c>
      <c r="F26">
        <v>0</v>
      </c>
      <c r="G26">
        <v>5.9690000000000003</v>
      </c>
      <c r="H26" s="3">
        <v>5230290</v>
      </c>
      <c r="I26">
        <v>11.939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45846.925810185188</v>
      </c>
      <c r="R26">
        <v>229</v>
      </c>
      <c r="S26" t="s">
        <v>13</v>
      </c>
      <c r="T26">
        <v>0</v>
      </c>
      <c r="U26">
        <v>5.9210000000000003</v>
      </c>
      <c r="V26" s="3">
        <v>39343</v>
      </c>
      <c r="W26">
        <v>9.8019999999999996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45846.925810185188</v>
      </c>
      <c r="AF26">
        <v>229</v>
      </c>
      <c r="AG26" t="s">
        <v>13</v>
      </c>
      <c r="AH26">
        <v>0</v>
      </c>
      <c r="AI26">
        <v>12.067</v>
      </c>
      <c r="AJ26" s="3">
        <v>58779</v>
      </c>
      <c r="AK26">
        <v>12.747999999999999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5">
        <f t="shared" si="0"/>
        <v>10778.327755164573</v>
      </c>
      <c r="AU26" s="16">
        <f t="shared" si="1"/>
        <v>13173.75950966858</v>
      </c>
      <c r="AW26" s="6">
        <f t="shared" si="2"/>
        <v>9918.45754744238</v>
      </c>
      <c r="AX26" s="7">
        <f t="shared" si="3"/>
        <v>11957.74844413768</v>
      </c>
      <c r="AZ26" s="11">
        <f t="shared" si="4"/>
        <v>9792.0422371957411</v>
      </c>
      <c r="BA26" s="12">
        <f t="shared" si="5"/>
        <v>12641.249992603101</v>
      </c>
      <c r="BC26" s="13">
        <f t="shared" si="6"/>
        <v>11195.904682398579</v>
      </c>
      <c r="BD26" s="14">
        <f t="shared" si="7"/>
        <v>11492.38475069077</v>
      </c>
      <c r="BF26" s="15">
        <f t="shared" si="8"/>
        <v>10778.327755164573</v>
      </c>
      <c r="BG26" s="16">
        <f t="shared" si="9"/>
        <v>13173.75950966858</v>
      </c>
      <c r="BI26">
        <v>62</v>
      </c>
      <c r="BJ26" t="s">
        <v>52</v>
      </c>
      <c r="BK26" s="2">
        <v>45846.925810185188</v>
      </c>
      <c r="BL26">
        <v>229</v>
      </c>
      <c r="BM26" t="s">
        <v>13</v>
      </c>
      <c r="BN26">
        <v>0</v>
      </c>
      <c r="BO26">
        <v>2.8380000000000001</v>
      </c>
      <c r="BP26" s="3">
        <v>924754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45846.947071759256</v>
      </c>
      <c r="D27">
        <v>378</v>
      </c>
      <c r="E27" t="s">
        <v>13</v>
      </c>
      <c r="F27">
        <v>0</v>
      </c>
      <c r="G27">
        <v>5.9880000000000004</v>
      </c>
      <c r="H27" s="3">
        <v>15125</v>
      </c>
      <c r="I27">
        <v>3.4000000000000002E-2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45846.947071759256</v>
      </c>
      <c r="R27">
        <v>378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45846.947071759256</v>
      </c>
      <c r="AF27">
        <v>378</v>
      </c>
      <c r="AG27" t="s">
        <v>13</v>
      </c>
      <c r="AH27">
        <v>0</v>
      </c>
      <c r="AI27" t="s">
        <v>14</v>
      </c>
      <c r="AJ27" s="3" t="s">
        <v>14</v>
      </c>
      <c r="AK27" t="s">
        <v>14</v>
      </c>
      <c r="AL27" t="s">
        <v>14</v>
      </c>
      <c r="AM27" t="s">
        <v>14</v>
      </c>
      <c r="AN27" t="s">
        <v>14</v>
      </c>
      <c r="AO27" t="s">
        <v>14</v>
      </c>
      <c r="AQ27">
        <v>2</v>
      </c>
      <c r="AR27" t="s">
        <v>69</v>
      </c>
      <c r="AS27" s="10">
        <v>63</v>
      </c>
      <c r="AT27" s="15">
        <f t="shared" si="0"/>
        <v>43.684084640625002</v>
      </c>
      <c r="AU27" s="16" t="e">
        <f t="shared" si="1"/>
        <v>#VALUE!</v>
      </c>
      <c r="AW27" s="6">
        <f t="shared" si="2"/>
        <v>33.025075216562499</v>
      </c>
      <c r="AX27" s="7" t="e">
        <f t="shared" si="3"/>
        <v>#VALUE!</v>
      </c>
      <c r="AZ27" s="11">
        <f t="shared" si="4"/>
        <v>35.244611609374999</v>
      </c>
      <c r="BA27" s="12" t="e">
        <f t="shared" si="5"/>
        <v>#VALUE!</v>
      </c>
      <c r="BC27" s="13">
        <f t="shared" si="6"/>
        <v>39.460307487500003</v>
      </c>
      <c r="BD27" s="14" t="e">
        <f t="shared" si="7"/>
        <v>#VALUE!</v>
      </c>
      <c r="BF27" s="15">
        <f t="shared" si="8"/>
        <v>43.684084640625002</v>
      </c>
      <c r="BG27" s="16" t="e">
        <f t="shared" si="9"/>
        <v>#VALUE!</v>
      </c>
      <c r="BI27">
        <v>63</v>
      </c>
      <c r="BJ27" t="s">
        <v>53</v>
      </c>
      <c r="BK27" s="2">
        <v>45846.947071759256</v>
      </c>
      <c r="BL27">
        <v>378</v>
      </c>
      <c r="BM27" t="s">
        <v>13</v>
      </c>
      <c r="BN27">
        <v>0</v>
      </c>
      <c r="BO27">
        <v>2.8130000000000002</v>
      </c>
      <c r="BP27" s="3">
        <v>1457567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45846.968356481484</v>
      </c>
      <c r="D28">
        <v>140</v>
      </c>
      <c r="E28" t="s">
        <v>13</v>
      </c>
      <c r="F28">
        <v>0</v>
      </c>
      <c r="G28">
        <v>5.99</v>
      </c>
      <c r="H28" s="3">
        <v>12475</v>
      </c>
      <c r="I28">
        <v>2.9000000000000001E-2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45846.968356481484</v>
      </c>
      <c r="R28">
        <v>140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45846.968356481484</v>
      </c>
      <c r="AF28">
        <v>140</v>
      </c>
      <c r="AG28" t="s">
        <v>13</v>
      </c>
      <c r="AH28">
        <v>0</v>
      </c>
      <c r="AI28" t="s">
        <v>14</v>
      </c>
      <c r="AJ28" s="3" t="s">
        <v>14</v>
      </c>
      <c r="AK28" t="s">
        <v>14</v>
      </c>
      <c r="AL28" t="s">
        <v>14</v>
      </c>
      <c r="AM28" t="s">
        <v>14</v>
      </c>
      <c r="AN28" t="s">
        <v>14</v>
      </c>
      <c r="AO28" t="s">
        <v>14</v>
      </c>
      <c r="AQ28">
        <v>2</v>
      </c>
      <c r="AR28" t="s">
        <v>69</v>
      </c>
      <c r="AS28" s="10">
        <v>64</v>
      </c>
      <c r="AT28" s="15">
        <f t="shared" si="0"/>
        <v>36.596020460624999</v>
      </c>
      <c r="AU28" s="16" t="e">
        <f t="shared" si="1"/>
        <v>#VALUE!</v>
      </c>
      <c r="AW28" s="6">
        <f t="shared" si="2"/>
        <v>26.808765912162496</v>
      </c>
      <c r="AX28" s="7" t="e">
        <f t="shared" si="3"/>
        <v>#VALUE!</v>
      </c>
      <c r="AZ28" s="11">
        <f t="shared" si="4"/>
        <v>27.296003389374995</v>
      </c>
      <c r="BA28" s="12" t="e">
        <f t="shared" si="5"/>
        <v>#VALUE!</v>
      </c>
      <c r="BC28" s="13">
        <f t="shared" si="6"/>
        <v>31.7990803195</v>
      </c>
      <c r="BD28" s="14" t="e">
        <f t="shared" si="7"/>
        <v>#VALUE!</v>
      </c>
      <c r="BF28" s="15">
        <f t="shared" si="8"/>
        <v>36.596020460624999</v>
      </c>
      <c r="BG28" s="16" t="e">
        <f t="shared" si="9"/>
        <v>#VALUE!</v>
      </c>
      <c r="BI28">
        <v>64</v>
      </c>
      <c r="BJ28" t="s">
        <v>54</v>
      </c>
      <c r="BK28" s="2">
        <v>45846.968356481484</v>
      </c>
      <c r="BL28">
        <v>140</v>
      </c>
      <c r="BM28" t="s">
        <v>13</v>
      </c>
      <c r="BN28">
        <v>0</v>
      </c>
      <c r="BO28">
        <v>2.82</v>
      </c>
      <c r="BP28" s="3">
        <v>1316402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45846.989618055559</v>
      </c>
      <c r="D29">
        <v>173</v>
      </c>
      <c r="E29" t="s">
        <v>13</v>
      </c>
      <c r="F29">
        <v>0</v>
      </c>
      <c r="G29">
        <v>5.9859999999999998</v>
      </c>
      <c r="H29" s="3">
        <v>30486</v>
      </c>
      <c r="I29">
        <v>6.9000000000000006E-2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45846.989618055559</v>
      </c>
      <c r="R29">
        <v>173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45846.989618055559</v>
      </c>
      <c r="AF29">
        <v>173</v>
      </c>
      <c r="AG29" t="s">
        <v>13</v>
      </c>
      <c r="AH29">
        <v>0</v>
      </c>
      <c r="AI29">
        <v>12.118</v>
      </c>
      <c r="AJ29" s="3">
        <v>11481</v>
      </c>
      <c r="AK29">
        <v>2.4209999999999998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5">
        <f t="shared" si="0"/>
        <v>84.698020800451999</v>
      </c>
      <c r="AU29" s="16">
        <f t="shared" si="1"/>
        <v>2473.7556183757301</v>
      </c>
      <c r="AW29" s="6">
        <f t="shared" si="2"/>
        <v>69.036274430374149</v>
      </c>
      <c r="AX29" s="7">
        <f t="shared" si="3"/>
        <v>2266.0588230272801</v>
      </c>
      <c r="AZ29" s="11">
        <f t="shared" si="4"/>
        <v>80.883240198908013</v>
      </c>
      <c r="BA29" s="12">
        <f t="shared" si="5"/>
        <v>2719.5239260479002</v>
      </c>
      <c r="BC29" s="13">
        <f t="shared" si="6"/>
        <v>83.789504378595211</v>
      </c>
      <c r="BD29" s="14">
        <f t="shared" si="7"/>
        <v>2379.8225610121999</v>
      </c>
      <c r="BF29" s="15">
        <f t="shared" si="8"/>
        <v>84.698020800451999</v>
      </c>
      <c r="BG29" s="16">
        <f t="shared" si="9"/>
        <v>2473.7556183757301</v>
      </c>
      <c r="BI29">
        <v>65</v>
      </c>
      <c r="BJ29" t="s">
        <v>55</v>
      </c>
      <c r="BK29" s="2">
        <v>45846.989618055559</v>
      </c>
      <c r="BL29">
        <v>173</v>
      </c>
      <c r="BM29" t="s">
        <v>13</v>
      </c>
      <c r="BN29">
        <v>0</v>
      </c>
      <c r="BO29">
        <v>2.8239999999999998</v>
      </c>
      <c r="BP29" s="3">
        <v>1240242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45847.010914351849</v>
      </c>
      <c r="D30">
        <v>185</v>
      </c>
      <c r="E30" t="s">
        <v>13</v>
      </c>
      <c r="F30">
        <v>0</v>
      </c>
      <c r="G30">
        <v>5.9829999999999997</v>
      </c>
      <c r="H30" s="3">
        <v>61633</v>
      </c>
      <c r="I30">
        <v>0.13900000000000001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45847.010914351849</v>
      </c>
      <c r="R30">
        <v>185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45847.010914351849</v>
      </c>
      <c r="AF30">
        <v>185</v>
      </c>
      <c r="AG30" t="s">
        <v>13</v>
      </c>
      <c r="AH30">
        <v>0</v>
      </c>
      <c r="AI30">
        <v>12.113</v>
      </c>
      <c r="AJ30" s="3">
        <v>16906</v>
      </c>
      <c r="AK30">
        <v>3.609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5">
        <f t="shared" si="0"/>
        <v>167.479667180793</v>
      </c>
      <c r="AU30" s="16">
        <f t="shared" si="1"/>
        <v>3701.4713641374801</v>
      </c>
      <c r="AW30" s="6">
        <f t="shared" si="2"/>
        <v>141.93834260646793</v>
      </c>
      <c r="AX30" s="7">
        <f t="shared" si="3"/>
        <v>3383.4762564252801</v>
      </c>
      <c r="AZ30" s="11">
        <f t="shared" si="4"/>
        <v>171.13878471144704</v>
      </c>
      <c r="BA30" s="12">
        <f t="shared" si="5"/>
        <v>3972.9847655004005</v>
      </c>
      <c r="BC30" s="13">
        <f t="shared" si="6"/>
        <v>173.25602361221681</v>
      </c>
      <c r="BD30" s="14">
        <f t="shared" si="7"/>
        <v>3482.7383924072001</v>
      </c>
      <c r="BF30" s="15">
        <f t="shared" si="8"/>
        <v>167.479667180793</v>
      </c>
      <c r="BG30" s="16">
        <f t="shared" si="9"/>
        <v>3701.4713641374801</v>
      </c>
      <c r="BI30">
        <v>66</v>
      </c>
      <c r="BJ30" t="s">
        <v>56</v>
      </c>
      <c r="BK30" s="2">
        <v>45847.010914351849</v>
      </c>
      <c r="BL30">
        <v>185</v>
      </c>
      <c r="BM30" t="s">
        <v>13</v>
      </c>
      <c r="BN30">
        <v>0</v>
      </c>
      <c r="BO30">
        <v>2.82</v>
      </c>
      <c r="BP30" s="3">
        <v>1321202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45847.032210648147</v>
      </c>
      <c r="D31">
        <v>27</v>
      </c>
      <c r="E31" t="s">
        <v>13</v>
      </c>
      <c r="F31">
        <v>0</v>
      </c>
      <c r="G31">
        <v>5.9669999999999996</v>
      </c>
      <c r="H31" s="3">
        <v>5336616</v>
      </c>
      <c r="I31">
        <v>12.185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45847.032210648147</v>
      </c>
      <c r="R31">
        <v>27</v>
      </c>
      <c r="S31" t="s">
        <v>13</v>
      </c>
      <c r="T31">
        <v>0</v>
      </c>
      <c r="U31">
        <v>5.92</v>
      </c>
      <c r="V31" s="3">
        <v>40387</v>
      </c>
      <c r="W31">
        <v>10.058999999999999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45847.032210648147</v>
      </c>
      <c r="AF31">
        <v>27</v>
      </c>
      <c r="AG31" t="s">
        <v>13</v>
      </c>
      <c r="AH31">
        <v>0</v>
      </c>
      <c r="AI31">
        <v>12.103</v>
      </c>
      <c r="AJ31" s="3">
        <v>22641</v>
      </c>
      <c r="AK31">
        <v>4.8639999999999999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5">
        <f t="shared" si="0"/>
        <v>10990.992444779906</v>
      </c>
      <c r="AU31" s="16">
        <f t="shared" si="1"/>
        <v>4996.2016877893302</v>
      </c>
      <c r="AW31" s="6">
        <f t="shared" si="2"/>
        <v>10174.816792676778</v>
      </c>
      <c r="AX31" s="7">
        <f t="shared" si="3"/>
        <v>4563.1127682368797</v>
      </c>
      <c r="AZ31" s="11">
        <f t="shared" si="4"/>
        <v>9977.4168918349187</v>
      </c>
      <c r="BA31" s="12">
        <f t="shared" si="5"/>
        <v>5268.8803527758992</v>
      </c>
      <c r="BC31" s="13">
        <f t="shared" si="6"/>
        <v>11416.795371944972</v>
      </c>
      <c r="BD31" s="14">
        <f t="shared" si="7"/>
        <v>4644.8506301161997</v>
      </c>
      <c r="BF31" s="15">
        <f t="shared" si="8"/>
        <v>10990.992444779906</v>
      </c>
      <c r="BG31" s="16">
        <f t="shared" si="9"/>
        <v>4996.2016877893302</v>
      </c>
      <c r="BI31">
        <v>67</v>
      </c>
      <c r="BJ31" t="s">
        <v>57</v>
      </c>
      <c r="BK31" s="2">
        <v>45847.032210648147</v>
      </c>
      <c r="BL31">
        <v>27</v>
      </c>
      <c r="BM31" t="s">
        <v>13</v>
      </c>
      <c r="BN31">
        <v>0</v>
      </c>
      <c r="BO31">
        <v>2.8370000000000002</v>
      </c>
      <c r="BP31" s="3">
        <v>926894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45</v>
      </c>
      <c r="B32" t="s">
        <v>58</v>
      </c>
      <c r="C32" s="2">
        <v>45847.664340277777</v>
      </c>
      <c r="D32" t="s">
        <v>35</v>
      </c>
      <c r="E32" t="s">
        <v>13</v>
      </c>
      <c r="F32">
        <v>0</v>
      </c>
      <c r="G32">
        <v>6.0339999999999998</v>
      </c>
      <c r="H32" s="3">
        <v>1950</v>
      </c>
      <c r="I32">
        <v>5.0000000000000001E-3</v>
      </c>
      <c r="J32" t="s">
        <v>14</v>
      </c>
      <c r="K32" t="s">
        <v>14</v>
      </c>
      <c r="L32" t="s">
        <v>14</v>
      </c>
      <c r="M32" t="s">
        <v>14</v>
      </c>
      <c r="O32">
        <v>45</v>
      </c>
      <c r="P32" t="s">
        <v>58</v>
      </c>
      <c r="Q32" s="2">
        <v>45847.664340277777</v>
      </c>
      <c r="R32" t="s">
        <v>35</v>
      </c>
      <c r="S32" t="s">
        <v>13</v>
      </c>
      <c r="T32">
        <v>0</v>
      </c>
      <c r="U32" t="s">
        <v>14</v>
      </c>
      <c r="V32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45</v>
      </c>
      <c r="AD32" t="s">
        <v>58</v>
      </c>
      <c r="AE32" s="2">
        <v>45847.664340277777</v>
      </c>
      <c r="AF32" t="s">
        <v>35</v>
      </c>
      <c r="AG32" t="s">
        <v>13</v>
      </c>
      <c r="AH32">
        <v>0</v>
      </c>
      <c r="AI32">
        <v>12.166</v>
      </c>
      <c r="AJ32" s="3">
        <v>2510</v>
      </c>
      <c r="AK32">
        <v>0.45400000000000001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140</v>
      </c>
      <c r="AT32" s="15">
        <f t="shared" ref="AT32:AT41" si="10">IF(H32&lt;10000,((H32^2*0.000000008493)+(H32*0.003482)+(-3.269)),(IF(H32&lt;200000,((H32^2*-0.000000000263)+(H32*0.002682)+(3.179)),(IF(H32&lt;8000000,((H32^2*-0.000000000005099)+(H32*0.002054)+(174.8)),((V32^2*-0.00000001014)+(V32*0.2415)+(1123)))))))</f>
        <v>3.5531946324999995</v>
      </c>
      <c r="AU32" s="16">
        <f t="shared" ref="AU32:AU41" si="11">IF(AJ32&lt;45000,((-0.00000004907*AJ32^2)+(0.2277*AJ32)+(-134)),((-0.00000001062*AJ32^2)+(0.2147*AJ32)+(590.6)))</f>
        <v>437.21785409300003</v>
      </c>
      <c r="AW32" s="6">
        <f t="shared" ref="AW32:AW41" si="12">IF(H32&lt;10000,((0.0000001453*H32^2)+(0.0008349*H32)+(-1.805)),(IF(H32&lt;700000,((-0.00000000008054*H32^2)+(0.002348*H32)+(-2.47)), ((-0.00000001938*V32^2)+(0.2471*V32)+(226.8)))))</f>
        <v>0.37555824999999987</v>
      </c>
      <c r="AX32" s="7">
        <f t="shared" ref="AX32:AX41" si="13">(-0.00000002552*AJ32^2)+(0.2067*AJ32)+(-103.7)</f>
        <v>414.95622144800001</v>
      </c>
      <c r="AZ32" s="11">
        <f t="shared" ref="AZ32:AZ41" si="14">IF(H32&lt;10000,((H32^2*0.00000054)+(H32*-0.004765)+(12.72)),(IF(H32&lt;200000,((H32^2*-0.000000001577)+(H32*0.003043)+(-10.42)),(IF(H32&lt;8000000,((H32^2*-0.0000000000186)+(H32*0.00194)+(154.1)),((V32^2*-0.00000002)+(V32*0.2565)+(-1032)))))))</f>
        <v>5.4816000000000003</v>
      </c>
      <c r="BA32" s="12">
        <f t="shared" ref="BA32:BA41" si="15">IF(AJ32&lt;45000,((-0.0000004561*AJ32^2)+(0.244*AJ32)+(-21.72)),((-0.0000000409*AJ32^2)+(0.2477*AJ32)+(-1777)))</f>
        <v>587.8465243899999</v>
      </c>
      <c r="BC32" s="13">
        <f t="shared" ref="BC32:BC41" si="16">IF(H32&lt;10000,((H32^2*0.00000005714)+(H32*0.002453)+(-3.811)),(IF(H32&lt;200000,((H32^2*-0.0000000002888)+(H32*0.002899)+(-4.321)),(IF(H32&lt;8000000,((H32^2*-0.0000000000062)+(H32*0.002143)+(157)),((V32^2*-0.000000031)+(V32*0.2771)+(-709.5)))))))</f>
        <v>1.1896248499999995</v>
      </c>
      <c r="BD32" s="14">
        <f t="shared" ref="BD32:BD41" si="17">IF(AJ32&lt;45000,((-0.0000000598*AJ32^2)+(0.205*AJ32)+(34.1)),((-0.00000002403*AJ32^2)+(0.2063*AJ32)+(-550.7)))</f>
        <v>548.27325401999997</v>
      </c>
      <c r="BF32" s="15">
        <f t="shared" ref="BF32:BF41" si="18">IF(H32&lt;10000,((H32^2*0.000000008493)+(H32*0.003482)+(-3.269)),(IF(H32&lt;200000,((H32^2*-0.000000000263)+(H32*0.002682)+(3.179)),(IF(H32&lt;8000000,((H32^2*-0.000000000005099)+(H32*0.002054)+(174.8)),((V32^2*-0.00000001014)+(V32*0.2415)+(1123)))))))</f>
        <v>3.5531946324999995</v>
      </c>
      <c r="BG32" s="16">
        <f t="shared" ref="BG32:BG41" si="19">IF(AJ32&lt;45000,((-0.00000004907*AJ32^2)+(0.2277*AJ32)+(-134)),((-0.00000001062*AJ32^2)+(0.2147*AJ32)+(590.6)))</f>
        <v>437.21785409300003</v>
      </c>
      <c r="BI32">
        <v>45</v>
      </c>
      <c r="BJ32" t="s">
        <v>58</v>
      </c>
      <c r="BK32" s="2">
        <v>45847.664340277777</v>
      </c>
      <c r="BL32" t="s">
        <v>35</v>
      </c>
      <c r="BM32" t="s">
        <v>13</v>
      </c>
      <c r="BN32">
        <v>0</v>
      </c>
      <c r="BO32">
        <v>2.7</v>
      </c>
      <c r="BP32" s="3">
        <v>4970559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46</v>
      </c>
      <c r="B33" t="s">
        <v>59</v>
      </c>
      <c r="C33" s="2">
        <v>45847.685601851852</v>
      </c>
      <c r="D33" t="s">
        <v>29</v>
      </c>
      <c r="E33" t="s">
        <v>13</v>
      </c>
      <c r="F33">
        <v>0</v>
      </c>
      <c r="G33">
        <v>5.9829999999999997</v>
      </c>
      <c r="H33" s="3">
        <v>1073486</v>
      </c>
      <c r="I33">
        <v>2.4260000000000002</v>
      </c>
      <c r="J33" t="s">
        <v>14</v>
      </c>
      <c r="K33" t="s">
        <v>14</v>
      </c>
      <c r="L33" t="s">
        <v>14</v>
      </c>
      <c r="M33" t="s">
        <v>14</v>
      </c>
      <c r="O33">
        <v>46</v>
      </c>
      <c r="P33" t="s">
        <v>59</v>
      </c>
      <c r="Q33" s="2">
        <v>45847.685601851852</v>
      </c>
      <c r="R33" t="s">
        <v>29</v>
      </c>
      <c r="S33" t="s">
        <v>13</v>
      </c>
      <c r="T33">
        <v>0</v>
      </c>
      <c r="U33">
        <v>5.9279999999999999</v>
      </c>
      <c r="V33" s="3">
        <v>9029</v>
      </c>
      <c r="W33">
        <v>2.323</v>
      </c>
      <c r="X33" t="s">
        <v>14</v>
      </c>
      <c r="Y33" t="s">
        <v>14</v>
      </c>
      <c r="Z33" t="s">
        <v>14</v>
      </c>
      <c r="AA33" t="s">
        <v>14</v>
      </c>
      <c r="AC33">
        <v>46</v>
      </c>
      <c r="AD33" t="s">
        <v>59</v>
      </c>
      <c r="AE33" s="2">
        <v>45847.685601851852</v>
      </c>
      <c r="AF33" t="s">
        <v>29</v>
      </c>
      <c r="AG33" t="s">
        <v>13</v>
      </c>
      <c r="AH33">
        <v>0</v>
      </c>
      <c r="AI33">
        <v>12.141</v>
      </c>
      <c r="AJ33" s="3">
        <v>7782</v>
      </c>
      <c r="AK33">
        <v>1.611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141</v>
      </c>
      <c r="AT33" s="15">
        <f t="shared" si="10"/>
        <v>2373.8642981919925</v>
      </c>
      <c r="AU33" s="16">
        <f t="shared" si="11"/>
        <v>1634.98974415732</v>
      </c>
      <c r="AW33" s="6">
        <f t="shared" si="12"/>
        <v>2456.2859873414204</v>
      </c>
      <c r="AX33" s="7">
        <f t="shared" si="13"/>
        <v>1503.2939209475198</v>
      </c>
      <c r="AZ33" s="11">
        <f t="shared" si="14"/>
        <v>2215.2287172251545</v>
      </c>
      <c r="BA33" s="12">
        <f t="shared" si="15"/>
        <v>1849.4668011035999</v>
      </c>
      <c r="BC33" s="13">
        <f t="shared" si="16"/>
        <v>2450.3357904083846</v>
      </c>
      <c r="BD33" s="14">
        <f t="shared" si="17"/>
        <v>1625.7885404647998</v>
      </c>
      <c r="BF33" s="15">
        <f t="shared" si="18"/>
        <v>2373.8642981919925</v>
      </c>
      <c r="BG33" s="16">
        <f t="shared" si="19"/>
        <v>1634.98974415732</v>
      </c>
      <c r="BI33">
        <v>46</v>
      </c>
      <c r="BJ33" t="s">
        <v>59</v>
      </c>
      <c r="BK33" s="2">
        <v>45847.685601851852</v>
      </c>
      <c r="BL33" t="s">
        <v>29</v>
      </c>
      <c r="BM33" t="s">
        <v>13</v>
      </c>
      <c r="BN33">
        <v>0</v>
      </c>
      <c r="BO33">
        <v>2.702</v>
      </c>
      <c r="BP33" s="3">
        <v>4870654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47</v>
      </c>
      <c r="B34" t="s">
        <v>60</v>
      </c>
      <c r="C34" s="2">
        <v>45847.706863425927</v>
      </c>
      <c r="D34" t="s">
        <v>28</v>
      </c>
      <c r="E34" t="s">
        <v>13</v>
      </c>
      <c r="F34">
        <v>0</v>
      </c>
      <c r="G34">
        <v>6.0090000000000003</v>
      </c>
      <c r="H34" s="3">
        <v>3430</v>
      </c>
      <c r="I34">
        <v>8.0000000000000002E-3</v>
      </c>
      <c r="J34" t="s">
        <v>14</v>
      </c>
      <c r="K34" t="s">
        <v>14</v>
      </c>
      <c r="L34" t="s">
        <v>14</v>
      </c>
      <c r="M34" t="s">
        <v>14</v>
      </c>
      <c r="O34">
        <v>47</v>
      </c>
      <c r="P34" t="s">
        <v>60</v>
      </c>
      <c r="Q34" s="2">
        <v>45847.706863425927</v>
      </c>
      <c r="R34" t="s">
        <v>28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47</v>
      </c>
      <c r="AD34" t="s">
        <v>60</v>
      </c>
      <c r="AE34" s="2">
        <v>45847.706863425927</v>
      </c>
      <c r="AF34" t="s">
        <v>28</v>
      </c>
      <c r="AG34" t="s">
        <v>13</v>
      </c>
      <c r="AH34">
        <v>0</v>
      </c>
      <c r="AI34">
        <v>12.183</v>
      </c>
      <c r="AJ34" s="3">
        <v>1693</v>
      </c>
      <c r="AK34">
        <v>0.27500000000000002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142</v>
      </c>
      <c r="AT34" s="15">
        <f t="shared" si="10"/>
        <v>8.774179295699998</v>
      </c>
      <c r="AU34" s="16">
        <f t="shared" si="11"/>
        <v>251.35545316157004</v>
      </c>
      <c r="AW34" s="6">
        <f t="shared" si="12"/>
        <v>2.7681469700000001</v>
      </c>
      <c r="AX34" s="7">
        <f t="shared" si="13"/>
        <v>246.16995332552005</v>
      </c>
      <c r="AZ34" s="11">
        <f t="shared" si="14"/>
        <v>2.7290960000000002</v>
      </c>
      <c r="BA34" s="12">
        <f t="shared" si="15"/>
        <v>390.06470383110002</v>
      </c>
      <c r="BC34" s="13">
        <f t="shared" si="16"/>
        <v>5.2750363859999982</v>
      </c>
      <c r="BD34" s="14">
        <f t="shared" si="17"/>
        <v>380.99359830980001</v>
      </c>
      <c r="BF34" s="15">
        <f t="shared" si="18"/>
        <v>8.774179295699998</v>
      </c>
      <c r="BG34" s="16">
        <f t="shared" si="19"/>
        <v>251.35545316157004</v>
      </c>
      <c r="BI34">
        <v>47</v>
      </c>
      <c r="BJ34" t="s">
        <v>60</v>
      </c>
      <c r="BK34" s="2">
        <v>45847.706863425927</v>
      </c>
      <c r="BL34" t="s">
        <v>28</v>
      </c>
      <c r="BM34" t="s">
        <v>13</v>
      </c>
      <c r="BN34">
        <v>0</v>
      </c>
      <c r="BO34">
        <v>2.6930000000000001</v>
      </c>
      <c r="BP34" s="3">
        <v>5062934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48</v>
      </c>
      <c r="B35" t="s">
        <v>61</v>
      </c>
      <c r="C35" s="2">
        <v>45847.728148148148</v>
      </c>
      <c r="D35">
        <v>274</v>
      </c>
      <c r="E35" t="s">
        <v>13</v>
      </c>
      <c r="F35">
        <v>0</v>
      </c>
      <c r="G35">
        <v>5.9889999999999999</v>
      </c>
      <c r="H35" s="3">
        <v>16037</v>
      </c>
      <c r="I35">
        <v>3.6999999999999998E-2</v>
      </c>
      <c r="J35" t="s">
        <v>14</v>
      </c>
      <c r="K35" t="s">
        <v>14</v>
      </c>
      <c r="L35" t="s">
        <v>14</v>
      </c>
      <c r="M35" t="s">
        <v>14</v>
      </c>
      <c r="O35">
        <v>48</v>
      </c>
      <c r="P35" t="s">
        <v>61</v>
      </c>
      <c r="Q35" s="2">
        <v>45847.728148148148</v>
      </c>
      <c r="R35">
        <v>274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48</v>
      </c>
      <c r="AD35" t="s">
        <v>61</v>
      </c>
      <c r="AE35" s="2">
        <v>45847.728148148148</v>
      </c>
      <c r="AF35">
        <v>274</v>
      </c>
      <c r="AG35" t="s">
        <v>13</v>
      </c>
      <c r="AH35">
        <v>0</v>
      </c>
      <c r="AI35">
        <v>12.131</v>
      </c>
      <c r="AJ35" s="3">
        <v>7168</v>
      </c>
      <c r="AK35">
        <v>1.476</v>
      </c>
      <c r="AL35" t="s">
        <v>14</v>
      </c>
      <c r="AM35" t="s">
        <v>14</v>
      </c>
      <c r="AN35" t="s">
        <v>14</v>
      </c>
      <c r="AO35" t="s">
        <v>14</v>
      </c>
      <c r="AQ35">
        <v>2</v>
      </c>
      <c r="AR35" t="s">
        <v>68</v>
      </c>
      <c r="AS35" s="10">
        <v>143</v>
      </c>
      <c r="AT35" s="15">
        <f t="shared" si="10"/>
        <v>46.122594247953003</v>
      </c>
      <c r="AU35" s="16">
        <f t="shared" si="11"/>
        <v>1495.6323724083202</v>
      </c>
      <c r="AW35" s="6">
        <f t="shared" si="12"/>
        <v>35.164162290380737</v>
      </c>
      <c r="AX35" s="7">
        <f t="shared" si="13"/>
        <v>1376.6143766835198</v>
      </c>
      <c r="AZ35" s="11">
        <f t="shared" si="14"/>
        <v>37.975009673087001</v>
      </c>
      <c r="BA35" s="12">
        <f t="shared" si="15"/>
        <v>1703.8374798335999</v>
      </c>
      <c r="BC35" s="13">
        <f t="shared" si="16"/>
        <v>42.095987865432804</v>
      </c>
      <c r="BD35" s="14">
        <f t="shared" si="17"/>
        <v>1500.4674626047997</v>
      </c>
      <c r="BF35" s="15">
        <f t="shared" si="18"/>
        <v>46.122594247953003</v>
      </c>
      <c r="BG35" s="16">
        <f t="shared" si="19"/>
        <v>1495.6323724083202</v>
      </c>
      <c r="BI35">
        <v>48</v>
      </c>
      <c r="BJ35" t="s">
        <v>61</v>
      </c>
      <c r="BK35" s="2">
        <v>45847.728148148148</v>
      </c>
      <c r="BL35">
        <v>274</v>
      </c>
      <c r="BM35" t="s">
        <v>13</v>
      </c>
      <c r="BN35">
        <v>0</v>
      </c>
      <c r="BO35">
        <v>2.7949999999999999</v>
      </c>
      <c r="BP35" s="3">
        <v>1882243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49</v>
      </c>
      <c r="B36" t="s">
        <v>62</v>
      </c>
      <c r="C36" s="2">
        <v>45847.749421296299</v>
      </c>
      <c r="D36">
        <v>287</v>
      </c>
      <c r="E36" t="s">
        <v>13</v>
      </c>
      <c r="F36">
        <v>0</v>
      </c>
      <c r="G36">
        <v>5.9809999999999999</v>
      </c>
      <c r="H36" s="3">
        <v>93066</v>
      </c>
      <c r="I36">
        <v>0.21</v>
      </c>
      <c r="J36" t="s">
        <v>14</v>
      </c>
      <c r="K36" t="s">
        <v>14</v>
      </c>
      <c r="L36" t="s">
        <v>14</v>
      </c>
      <c r="M36" t="s">
        <v>14</v>
      </c>
      <c r="O36">
        <v>49</v>
      </c>
      <c r="P36" t="s">
        <v>62</v>
      </c>
      <c r="Q36" s="2">
        <v>45847.749421296299</v>
      </c>
      <c r="R36">
        <v>287</v>
      </c>
      <c r="S36" t="s">
        <v>13</v>
      </c>
      <c r="T36">
        <v>0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49</v>
      </c>
      <c r="AD36" t="s">
        <v>62</v>
      </c>
      <c r="AE36" s="2">
        <v>45847.749421296299</v>
      </c>
      <c r="AF36">
        <v>287</v>
      </c>
      <c r="AG36" t="s">
        <v>13</v>
      </c>
      <c r="AH36">
        <v>0</v>
      </c>
      <c r="AI36">
        <v>12.106999999999999</v>
      </c>
      <c r="AJ36" s="3">
        <v>29922</v>
      </c>
      <c r="AK36">
        <v>6.4560000000000004</v>
      </c>
      <c r="AL36" t="s">
        <v>14</v>
      </c>
      <c r="AM36" t="s">
        <v>14</v>
      </c>
      <c r="AN36" t="s">
        <v>14</v>
      </c>
      <c r="AO36" t="s">
        <v>14</v>
      </c>
      <c r="AQ36">
        <v>2</v>
      </c>
      <c r="AR36" t="s">
        <v>68</v>
      </c>
      <c r="AS36" s="10">
        <v>144</v>
      </c>
      <c r="AT36" s="15">
        <f t="shared" si="10"/>
        <v>250.50409526637202</v>
      </c>
      <c r="AU36" s="16">
        <f t="shared" si="11"/>
        <v>6635.3057490581205</v>
      </c>
      <c r="AW36" s="6">
        <f t="shared" si="12"/>
        <v>215.35138848012772</v>
      </c>
      <c r="AX36" s="7">
        <f t="shared" si="13"/>
        <v>6058.3286783363192</v>
      </c>
      <c r="AZ36" s="11">
        <f t="shared" si="14"/>
        <v>259.12099887858795</v>
      </c>
      <c r="BA36" s="12">
        <f t="shared" si="15"/>
        <v>6870.8897730875997</v>
      </c>
      <c r="BC36" s="13">
        <f t="shared" si="16"/>
        <v>262.97595623318716</v>
      </c>
      <c r="BD36" s="14">
        <f t="shared" si="17"/>
        <v>6114.5695001767999</v>
      </c>
      <c r="BF36" s="15">
        <f t="shared" si="18"/>
        <v>250.50409526637202</v>
      </c>
      <c r="BG36" s="16">
        <f t="shared" si="19"/>
        <v>6635.3057490581205</v>
      </c>
      <c r="BI36">
        <v>49</v>
      </c>
      <c r="BJ36" t="s">
        <v>62</v>
      </c>
      <c r="BK36" s="2">
        <v>45847.749421296299</v>
      </c>
      <c r="BL36">
        <v>287</v>
      </c>
      <c r="BM36" t="s">
        <v>13</v>
      </c>
      <c r="BN36">
        <v>0</v>
      </c>
      <c r="BO36">
        <v>2.798</v>
      </c>
      <c r="BP36" s="3">
        <v>1761819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50</v>
      </c>
      <c r="B37" t="s">
        <v>63</v>
      </c>
      <c r="C37" s="2">
        <v>45847.770671296297</v>
      </c>
      <c r="D37">
        <v>123</v>
      </c>
      <c r="E37" t="s">
        <v>13</v>
      </c>
      <c r="F37">
        <v>0</v>
      </c>
      <c r="G37">
        <v>5.9829999999999997</v>
      </c>
      <c r="H37" s="3">
        <v>22841</v>
      </c>
      <c r="I37">
        <v>5.1999999999999998E-2</v>
      </c>
      <c r="J37" t="s">
        <v>14</v>
      </c>
      <c r="K37" t="s">
        <v>14</v>
      </c>
      <c r="L37" t="s">
        <v>14</v>
      </c>
      <c r="M37" t="s">
        <v>14</v>
      </c>
      <c r="O37">
        <v>50</v>
      </c>
      <c r="P37" t="s">
        <v>63</v>
      </c>
      <c r="Q37" s="2">
        <v>45847.770671296297</v>
      </c>
      <c r="R37">
        <v>123</v>
      </c>
      <c r="S37" t="s">
        <v>13</v>
      </c>
      <c r="T37">
        <v>0</v>
      </c>
      <c r="U37" t="s">
        <v>14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50</v>
      </c>
      <c r="AD37" t="s">
        <v>63</v>
      </c>
      <c r="AE37" s="2">
        <v>45847.770671296297</v>
      </c>
      <c r="AF37">
        <v>123</v>
      </c>
      <c r="AG37" t="s">
        <v>13</v>
      </c>
      <c r="AH37">
        <v>0</v>
      </c>
      <c r="AI37">
        <v>12.122</v>
      </c>
      <c r="AJ37" s="3">
        <v>10474</v>
      </c>
      <c r="AK37">
        <v>2.2010000000000001</v>
      </c>
      <c r="AL37" t="s">
        <v>14</v>
      </c>
      <c r="AM37" t="s">
        <v>14</v>
      </c>
      <c r="AN37" t="s">
        <v>14</v>
      </c>
      <c r="AO37" t="s">
        <v>14</v>
      </c>
      <c r="AQ37">
        <v>2</v>
      </c>
      <c r="AR37" t="s">
        <v>68</v>
      </c>
      <c r="AS37" s="10">
        <v>145</v>
      </c>
      <c r="AT37" s="15">
        <f t="shared" si="10"/>
        <v>64.301351933096996</v>
      </c>
      <c r="AU37" s="16">
        <f t="shared" si="11"/>
        <v>2245.5465915486802</v>
      </c>
      <c r="AW37" s="6">
        <f t="shared" si="12"/>
        <v>51.118649373428255</v>
      </c>
      <c r="AX37" s="7">
        <f t="shared" si="13"/>
        <v>2058.4761366684802</v>
      </c>
      <c r="AZ37" s="11">
        <f t="shared" si="14"/>
        <v>58.262424309862993</v>
      </c>
      <c r="BA37" s="12">
        <f t="shared" si="15"/>
        <v>2483.8996972764003</v>
      </c>
      <c r="BC37" s="13">
        <f t="shared" si="16"/>
        <v>61.74438878204721</v>
      </c>
      <c r="BD37" s="14">
        <f t="shared" si="17"/>
        <v>2174.7096603752002</v>
      </c>
      <c r="BF37" s="15">
        <f t="shared" si="18"/>
        <v>64.301351933096996</v>
      </c>
      <c r="BG37" s="16">
        <f t="shared" si="19"/>
        <v>2245.5465915486802</v>
      </c>
      <c r="BI37">
        <v>50</v>
      </c>
      <c r="BJ37" t="s">
        <v>63</v>
      </c>
      <c r="BK37" s="2">
        <v>45847.770671296297</v>
      </c>
      <c r="BL37">
        <v>123</v>
      </c>
      <c r="BM37" t="s">
        <v>13</v>
      </c>
      <c r="BN37">
        <v>0</v>
      </c>
      <c r="BO37">
        <v>2.7949999999999999</v>
      </c>
      <c r="BP37" s="3">
        <v>1856280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51</v>
      </c>
      <c r="B38" t="s">
        <v>64</v>
      </c>
      <c r="C38" s="2">
        <v>45847.791921296295</v>
      </c>
      <c r="D38">
        <v>20</v>
      </c>
      <c r="E38" t="s">
        <v>13</v>
      </c>
      <c r="F38">
        <v>0</v>
      </c>
      <c r="G38">
        <v>5.98</v>
      </c>
      <c r="H38" s="3">
        <v>416697</v>
      </c>
      <c r="I38">
        <v>0.94</v>
      </c>
      <c r="J38" t="s">
        <v>14</v>
      </c>
      <c r="K38" t="s">
        <v>14</v>
      </c>
      <c r="L38" t="s">
        <v>14</v>
      </c>
      <c r="M38" t="s">
        <v>14</v>
      </c>
      <c r="O38">
        <v>51</v>
      </c>
      <c r="P38" t="s">
        <v>64</v>
      </c>
      <c r="Q38" s="2">
        <v>45847.791921296295</v>
      </c>
      <c r="R38">
        <v>20</v>
      </c>
      <c r="S38" t="s">
        <v>13</v>
      </c>
      <c r="T38">
        <v>0</v>
      </c>
      <c r="U38">
        <v>5.9320000000000004</v>
      </c>
      <c r="V38" s="3">
        <v>3227</v>
      </c>
      <c r="W38">
        <v>0.88900000000000001</v>
      </c>
      <c r="X38" t="s">
        <v>14</v>
      </c>
      <c r="Y38" t="s">
        <v>14</v>
      </c>
      <c r="Z38" t="s">
        <v>14</v>
      </c>
      <c r="AA38" t="s">
        <v>14</v>
      </c>
      <c r="AC38">
        <v>51</v>
      </c>
      <c r="AD38" t="s">
        <v>64</v>
      </c>
      <c r="AE38" s="2">
        <v>45847.791921296295</v>
      </c>
      <c r="AF38">
        <v>20</v>
      </c>
      <c r="AG38" t="s">
        <v>13</v>
      </c>
      <c r="AH38">
        <v>0</v>
      </c>
      <c r="AI38">
        <v>12.106999999999999</v>
      </c>
      <c r="AJ38" s="3">
        <v>30131</v>
      </c>
      <c r="AK38">
        <v>6.5019999999999998</v>
      </c>
      <c r="AL38" t="s">
        <v>14</v>
      </c>
      <c r="AM38" t="s">
        <v>14</v>
      </c>
      <c r="AN38" t="s">
        <v>14</v>
      </c>
      <c r="AO38" t="s">
        <v>14</v>
      </c>
      <c r="AQ38">
        <v>2</v>
      </c>
      <c r="AR38" t="s">
        <v>68</v>
      </c>
      <c r="AS38" s="10">
        <v>146</v>
      </c>
      <c r="AT38" s="15">
        <f t="shared" si="10"/>
        <v>1029.8102660483639</v>
      </c>
      <c r="AU38" s="16">
        <f t="shared" si="11"/>
        <v>6682.2791677097302</v>
      </c>
      <c r="AW38" s="6">
        <f t="shared" si="12"/>
        <v>961.94988116478305</v>
      </c>
      <c r="AX38" s="7">
        <f t="shared" si="13"/>
        <v>6101.2086748512802</v>
      </c>
      <c r="AZ38" s="11">
        <f t="shared" si="14"/>
        <v>959.2625431495527</v>
      </c>
      <c r="BA38" s="12">
        <f t="shared" si="15"/>
        <v>6916.1612268679</v>
      </c>
      <c r="BC38" s="13">
        <f t="shared" si="16"/>
        <v>1048.9051253831842</v>
      </c>
      <c r="BD38" s="14">
        <f t="shared" si="17"/>
        <v>6156.6639457722003</v>
      </c>
      <c r="BF38" s="15">
        <f t="shared" si="18"/>
        <v>1029.8102660483639</v>
      </c>
      <c r="BG38" s="16">
        <f t="shared" si="19"/>
        <v>6682.2791677097302</v>
      </c>
      <c r="BI38">
        <v>51</v>
      </c>
      <c r="BJ38" t="s">
        <v>64</v>
      </c>
      <c r="BK38" s="2">
        <v>45847.791921296295</v>
      </c>
      <c r="BL38">
        <v>20</v>
      </c>
      <c r="BM38" t="s">
        <v>13</v>
      </c>
      <c r="BN38">
        <v>0</v>
      </c>
      <c r="BO38">
        <v>2.798</v>
      </c>
      <c r="BP38" s="3">
        <v>1793549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52</v>
      </c>
      <c r="B39" t="s">
        <v>65</v>
      </c>
      <c r="C39" s="2">
        <v>45847.813206018516</v>
      </c>
      <c r="D39">
        <v>370</v>
      </c>
      <c r="E39" t="s">
        <v>13</v>
      </c>
      <c r="F39">
        <v>0</v>
      </c>
      <c r="G39">
        <v>5.9790000000000001</v>
      </c>
      <c r="H39" s="3">
        <v>457742</v>
      </c>
      <c r="I39">
        <v>1.0329999999999999</v>
      </c>
      <c r="J39" t="s">
        <v>14</v>
      </c>
      <c r="K39" t="s">
        <v>14</v>
      </c>
      <c r="L39" t="s">
        <v>14</v>
      </c>
      <c r="M39" t="s">
        <v>14</v>
      </c>
      <c r="O39">
        <v>52</v>
      </c>
      <c r="P39" t="s">
        <v>65</v>
      </c>
      <c r="Q39" s="2">
        <v>45847.813206018516</v>
      </c>
      <c r="R39">
        <v>370</v>
      </c>
      <c r="S39" t="s">
        <v>13</v>
      </c>
      <c r="T39">
        <v>0</v>
      </c>
      <c r="U39">
        <v>5.9219999999999997</v>
      </c>
      <c r="V39" s="3">
        <v>3502</v>
      </c>
      <c r="W39">
        <v>0.95699999999999996</v>
      </c>
      <c r="X39" t="s">
        <v>14</v>
      </c>
      <c r="Y39" t="s">
        <v>14</v>
      </c>
      <c r="Z39" t="s">
        <v>14</v>
      </c>
      <c r="AA39" t="s">
        <v>14</v>
      </c>
      <c r="AC39">
        <v>52</v>
      </c>
      <c r="AD39" t="s">
        <v>65</v>
      </c>
      <c r="AE39" s="2">
        <v>45847.813206018516</v>
      </c>
      <c r="AF39">
        <v>370</v>
      </c>
      <c r="AG39" t="s">
        <v>13</v>
      </c>
      <c r="AH39">
        <v>0</v>
      </c>
      <c r="AI39">
        <v>12.111000000000001</v>
      </c>
      <c r="AJ39" s="3">
        <v>24208</v>
      </c>
      <c r="AK39">
        <v>5.2069999999999999</v>
      </c>
      <c r="AL39" t="s">
        <v>14</v>
      </c>
      <c r="AM39" t="s">
        <v>14</v>
      </c>
      <c r="AN39" t="s">
        <v>14</v>
      </c>
      <c r="AO39" t="s">
        <v>14</v>
      </c>
      <c r="AQ39">
        <v>2</v>
      </c>
      <c r="AR39" t="s">
        <v>68</v>
      </c>
      <c r="AS39" s="10">
        <v>147</v>
      </c>
      <c r="AT39" s="15">
        <f t="shared" si="10"/>
        <v>1113.9336860610622</v>
      </c>
      <c r="AU39" s="16">
        <f t="shared" si="11"/>
        <v>5349.4052421555207</v>
      </c>
      <c r="AW39" s="6">
        <f t="shared" si="12"/>
        <v>1055.4328519360554</v>
      </c>
      <c r="AX39" s="7">
        <f t="shared" si="13"/>
        <v>4885.1381842227202</v>
      </c>
      <c r="AZ39" s="11">
        <f t="shared" si="14"/>
        <v>1038.2222640627097</v>
      </c>
      <c r="BA39" s="12">
        <f t="shared" si="15"/>
        <v>5617.744964889599</v>
      </c>
      <c r="BC39" s="13">
        <f t="shared" si="16"/>
        <v>1136.6420340209033</v>
      </c>
      <c r="BD39" s="14">
        <f t="shared" si="17"/>
        <v>4961.6955696127998</v>
      </c>
      <c r="BF39" s="15">
        <f t="shared" si="18"/>
        <v>1113.9336860610622</v>
      </c>
      <c r="BG39" s="16">
        <f t="shared" si="19"/>
        <v>5349.4052421555207</v>
      </c>
      <c r="BI39">
        <v>52</v>
      </c>
      <c r="BJ39" t="s">
        <v>65</v>
      </c>
      <c r="BK39" s="2">
        <v>45847.813206018516</v>
      </c>
      <c r="BL39">
        <v>370</v>
      </c>
      <c r="BM39" t="s">
        <v>13</v>
      </c>
      <c r="BN39">
        <v>0</v>
      </c>
      <c r="BO39">
        <v>2.7930000000000001</v>
      </c>
      <c r="BP39" s="3">
        <v>1878055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53</v>
      </c>
      <c r="B40" t="s">
        <v>66</v>
      </c>
      <c r="C40" s="2">
        <v>45847.834467592591</v>
      </c>
      <c r="D40">
        <v>378</v>
      </c>
      <c r="E40" t="s">
        <v>13</v>
      </c>
      <c r="F40">
        <v>0</v>
      </c>
      <c r="G40">
        <v>5.992</v>
      </c>
      <c r="H40" s="3">
        <v>13493</v>
      </c>
      <c r="I40">
        <v>3.1E-2</v>
      </c>
      <c r="J40" t="s">
        <v>14</v>
      </c>
      <c r="K40" t="s">
        <v>14</v>
      </c>
      <c r="L40" t="s">
        <v>14</v>
      </c>
      <c r="M40" t="s">
        <v>14</v>
      </c>
      <c r="O40">
        <v>53</v>
      </c>
      <c r="P40" t="s">
        <v>66</v>
      </c>
      <c r="Q40" s="2">
        <v>45847.834467592591</v>
      </c>
      <c r="R40">
        <v>378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53</v>
      </c>
      <c r="AD40" t="s">
        <v>66</v>
      </c>
      <c r="AE40" s="2">
        <v>45847.834467592591</v>
      </c>
      <c r="AF40">
        <v>378</v>
      </c>
      <c r="AG40" t="s">
        <v>13</v>
      </c>
      <c r="AH40">
        <v>0</v>
      </c>
      <c r="AI40">
        <v>12.137</v>
      </c>
      <c r="AJ40" s="3">
        <v>12849</v>
      </c>
      <c r="AK40">
        <v>2.7210000000000001</v>
      </c>
      <c r="AL40" t="s">
        <v>14</v>
      </c>
      <c r="AM40" t="s">
        <v>14</v>
      </c>
      <c r="AN40" t="s">
        <v>14</v>
      </c>
      <c r="AO40" t="s">
        <v>14</v>
      </c>
      <c r="AQ40">
        <v>2</v>
      </c>
      <c r="AR40" t="s">
        <v>68</v>
      </c>
      <c r="AS40" s="10">
        <v>148</v>
      </c>
      <c r="AT40" s="15">
        <f t="shared" si="10"/>
        <v>39.319343944113001</v>
      </c>
      <c r="AU40" s="16">
        <f t="shared" si="11"/>
        <v>2783.6159999749302</v>
      </c>
      <c r="AW40" s="6">
        <f t="shared" si="12"/>
        <v>29.19690080311354</v>
      </c>
      <c r="AX40" s="7">
        <f t="shared" si="13"/>
        <v>2547.9750296384805</v>
      </c>
      <c r="AZ40" s="11">
        <f t="shared" si="14"/>
        <v>30.352088725727</v>
      </c>
      <c r="BA40" s="12">
        <f t="shared" si="15"/>
        <v>3038.1353490639003</v>
      </c>
      <c r="BC40" s="13">
        <f t="shared" si="16"/>
        <v>34.742627769048802</v>
      </c>
      <c r="BD40" s="14">
        <f t="shared" si="17"/>
        <v>2658.2722113001996</v>
      </c>
      <c r="BF40" s="15">
        <f t="shared" si="18"/>
        <v>39.319343944113001</v>
      </c>
      <c r="BG40" s="16">
        <f t="shared" si="19"/>
        <v>2783.6159999749302</v>
      </c>
      <c r="BI40">
        <v>53</v>
      </c>
      <c r="BJ40" t="s">
        <v>66</v>
      </c>
      <c r="BK40" s="2">
        <v>45847.834467592591</v>
      </c>
      <c r="BL40">
        <v>378</v>
      </c>
      <c r="BM40" t="s">
        <v>13</v>
      </c>
      <c r="BN40">
        <v>0</v>
      </c>
      <c r="BO40">
        <v>2.7919999999999998</v>
      </c>
      <c r="BP40" s="3">
        <v>2076922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A41">
        <v>54</v>
      </c>
      <c r="B41" t="s">
        <v>67</v>
      </c>
      <c r="C41" s="2">
        <v>45847.855752314812</v>
      </c>
      <c r="D41">
        <v>140</v>
      </c>
      <c r="E41" t="s">
        <v>13</v>
      </c>
      <c r="F41">
        <v>0</v>
      </c>
      <c r="G41">
        <v>5.9859999999999998</v>
      </c>
      <c r="H41" s="3">
        <v>11317</v>
      </c>
      <c r="I41">
        <v>2.5999999999999999E-2</v>
      </c>
      <c r="J41" t="s">
        <v>14</v>
      </c>
      <c r="K41" t="s">
        <v>14</v>
      </c>
      <c r="L41" t="s">
        <v>14</v>
      </c>
      <c r="M41" t="s">
        <v>14</v>
      </c>
      <c r="O41">
        <v>54</v>
      </c>
      <c r="P41" t="s">
        <v>67</v>
      </c>
      <c r="Q41" s="2">
        <v>45847.855752314812</v>
      </c>
      <c r="R41">
        <v>140</v>
      </c>
      <c r="S41" t="s">
        <v>13</v>
      </c>
      <c r="T41">
        <v>0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C41">
        <v>54</v>
      </c>
      <c r="AD41" t="s">
        <v>67</v>
      </c>
      <c r="AE41" s="2">
        <v>45847.855752314812</v>
      </c>
      <c r="AF41">
        <v>140</v>
      </c>
      <c r="AG41" t="s">
        <v>13</v>
      </c>
      <c r="AH41">
        <v>0</v>
      </c>
      <c r="AI41">
        <v>12.101000000000001</v>
      </c>
      <c r="AJ41" s="3">
        <v>29970</v>
      </c>
      <c r="AK41">
        <v>6.4669999999999996</v>
      </c>
      <c r="AL41" t="s">
        <v>14</v>
      </c>
      <c r="AM41" t="s">
        <v>14</v>
      </c>
      <c r="AN41" t="s">
        <v>14</v>
      </c>
      <c r="AO41" t="s">
        <v>14</v>
      </c>
      <c r="AQ41">
        <v>2</v>
      </c>
      <c r="AR41" t="s">
        <v>68</v>
      </c>
      <c r="AS41" s="10">
        <v>149</v>
      </c>
      <c r="AT41" s="15">
        <f t="shared" si="10"/>
        <v>33.497510409393001</v>
      </c>
      <c r="AU41" s="16">
        <f t="shared" si="11"/>
        <v>6646.0942818370004</v>
      </c>
      <c r="AW41" s="6">
        <f t="shared" si="12"/>
        <v>24.092000880655938</v>
      </c>
      <c r="AX41" s="7">
        <f t="shared" si="13"/>
        <v>6068.1769130319999</v>
      </c>
      <c r="AZ41" s="11">
        <f t="shared" si="14"/>
        <v>23.815657530846998</v>
      </c>
      <c r="BA41" s="12">
        <f t="shared" si="15"/>
        <v>6881.2905695099998</v>
      </c>
      <c r="BC41" s="13">
        <f t="shared" si="16"/>
        <v>28.449995087576802</v>
      </c>
      <c r="BD41" s="14">
        <f t="shared" si="17"/>
        <v>6124.2375861800001</v>
      </c>
      <c r="BF41" s="15">
        <f t="shared" si="18"/>
        <v>33.497510409393001</v>
      </c>
      <c r="BG41" s="16">
        <f t="shared" si="19"/>
        <v>6646.0942818370004</v>
      </c>
      <c r="BI41">
        <v>54</v>
      </c>
      <c r="BJ41" t="s">
        <v>67</v>
      </c>
      <c r="BK41" s="2">
        <v>45847.855752314812</v>
      </c>
      <c r="BL41">
        <v>140</v>
      </c>
      <c r="BM41" t="s">
        <v>13</v>
      </c>
      <c r="BN41">
        <v>0</v>
      </c>
      <c r="BO41">
        <v>2.786</v>
      </c>
      <c r="BP41" s="3">
        <v>2035693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35">
      <c r="C42" s="2"/>
      <c r="H42" s="3"/>
      <c r="Q42" s="2"/>
      <c r="V42" s="3"/>
      <c r="AE42" s="2"/>
      <c r="AJ42" s="3"/>
      <c r="AS42" s="10"/>
      <c r="AT42" s="15"/>
      <c r="AU42" s="16"/>
      <c r="AW42" s="6"/>
      <c r="AX42" s="7"/>
      <c r="AZ42" s="11"/>
      <c r="BA42" s="12"/>
      <c r="BC42" s="13"/>
      <c r="BD42" s="14"/>
      <c r="BF42" s="15"/>
      <c r="BG42" s="16"/>
      <c r="BK42" s="2"/>
      <c r="BP42" s="3"/>
    </row>
    <row r="43" spans="1:73" x14ac:dyDescent="0.35">
      <c r="C43" s="2"/>
      <c r="H43" s="3"/>
      <c r="Q43" s="2"/>
      <c r="AE43" s="2"/>
      <c r="AJ43" s="3"/>
      <c r="AS43" s="10"/>
      <c r="AT43" s="15"/>
      <c r="AU43" s="16"/>
      <c r="AW43" s="6"/>
      <c r="AX43" s="7"/>
      <c r="AZ43" s="11"/>
      <c r="BA43" s="12"/>
      <c r="BC43" s="13"/>
      <c r="BD43" s="14"/>
      <c r="BF43" s="15"/>
      <c r="BG43" s="16"/>
      <c r="BK43" s="2"/>
      <c r="BP43" s="3"/>
    </row>
    <row r="44" spans="1:73" x14ac:dyDescent="0.35">
      <c r="C44" s="2"/>
      <c r="H44" s="3"/>
      <c r="Q44" s="2"/>
      <c r="V44" s="3"/>
      <c r="AE44" s="2"/>
      <c r="AJ44" s="3"/>
      <c r="AS44" s="10"/>
      <c r="AT44" s="15"/>
      <c r="AU44" s="16"/>
      <c r="AW44" s="6"/>
      <c r="AX44" s="7"/>
      <c r="AZ44" s="11"/>
      <c r="BA44" s="12"/>
      <c r="BC44" s="13"/>
      <c r="BD44" s="14"/>
      <c r="BF44" s="15"/>
      <c r="BG44" s="16"/>
      <c r="BK44" s="2"/>
      <c r="BP44" s="3"/>
    </row>
    <row r="45" spans="1:73" x14ac:dyDescent="0.35">
      <c r="C45" s="2"/>
      <c r="H45" s="3"/>
      <c r="Q45" s="2"/>
      <c r="AE45" s="2"/>
      <c r="AJ45" s="3"/>
      <c r="AS45" s="10"/>
      <c r="AT45" s="15"/>
      <c r="AU45" s="16"/>
      <c r="AW45" s="6"/>
      <c r="AX45" s="7"/>
      <c r="AZ45" s="11"/>
      <c r="BA45" s="12"/>
      <c r="BC45" s="13"/>
      <c r="BD45" s="14"/>
      <c r="BF45" s="15"/>
      <c r="BG45" s="16"/>
      <c r="BK45" s="2"/>
      <c r="BP45" s="3"/>
    </row>
    <row r="46" spans="1:73" x14ac:dyDescent="0.35">
      <c r="C46" s="2"/>
      <c r="H46" s="3"/>
      <c r="Q46" s="2"/>
      <c r="V46" s="3"/>
      <c r="AE46" s="2"/>
      <c r="AJ46" s="3"/>
      <c r="AS46" s="10"/>
      <c r="AT46" s="15"/>
      <c r="AU46" s="16"/>
      <c r="AW46" s="6"/>
      <c r="AX46" s="7"/>
      <c r="AZ46" s="11"/>
      <c r="BA46" s="12"/>
      <c r="BC46" s="13"/>
      <c r="BD46" s="14"/>
      <c r="BF46" s="15"/>
      <c r="BG46" s="16"/>
      <c r="BK46" s="2"/>
      <c r="BP46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2025-07-14T14:48:19Z</dcterms:modified>
</cp:coreProperties>
</file>