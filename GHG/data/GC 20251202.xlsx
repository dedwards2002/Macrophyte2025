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5 season misc analyses\GC 2025\"/>
    </mc:Choice>
  </mc:AlternateContent>
  <xr:revisionPtr revIDLastSave="0" documentId="8_{752C4E43-0F53-4A6F-945D-232B66D77F20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9" i="1" l="1"/>
  <c r="AU9" i="1"/>
  <c r="AW9" i="1"/>
  <c r="AX9" i="1"/>
  <c r="AZ9" i="1"/>
  <c r="BA9" i="1"/>
  <c r="BC9" i="1"/>
  <c r="BD9" i="1"/>
  <c r="BF9" i="1"/>
  <c r="BG9" i="1"/>
  <c r="AT10" i="1"/>
  <c r="AU10" i="1"/>
  <c r="AW10" i="1"/>
  <c r="AX10" i="1"/>
  <c r="AZ10" i="1"/>
  <c r="BA10" i="1"/>
  <c r="BC10" i="1"/>
  <c r="BD10" i="1"/>
  <c r="BF10" i="1"/>
  <c r="BG10" i="1"/>
  <c r="AT11" i="1"/>
  <c r="AU11" i="1"/>
  <c r="AW11" i="1"/>
  <c r="AX11" i="1"/>
  <c r="AZ11" i="1"/>
  <c r="BA11" i="1"/>
  <c r="BC11" i="1"/>
  <c r="BD11" i="1"/>
  <c r="BF11" i="1"/>
  <c r="BG11" i="1"/>
  <c r="AT12" i="1"/>
  <c r="AU12" i="1"/>
  <c r="AW12" i="1"/>
  <c r="AX12" i="1"/>
  <c r="AZ12" i="1"/>
  <c r="BA12" i="1"/>
  <c r="BC12" i="1"/>
  <c r="BD12" i="1"/>
  <c r="BF12" i="1"/>
  <c r="BG12" i="1"/>
  <c r="AT13" i="1"/>
  <c r="AU13" i="1"/>
  <c r="AW13" i="1"/>
  <c r="AX13" i="1"/>
  <c r="AZ13" i="1"/>
  <c r="BA13" i="1"/>
  <c r="BC13" i="1"/>
  <c r="BD13" i="1"/>
  <c r="BF13" i="1"/>
  <c r="BG13" i="1"/>
  <c r="AT14" i="1"/>
  <c r="AU14" i="1"/>
  <c r="AW14" i="1"/>
  <c r="AX14" i="1"/>
  <c r="AZ14" i="1"/>
  <c r="BA14" i="1"/>
  <c r="BC14" i="1"/>
  <c r="BD14" i="1"/>
  <c r="BF14" i="1"/>
  <c r="BG14" i="1"/>
  <c r="AT15" i="1"/>
  <c r="AU15" i="1"/>
  <c r="AW15" i="1"/>
  <c r="AX15" i="1"/>
  <c r="AZ15" i="1"/>
  <c r="BA15" i="1"/>
  <c r="BC15" i="1"/>
  <c r="BD15" i="1"/>
  <c r="BF15" i="1"/>
  <c r="BG15" i="1"/>
  <c r="AT16" i="1"/>
  <c r="AU16" i="1"/>
  <c r="AW16" i="1"/>
  <c r="AX16" i="1"/>
  <c r="AZ16" i="1"/>
  <c r="BA16" i="1"/>
  <c r="BC16" i="1"/>
  <c r="BD16" i="1"/>
  <c r="BF16" i="1"/>
  <c r="BG16" i="1"/>
  <c r="AT17" i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AT36" i="1"/>
  <c r="AU36" i="1"/>
  <c r="AW36" i="1"/>
  <c r="AX36" i="1"/>
  <c r="AZ36" i="1"/>
  <c r="BA36" i="1"/>
  <c r="BC36" i="1"/>
  <c r="BD36" i="1"/>
  <c r="BF36" i="1"/>
  <c r="BG36" i="1"/>
  <c r="AT37" i="1"/>
  <c r="AU37" i="1"/>
  <c r="AW37" i="1"/>
  <c r="AX37" i="1"/>
  <c r="AZ37" i="1"/>
  <c r="BA37" i="1"/>
  <c r="BC37" i="1"/>
  <c r="BD37" i="1"/>
  <c r="BF37" i="1"/>
  <c r="BG37" i="1"/>
  <c r="AT38" i="1"/>
  <c r="AU38" i="1"/>
  <c r="AW38" i="1"/>
  <c r="AX38" i="1"/>
  <c r="AZ38" i="1"/>
  <c r="BA38" i="1"/>
  <c r="BC38" i="1"/>
  <c r="BD38" i="1"/>
  <c r="BF38" i="1"/>
  <c r="BG38" i="1"/>
</calcChain>
</file>

<file path=xl/sharedStrings.xml><?xml version="1.0" encoding="utf-8"?>
<sst xmlns="http://schemas.openxmlformats.org/spreadsheetml/2006/main" count="908" uniqueCount="67">
  <si>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</si>
  <si>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</si>
  <si>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</si>
  <si>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</si>
  <si>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</si>
  <si>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</si>
  <si>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</si>
  <si>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</si>
  <si>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</si>
  <si>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</si>
  <si>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</si>
  <si>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</si>
  <si>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</si>
  <si>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</si>
  <si>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</si>
  <si>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</si>
  <si>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</si>
  <si>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</si>
  <si>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</si>
  <si>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</si>
  <si>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</si>
  <si>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</si>
  <si>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</si>
  <si>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</si>
  <si>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</si>
  <si>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2022 ranged CAL Measured headspace CH4  in ppm from GC in ppm</t>
  </si>
  <si>
    <t>2022 CAL Measured headspace CO2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</si>
  <si>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</si>
  <si>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</si>
  <si>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</si>
  <si>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</si>
  <si>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</si>
  <si>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</si>
  <si>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</si>
  <si>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</si>
  <si>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FMI20251202_001.gcd</t>
  </si>
  <si>
    <t>FMI20251202_002.gcd</t>
  </si>
  <si>
    <t>FMI20251202_003.gcd</t>
  </si>
  <si>
    <t>FMI20251202_004.gcd</t>
  </si>
  <si>
    <t>FMI20251202_005.gcd</t>
  </si>
  <si>
    <t>FMI20251202_006.gcd</t>
  </si>
  <si>
    <t>FMI20251202_007.gcd</t>
  </si>
  <si>
    <t>FMI20251202_008.gcd</t>
  </si>
  <si>
    <t>FMI20251202_009.gcd</t>
  </si>
  <si>
    <t>FMI20251202_010.gcd</t>
  </si>
  <si>
    <t>FMI20251202_011.gcd</t>
  </si>
  <si>
    <t>FMI20251202_012.gcd</t>
  </si>
  <si>
    <t>FMI20251202_013.gcd</t>
  </si>
  <si>
    <t>FMI20251202_014.gcd</t>
  </si>
  <si>
    <t>FMI20251202_015.gcd</t>
  </si>
  <si>
    <t>FMI20251202_016.gcd</t>
  </si>
  <si>
    <t>FMI20251202_017.gcd</t>
  </si>
  <si>
    <t>FMI20251202_018.gcd</t>
  </si>
  <si>
    <t>FMI20251202_019.gcd</t>
  </si>
  <si>
    <t>FMI20251202_020.gcd</t>
  </si>
  <si>
    <t>FMI20251202_021.gcd</t>
  </si>
  <si>
    <t>FMI20251202_022.gcd</t>
  </si>
  <si>
    <t>FMI20251202_023.gcd</t>
  </si>
  <si>
    <t>FMI20251202_024.gcd</t>
  </si>
  <si>
    <t>FMI20251202_025.gcd</t>
  </si>
  <si>
    <t>FMI20251202_026.gcd</t>
  </si>
  <si>
    <t>FMI20251202_027.gcd</t>
  </si>
  <si>
    <t>FMI20251202_028.gcd</t>
  </si>
  <si>
    <t>FMI20251202_029.gcd</t>
  </si>
  <si>
    <t>FMI20251202_030.gcd</t>
  </si>
  <si>
    <t>Small spike after CH4. Was integrated as a second peak, so CH4 is slightly low.</t>
  </si>
  <si>
    <t>CO2 interference. Do not use CO2. Use CH4.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</si>
</sst>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2" fontId="0" fillId="33" borderId="0" xfId="0" applyNumberFormat="1" applyFill="1"/>
    <xf numFmtId="1" fontId="0" fillId="33" borderId="0" xfId="0" applyNumberFormat="1" applyFill="1"/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4" borderId="0" xfId="0" applyNumberFormat="1" applyFill="1"/>
    <xf numFmtId="3" fontId="0" fillId="34" borderId="0" xfId="0" applyNumberFormat="1" applyFill="1"/>
    <xf numFmtId="2" fontId="0" fillId="35" borderId="0" xfId="0" applyNumberFormat="1" applyFill="1"/>
    <xf numFmtId="3" fontId="0" fillId="35" borderId="0" xfId="0" applyNumberFormat="1" applyFill="1"/>
    <xf numFmtId="4" fontId="0" fillId="0" borderId="0" xfId="0" applyNumberFormat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CCFF99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Z1" workbookViewId="0">
      <selection activeCell="AQ31" sqref="AQ31:AR31"/>
    </sheetView>
  </sheetViews>
  <sheetFormatPr defaultRowHeight="14.5" x14ac:dyDescent="0.35"/>
  <cols>
    <col min="2" max="2" width="23.54296875" customWidth="1"/>
    <col min="3" max="3" width="17.81640625" customWidth="1"/>
    <col min="31" max="31" width="21.453125" customWidth="1"/>
    <col min="43" max="43" width="9.1796875" customWidth="1"/>
    <col min="46" max="46" width="9.81640625" customWidth="1"/>
    <col min="47" max="47" width="10" customWidth="1"/>
    <col min="49" max="49" width="9.7265625" customWidth="1"/>
    <col min="50" max="50" width="10" customWidth="1"/>
    <col min="52" max="53" width="9.54296875" customWidth="1"/>
    <col min="55" max="56" width="9.54296875" customWidth="1"/>
    <col min="57" max="57" width="8.7265625" style="9"/>
    <col min="58" max="59" width="9.81640625" customWidth="1"/>
  </cols>
  <sheetData>
    <row r="7" spans="1:73" x14ac:dyDescent="0.35">
      <c r="A7" t="s">
        <v>15</v>
      </c>
      <c r="O7" t="s">
        <v>16</v>
      </c>
      <c r="AC7" t="s">
        <v>17</v>
      </c>
      <c r="BI7" t="s">
        <v>21</v>
      </c>
    </row>
    <row r="8" spans="1:73" ht="130.5" x14ac:dyDescent="0.3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29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25</v>
      </c>
      <c r="AX8" s="5" t="s">
        <v>26</v>
      </c>
      <c r="AZ8" s="5" t="s">
        <v>22</v>
      </c>
      <c r="BA8" s="5" t="s">
        <v>23</v>
      </c>
      <c r="BC8" s="5" t="s">
        <v>27</v>
      </c>
      <c r="BD8" s="5" t="s">
        <v>32</v>
      </c>
      <c r="BE8" s="8"/>
      <c r="BF8" s="5" t="s">
        <v>30</v>
      </c>
      <c r="BG8" s="5" t="s">
        <v>31</v>
      </c>
      <c r="BH8" s="5"/>
      <c r="BI8" s="8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35">
      <c r="A9">
        <v>45</v>
      </c>
      <c r="B9" t="s">
        <v>35</v>
      </c>
      <c r="C9" s="2">
        <v>45993.517881944441</v>
      </c>
      <c r="D9" t="s">
        <v>33</v>
      </c>
      <c r="E9" t="s">
        <v>13</v>
      </c>
      <c r="F9">
        <v>0</v>
      </c>
      <c r="G9">
        <v>6.133</v>
      </c>
      <c r="H9" s="3">
        <v>1424</v>
      </c>
      <c r="I9">
        <v>4.0000000000000001E-3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45993.517881944441</v>
      </c>
      <c r="R9" t="s">
        <v>33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45993.517881944441</v>
      </c>
      <c r="AF9" t="s">
        <v>33</v>
      </c>
      <c r="AG9" t="s">
        <v>13</v>
      </c>
      <c r="AH9">
        <v>0</v>
      </c>
      <c r="AI9">
        <v>12.47</v>
      </c>
      <c r="AJ9" s="3">
        <v>3795</v>
      </c>
      <c r="AK9">
        <v>0.73599999999999999</v>
      </c>
      <c r="AL9" t="s">
        <v>14</v>
      </c>
      <c r="AM9" t="s">
        <v>14</v>
      </c>
      <c r="AN9" t="s">
        <v>14</v>
      </c>
      <c r="AO9" t="s">
        <v>14</v>
      </c>
      <c r="AQ9">
        <v>2</v>
      </c>
      <c r="AR9" t="s">
        <v>65</v>
      </c>
      <c r="AS9" s="10">
        <v>45</v>
      </c>
      <c r="AT9" s="16">
        <f t="shared" ref="AT9:AT38" si="0">IF(H9&lt;10000,((H9^2*0.000000008493)+(H9*0.003482)+(-3.269)),(IF(H9&lt;200000,((H9^2*-0.000000000263)+(H9*0.002682)+(3.179)),(IF(H9&lt;8000000,((H9^2*-0.000000000005099)+(H9*0.002054)+(174.8)),((V9^2*-0.00000001014)+(V9*0.2415)+(1123)))))))</f>
        <v>1.7065899015679999</v>
      </c>
      <c r="AU9" s="17">
        <f t="shared" ref="AU9:AU38" si="1">IF(AJ9&lt;45000,((-0.00000004907*AJ9^2)+(0.2277*AJ9)+(-134)),((-0.00000001062*AJ9^2)+(0.2147*AJ9)+(590.6)))</f>
        <v>729.41479263325004</v>
      </c>
      <c r="AW9" s="6">
        <f t="shared" ref="AW9:AW38" si="2">IF(H9&lt;10000,((0.0000001453*H9^2)+(0.0008349*H9)+(-1.805)),(IF(H9&lt;700000,((-0.00000000008054*H9^2)+(0.002348*H9)+(-2.47)), ((-0.00000001938*V9^2)+(0.2471*V9)+(226.8)))))</f>
        <v>-0.32146654719999979</v>
      </c>
      <c r="AX9" s="7">
        <f t="shared" ref="AX9:AX38" si="3">(-0.00000002552*AJ9^2)+(0.2067*AJ9)+(-103.7)</f>
        <v>680.35896032200003</v>
      </c>
      <c r="AZ9" s="11">
        <f t="shared" ref="AZ9:AZ38" si="4">IF(H9&lt;10000,((H9^2*0.00000054)+(H9*-0.004765)+(12.72)),(IF(H9&lt;200000,((H9^2*-0.000000001577)+(H9*0.003043)+(-10.42)),(IF(H9&lt;8000000,((H9^2*-0.0000000000186)+(H9*0.00194)+(154.1)),((V9^2*-0.00000002)+(V9*0.2565)+(-1032)))))))</f>
        <v>7.0296390400000011</v>
      </c>
      <c r="BA9" s="12">
        <f t="shared" ref="BA9:BA38" si="5">IF(AJ9&lt;45000,((-0.0000004561*AJ9^2)+(0.244*AJ9)+(-21.72)),((-0.0000000409*AJ9^2)+(0.2477*AJ9)+(-1777)))</f>
        <v>897.69123639750001</v>
      </c>
      <c r="BC9" s="13">
        <f t="shared" ref="BC9:BC38" si="6">IF(H9&lt;10000,((H9^2*0.00000005714)+(H9*0.002453)+(-3.811)),(IF(H9&lt;200000,((H9^2*-0.0000000002888)+(H9*0.002899)+(-4.321)),(IF(H9&lt;8000000,((H9^2*-0.0000000000062)+(H9*0.002143)+(157)),((V9^2*-0.000000031)+(V9*0.2771)+(-709.5)))))))</f>
        <v>-0.20206087936000028</v>
      </c>
      <c r="BD9" s="14">
        <f t="shared" ref="BD9:BD38" si="7">IF(AJ9&lt;45000,((-0.0000000598*AJ9^2)+(0.205*AJ9)+(34.1)),((-0.00000002403*AJ9^2)+(0.2063*AJ9)+(-550.7)))</f>
        <v>811.21375890499996</v>
      </c>
      <c r="BF9" s="16">
        <f t="shared" ref="BF9:BF38" si="8">IF(H9&lt;10000,((H9^2*0.000000008493)+(H9*0.003482)+(-3.269)),(IF(H9&lt;200000,((H9^2*-0.000000000263)+(H9*0.002682)+(3.179)),(IF(H9&lt;8000000,((H9^2*-0.000000000005099)+(H9*0.002054)+(174.8)),((V9^2*-0.00000001014)+(V9*0.2415)+(1123)))))))</f>
        <v>1.7065899015679999</v>
      </c>
      <c r="BG9" s="17">
        <f t="shared" ref="BG9:BG38" si="9">IF(AJ9&lt;45000,((-0.00000004907*AJ9^2)+(0.2277*AJ9)+(-134)),((-0.00000001062*AJ9^2)+(0.2147*AJ9)+(590.6)))</f>
        <v>729.41479263325004</v>
      </c>
      <c r="BI9">
        <v>45</v>
      </c>
      <c r="BJ9" t="s">
        <v>35</v>
      </c>
      <c r="BK9" s="2">
        <v>45993.517881944441</v>
      </c>
      <c r="BL9" t="s">
        <v>33</v>
      </c>
      <c r="BM9" t="s">
        <v>13</v>
      </c>
      <c r="BN9">
        <v>0</v>
      </c>
      <c r="BO9">
        <v>2.73</v>
      </c>
      <c r="BP9" s="3">
        <v>7780589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35">
      <c r="A10">
        <v>46</v>
      </c>
      <c r="B10" t="s">
        <v>36</v>
      </c>
      <c r="C10" s="2">
        <v>45993.594733796293</v>
      </c>
      <c r="D10" t="s">
        <v>34</v>
      </c>
      <c r="E10" t="s">
        <v>13</v>
      </c>
      <c r="F10">
        <v>0</v>
      </c>
      <c r="G10">
        <v>6.1340000000000003</v>
      </c>
      <c r="H10" s="3">
        <v>1243064</v>
      </c>
      <c r="I10">
        <v>2.81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45993.594733796293</v>
      </c>
      <c r="R10" t="s">
        <v>34</v>
      </c>
      <c r="S10" t="s">
        <v>13</v>
      </c>
      <c r="T10">
        <v>0</v>
      </c>
      <c r="U10">
        <v>6.0880000000000001</v>
      </c>
      <c r="V10" s="3">
        <v>9791</v>
      </c>
      <c r="W10">
        <v>2.512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45993.594733796293</v>
      </c>
      <c r="AF10" t="s">
        <v>34</v>
      </c>
      <c r="AG10" t="s">
        <v>13</v>
      </c>
      <c r="AH10">
        <v>0</v>
      </c>
      <c r="AI10">
        <v>12.471</v>
      </c>
      <c r="AJ10" s="3">
        <v>12050</v>
      </c>
      <c r="AK10">
        <v>2.5459999999999998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10">
        <v>46</v>
      </c>
      <c r="AT10" s="16">
        <f t="shared" si="0"/>
        <v>2720.1744398568185</v>
      </c>
      <c r="AU10" s="17">
        <f t="shared" si="1"/>
        <v>2602.6599133250002</v>
      </c>
      <c r="AW10" s="6">
        <f t="shared" si="2"/>
        <v>2644.29826186222</v>
      </c>
      <c r="AX10" s="7">
        <f t="shared" si="3"/>
        <v>2383.3294322000002</v>
      </c>
      <c r="AZ10" s="11">
        <f t="shared" si="4"/>
        <v>2536.9032891894144</v>
      </c>
      <c r="BA10" s="12">
        <f t="shared" si="5"/>
        <v>2852.2531397500002</v>
      </c>
      <c r="BC10" s="13">
        <f t="shared" si="6"/>
        <v>2811.3058617298047</v>
      </c>
      <c r="BD10" s="14">
        <f t="shared" si="7"/>
        <v>2495.6668905000001</v>
      </c>
      <c r="BF10" s="16">
        <f t="shared" si="8"/>
        <v>2720.1744398568185</v>
      </c>
      <c r="BG10" s="17">
        <f t="shared" si="9"/>
        <v>2602.6599133250002</v>
      </c>
      <c r="BI10">
        <v>46</v>
      </c>
      <c r="BJ10" t="s">
        <v>36</v>
      </c>
      <c r="BK10" s="2">
        <v>45993.594733796293</v>
      </c>
      <c r="BL10" t="s">
        <v>34</v>
      </c>
      <c r="BM10" t="s">
        <v>13</v>
      </c>
      <c r="BN10">
        <v>0</v>
      </c>
      <c r="BO10">
        <v>2.7290000000000001</v>
      </c>
      <c r="BP10" s="3">
        <v>7970613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35">
      <c r="A11">
        <v>47</v>
      </c>
      <c r="B11" t="s">
        <v>37</v>
      </c>
      <c r="C11" s="2">
        <v>45993.615960648145</v>
      </c>
      <c r="D11" t="s">
        <v>28</v>
      </c>
      <c r="E11" t="s">
        <v>13</v>
      </c>
      <c r="F11">
        <v>0</v>
      </c>
      <c r="G11">
        <v>6.1210000000000004</v>
      </c>
      <c r="H11" s="3">
        <v>3285</v>
      </c>
      <c r="I11">
        <v>8.0000000000000002E-3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45993.615960648145</v>
      </c>
      <c r="R11" t="s">
        <v>28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45993.615960648145</v>
      </c>
      <c r="AF11" t="s">
        <v>28</v>
      </c>
      <c r="AG11" t="s">
        <v>13</v>
      </c>
      <c r="AH11">
        <v>0</v>
      </c>
      <c r="AI11">
        <v>12.459</v>
      </c>
      <c r="AJ11" s="3">
        <v>2744</v>
      </c>
      <c r="AK11">
        <v>0.505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10">
        <v>47</v>
      </c>
      <c r="AT11" s="16">
        <f t="shared" si="0"/>
        <v>8.2610198739249991</v>
      </c>
      <c r="AU11" s="17">
        <f t="shared" si="1"/>
        <v>490.43932566848002</v>
      </c>
      <c r="AW11" s="6">
        <f t="shared" si="2"/>
        <v>2.5056114924999999</v>
      </c>
      <c r="AX11" s="7">
        <f t="shared" si="3"/>
        <v>463.29264624128001</v>
      </c>
      <c r="AZ11" s="11">
        <f t="shared" si="4"/>
        <v>2.8942364999999999</v>
      </c>
      <c r="BA11" s="12">
        <f t="shared" si="5"/>
        <v>644.38177863039994</v>
      </c>
      <c r="BC11" s="13">
        <f t="shared" si="6"/>
        <v>4.8637155964999987</v>
      </c>
      <c r="BD11" s="14">
        <f t="shared" si="7"/>
        <v>596.16973374719998</v>
      </c>
      <c r="BF11" s="16">
        <f t="shared" si="8"/>
        <v>8.2610198739249991</v>
      </c>
      <c r="BG11" s="17">
        <f t="shared" si="9"/>
        <v>490.43932566848002</v>
      </c>
      <c r="BI11">
        <v>47</v>
      </c>
      <c r="BJ11" t="s">
        <v>37</v>
      </c>
      <c r="BK11" s="2">
        <v>45993.615960648145</v>
      </c>
      <c r="BL11" t="s">
        <v>28</v>
      </c>
      <c r="BM11" t="s">
        <v>13</v>
      </c>
      <c r="BN11">
        <v>0</v>
      </c>
      <c r="BO11">
        <v>2.726</v>
      </c>
      <c r="BP11" s="3">
        <v>8005597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35">
      <c r="A12">
        <v>48</v>
      </c>
      <c r="B12" t="s">
        <v>38</v>
      </c>
      <c r="C12" s="2">
        <v>45993.637175925927</v>
      </c>
      <c r="D12">
        <v>125</v>
      </c>
      <c r="E12" t="s">
        <v>13</v>
      </c>
      <c r="F12">
        <v>0</v>
      </c>
      <c r="G12">
        <v>6.12</v>
      </c>
      <c r="H12" s="3">
        <v>10403</v>
      </c>
      <c r="I12">
        <v>2.4E-2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45993.637175925927</v>
      </c>
      <c r="R12">
        <v>125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45993.637175925927</v>
      </c>
      <c r="AF12">
        <v>125</v>
      </c>
      <c r="AG12" t="s">
        <v>13</v>
      </c>
      <c r="AH12">
        <v>0</v>
      </c>
      <c r="AI12">
        <v>12.356999999999999</v>
      </c>
      <c r="AJ12" s="3">
        <v>26111</v>
      </c>
      <c r="AK12">
        <v>5.6230000000000002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10">
        <v>48</v>
      </c>
      <c r="AT12" s="16">
        <f t="shared" si="0"/>
        <v>31.051383506432995</v>
      </c>
      <c r="AU12" s="17">
        <f t="shared" si="1"/>
        <v>5778.0195433685303</v>
      </c>
      <c r="AW12" s="6">
        <f t="shared" si="2"/>
        <v>21.947527767179139</v>
      </c>
      <c r="AX12" s="7">
        <f t="shared" si="3"/>
        <v>5276.0445641280794</v>
      </c>
      <c r="AZ12" s="11">
        <f t="shared" si="4"/>
        <v>21.065662261007006</v>
      </c>
      <c r="BA12" s="12">
        <f t="shared" si="5"/>
        <v>6038.4021711918995</v>
      </c>
      <c r="BC12" s="13">
        <f t="shared" si="6"/>
        <v>25.806042368280799</v>
      </c>
      <c r="BD12" s="14">
        <f t="shared" si="7"/>
        <v>5346.0842976042004</v>
      </c>
      <c r="BF12" s="16">
        <f t="shared" si="8"/>
        <v>31.051383506432995</v>
      </c>
      <c r="BG12" s="17">
        <f t="shared" si="9"/>
        <v>5778.0195433685303</v>
      </c>
      <c r="BI12">
        <v>48</v>
      </c>
      <c r="BJ12" t="s">
        <v>38</v>
      </c>
      <c r="BK12" s="2">
        <v>45993.637175925927</v>
      </c>
      <c r="BL12">
        <v>125</v>
      </c>
      <c r="BM12" t="s">
        <v>13</v>
      </c>
      <c r="BN12">
        <v>0</v>
      </c>
      <c r="BO12">
        <v>2.891</v>
      </c>
      <c r="BP12" s="3">
        <v>1786345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35">
      <c r="A13">
        <v>49</v>
      </c>
      <c r="B13" t="s">
        <v>39</v>
      </c>
      <c r="C13" s="2">
        <v>45993.704768518517</v>
      </c>
      <c r="D13">
        <v>174</v>
      </c>
      <c r="E13" t="s">
        <v>13</v>
      </c>
      <c r="F13">
        <v>0</v>
      </c>
      <c r="G13">
        <v>6.1289999999999996</v>
      </c>
      <c r="H13" s="3">
        <v>10464</v>
      </c>
      <c r="I13">
        <v>2.4E-2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45993.704768518517</v>
      </c>
      <c r="R13">
        <v>174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45993.704768518517</v>
      </c>
      <c r="AF13">
        <v>174</v>
      </c>
      <c r="AG13" t="s">
        <v>13</v>
      </c>
      <c r="AH13">
        <v>0</v>
      </c>
      <c r="AI13" t="s">
        <v>14</v>
      </c>
      <c r="AJ13" s="3" t="s">
        <v>14</v>
      </c>
      <c r="AK13" t="s">
        <v>14</v>
      </c>
      <c r="AL13" t="s">
        <v>14</v>
      </c>
      <c r="AM13" t="s">
        <v>14</v>
      </c>
      <c r="AN13" t="s">
        <v>14</v>
      </c>
      <c r="AO13" t="s">
        <v>14</v>
      </c>
      <c r="AQ13">
        <v>2</v>
      </c>
      <c r="AR13" t="s">
        <v>66</v>
      </c>
      <c r="AS13" s="10">
        <v>49</v>
      </c>
      <c r="AT13" s="16">
        <f t="shared" si="0"/>
        <v>31.214650737151999</v>
      </c>
      <c r="AU13" s="17" t="e">
        <f t="shared" si="1"/>
        <v>#VALUE!</v>
      </c>
      <c r="AW13" s="6">
        <f t="shared" si="2"/>
        <v>22.090653248860157</v>
      </c>
      <c r="AX13" s="7" t="e">
        <f t="shared" si="3"/>
        <v>#VALUE!</v>
      </c>
      <c r="AZ13" s="11">
        <f t="shared" si="4"/>
        <v>21.249277918208001</v>
      </c>
      <c r="BA13" s="12" t="e">
        <f t="shared" si="5"/>
        <v>#VALUE!</v>
      </c>
      <c r="BC13" s="13">
        <f t="shared" si="6"/>
        <v>25.982513758515204</v>
      </c>
      <c r="BD13" s="14" t="e">
        <f t="shared" si="7"/>
        <v>#VALUE!</v>
      </c>
      <c r="BF13" s="16">
        <f t="shared" si="8"/>
        <v>31.214650737151999</v>
      </c>
      <c r="BG13" s="17" t="e">
        <f t="shared" si="9"/>
        <v>#VALUE!</v>
      </c>
      <c r="BI13">
        <v>49</v>
      </c>
      <c r="BJ13" t="s">
        <v>39</v>
      </c>
      <c r="BK13" s="2">
        <v>45993.704768518517</v>
      </c>
      <c r="BL13">
        <v>174</v>
      </c>
      <c r="BM13" t="s">
        <v>13</v>
      </c>
      <c r="BN13">
        <v>0</v>
      </c>
      <c r="BO13">
        <v>2.8450000000000002</v>
      </c>
      <c r="BP13" s="3">
        <v>3081259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35">
      <c r="A14">
        <v>50</v>
      </c>
      <c r="B14" t="s">
        <v>40</v>
      </c>
      <c r="C14" s="2">
        <v>45993.726018518515</v>
      </c>
      <c r="D14">
        <v>387</v>
      </c>
      <c r="E14" t="s">
        <v>13</v>
      </c>
      <c r="F14">
        <v>0</v>
      </c>
      <c r="G14">
        <v>6.1139999999999999</v>
      </c>
      <c r="H14" s="3">
        <v>9854</v>
      </c>
      <c r="I14">
        <v>2.3E-2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45993.726018518515</v>
      </c>
      <c r="R14">
        <v>387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45993.726018518515</v>
      </c>
      <c r="AF14">
        <v>387</v>
      </c>
      <c r="AG14" t="s">
        <v>13</v>
      </c>
      <c r="AH14">
        <v>0</v>
      </c>
      <c r="AI14" t="s">
        <v>14</v>
      </c>
      <c r="AJ14" s="3" t="s">
        <v>14</v>
      </c>
      <c r="AK14" t="s">
        <v>14</v>
      </c>
      <c r="AL14" t="s">
        <v>14</v>
      </c>
      <c r="AM14" t="s">
        <v>14</v>
      </c>
      <c r="AN14" t="s">
        <v>14</v>
      </c>
      <c r="AO14" t="s">
        <v>14</v>
      </c>
      <c r="AQ14">
        <v>2</v>
      </c>
      <c r="AR14" t="s">
        <v>66</v>
      </c>
      <c r="AS14" s="10">
        <v>50</v>
      </c>
      <c r="AT14" s="16">
        <f t="shared" si="0"/>
        <v>31.867309476788002</v>
      </c>
      <c r="AU14" s="17" t="e">
        <f t="shared" si="1"/>
        <v>#VALUE!</v>
      </c>
      <c r="AW14" s="6">
        <f t="shared" si="2"/>
        <v>20.5309258148</v>
      </c>
      <c r="AX14" s="7" t="e">
        <f t="shared" si="3"/>
        <v>#VALUE!</v>
      </c>
      <c r="AZ14" s="11">
        <f t="shared" si="4"/>
        <v>18.200400639999998</v>
      </c>
      <c r="BA14" s="12" t="e">
        <f t="shared" si="5"/>
        <v>#VALUE!</v>
      </c>
      <c r="BC14" s="13">
        <f t="shared" si="6"/>
        <v>25.909231196239997</v>
      </c>
      <c r="BD14" s="14" t="e">
        <f t="shared" si="7"/>
        <v>#VALUE!</v>
      </c>
      <c r="BF14" s="16">
        <f t="shared" si="8"/>
        <v>31.867309476788002</v>
      </c>
      <c r="BG14" s="17" t="e">
        <f t="shared" si="9"/>
        <v>#VALUE!</v>
      </c>
      <c r="BI14">
        <v>50</v>
      </c>
      <c r="BJ14" t="s">
        <v>40</v>
      </c>
      <c r="BK14" s="2">
        <v>45993.726018518515</v>
      </c>
      <c r="BL14">
        <v>387</v>
      </c>
      <c r="BM14" t="s">
        <v>13</v>
      </c>
      <c r="BN14">
        <v>0</v>
      </c>
      <c r="BO14">
        <v>2.8940000000000001</v>
      </c>
      <c r="BP14" s="3">
        <v>1571445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35">
      <c r="A15">
        <v>51</v>
      </c>
      <c r="B15" t="s">
        <v>41</v>
      </c>
      <c r="C15" s="2">
        <v>45993.747245370374</v>
      </c>
      <c r="D15">
        <v>120</v>
      </c>
      <c r="E15" t="s">
        <v>13</v>
      </c>
      <c r="F15">
        <v>0</v>
      </c>
      <c r="G15">
        <v>6.1120000000000001</v>
      </c>
      <c r="H15" s="3">
        <v>23641</v>
      </c>
      <c r="I15">
        <v>5.3999999999999999E-2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45993.747245370374</v>
      </c>
      <c r="R15">
        <v>120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45993.747245370374</v>
      </c>
      <c r="AF15">
        <v>120</v>
      </c>
      <c r="AG15" t="s">
        <v>13</v>
      </c>
      <c r="AH15">
        <v>0</v>
      </c>
      <c r="AI15">
        <v>12.2</v>
      </c>
      <c r="AJ15" s="3">
        <v>37846</v>
      </c>
      <c r="AK15">
        <v>8.1869999999999994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10">
        <v>51</v>
      </c>
      <c r="AT15" s="16">
        <f t="shared" si="0"/>
        <v>66.437172120296992</v>
      </c>
      <c r="AU15" s="17">
        <f t="shared" si="1"/>
        <v>8413.2502715358805</v>
      </c>
      <c r="AW15" s="6">
        <f t="shared" si="2"/>
        <v>52.994054445204263</v>
      </c>
      <c r="AX15" s="7">
        <f t="shared" si="3"/>
        <v>7682.5154008476793</v>
      </c>
      <c r="AZ15" s="11">
        <f t="shared" si="4"/>
        <v>60.638182618663009</v>
      </c>
      <c r="BA15" s="12">
        <f t="shared" si="5"/>
        <v>8559.4229775324002</v>
      </c>
      <c r="BC15" s="13">
        <f t="shared" si="6"/>
        <v>64.052849580767202</v>
      </c>
      <c r="BD15" s="14">
        <f t="shared" si="7"/>
        <v>7706.8772809831999</v>
      </c>
      <c r="BF15" s="16">
        <f t="shared" si="8"/>
        <v>66.437172120296992</v>
      </c>
      <c r="BG15" s="17">
        <f t="shared" si="9"/>
        <v>8413.2502715358805</v>
      </c>
      <c r="BI15">
        <v>51</v>
      </c>
      <c r="BJ15" t="s">
        <v>41</v>
      </c>
      <c r="BK15" s="2">
        <v>45993.747245370374</v>
      </c>
      <c r="BL15">
        <v>120</v>
      </c>
      <c r="BM15" t="s">
        <v>13</v>
      </c>
      <c r="BN15">
        <v>0</v>
      </c>
      <c r="BO15">
        <v>2.8889999999999998</v>
      </c>
      <c r="BP15" s="3">
        <v>1637619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35">
      <c r="A16">
        <v>52</v>
      </c>
      <c r="B16" t="s">
        <v>42</v>
      </c>
      <c r="C16" s="2">
        <v>45993.768472222226</v>
      </c>
      <c r="D16">
        <v>15</v>
      </c>
      <c r="E16" t="s">
        <v>13</v>
      </c>
      <c r="F16">
        <v>0</v>
      </c>
      <c r="G16">
        <v>6.11</v>
      </c>
      <c r="H16" s="3">
        <v>10400</v>
      </c>
      <c r="I16">
        <v>2.4E-2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45993.768472222226</v>
      </c>
      <c r="R16">
        <v>15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45993.768472222226</v>
      </c>
      <c r="AF16">
        <v>15</v>
      </c>
      <c r="AG16" t="s">
        <v>13</v>
      </c>
      <c r="AH16">
        <v>0</v>
      </c>
      <c r="AI16">
        <v>12.324</v>
      </c>
      <c r="AJ16" s="3">
        <v>24139</v>
      </c>
      <c r="AK16">
        <v>5.1920000000000002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10">
        <v>52</v>
      </c>
      <c r="AT16" s="16">
        <f t="shared" si="0"/>
        <v>31.043353919999998</v>
      </c>
      <c r="AU16" s="17">
        <f t="shared" si="1"/>
        <v>5333.8576368785307</v>
      </c>
      <c r="AW16" s="6">
        <f t="shared" si="2"/>
        <v>21.940488793599997</v>
      </c>
      <c r="AX16" s="7">
        <f t="shared" si="3"/>
        <v>4870.96101748808</v>
      </c>
      <c r="AZ16" s="11">
        <f t="shared" si="4"/>
        <v>21.056631680000002</v>
      </c>
      <c r="BA16" s="12">
        <f t="shared" si="5"/>
        <v>5602.4304884919002</v>
      </c>
      <c r="BC16" s="13">
        <f t="shared" si="6"/>
        <v>25.797363392000001</v>
      </c>
      <c r="BD16" s="14">
        <f t="shared" si="7"/>
        <v>4947.7500590042</v>
      </c>
      <c r="BF16" s="16">
        <f t="shared" si="8"/>
        <v>31.043353919999998</v>
      </c>
      <c r="BG16" s="17">
        <f t="shared" si="9"/>
        <v>5333.8576368785307</v>
      </c>
      <c r="BI16">
        <v>52</v>
      </c>
      <c r="BJ16" t="s">
        <v>42</v>
      </c>
      <c r="BK16" s="2">
        <v>45993.768472222226</v>
      </c>
      <c r="BL16">
        <v>15</v>
      </c>
      <c r="BM16" t="s">
        <v>13</v>
      </c>
      <c r="BN16">
        <v>0</v>
      </c>
      <c r="BO16">
        <v>2.8919999999999999</v>
      </c>
      <c r="BP16" s="3">
        <v>1547654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35">
      <c r="A17">
        <v>53</v>
      </c>
      <c r="B17" t="s">
        <v>43</v>
      </c>
      <c r="C17" s="2">
        <v>45993.789710648147</v>
      </c>
      <c r="D17">
        <v>57</v>
      </c>
      <c r="E17" t="s">
        <v>13</v>
      </c>
      <c r="F17">
        <v>0</v>
      </c>
      <c r="G17">
        <v>6.1180000000000003</v>
      </c>
      <c r="H17" s="3">
        <v>11650</v>
      </c>
      <c r="I17">
        <v>2.7E-2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45993.789710648147</v>
      </c>
      <c r="R17">
        <v>57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45993.789710648147</v>
      </c>
      <c r="AF17">
        <v>57</v>
      </c>
      <c r="AG17" t="s">
        <v>13</v>
      </c>
      <c r="AH17">
        <v>0</v>
      </c>
      <c r="AI17">
        <v>12.353999999999999</v>
      </c>
      <c r="AJ17" s="3">
        <v>22891</v>
      </c>
      <c r="AK17">
        <v>4.9189999999999996</v>
      </c>
      <c r="AL17" t="s">
        <v>14</v>
      </c>
      <c r="AM17" t="s">
        <v>14</v>
      </c>
      <c r="AN17" t="s">
        <v>14</v>
      </c>
      <c r="AO17" t="s">
        <v>14</v>
      </c>
      <c r="AQ17">
        <v>1</v>
      </c>
      <c r="AS17" s="10">
        <v>53</v>
      </c>
      <c r="AT17" s="16">
        <f t="shared" si="0"/>
        <v>34.388604982499999</v>
      </c>
      <c r="AU17" s="17">
        <f t="shared" si="1"/>
        <v>5052.5681239793303</v>
      </c>
      <c r="AW17" s="6">
        <f t="shared" si="2"/>
        <v>24.873268909850001</v>
      </c>
      <c r="AX17" s="7">
        <f t="shared" si="3"/>
        <v>4614.4972740768799</v>
      </c>
      <c r="AZ17" s="11">
        <f t="shared" si="4"/>
        <v>24.816915617499994</v>
      </c>
      <c r="BA17" s="12">
        <f t="shared" si="5"/>
        <v>5324.6885664758993</v>
      </c>
      <c r="BC17" s="13">
        <f t="shared" si="6"/>
        <v>29.413153342000001</v>
      </c>
      <c r="BD17" s="14">
        <f t="shared" si="7"/>
        <v>4695.4199267162003</v>
      </c>
      <c r="BF17" s="16">
        <f t="shared" si="8"/>
        <v>34.388604982499999</v>
      </c>
      <c r="BG17" s="17">
        <f t="shared" si="9"/>
        <v>5052.5681239793303</v>
      </c>
      <c r="BI17">
        <v>53</v>
      </c>
      <c r="BJ17" t="s">
        <v>43</v>
      </c>
      <c r="BK17" s="2">
        <v>45993.789710648147</v>
      </c>
      <c r="BL17">
        <v>57</v>
      </c>
      <c r="BM17" t="s">
        <v>13</v>
      </c>
      <c r="BN17">
        <v>0</v>
      </c>
      <c r="BO17">
        <v>2.8860000000000001</v>
      </c>
      <c r="BP17" s="3">
        <v>1855289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35">
      <c r="A18">
        <v>54</v>
      </c>
      <c r="B18" t="s">
        <v>44</v>
      </c>
      <c r="C18" s="2">
        <v>45993.810925925929</v>
      </c>
      <c r="D18">
        <v>74</v>
      </c>
      <c r="E18" t="s">
        <v>13</v>
      </c>
      <c r="F18">
        <v>0</v>
      </c>
      <c r="G18">
        <v>6.11</v>
      </c>
      <c r="H18" s="3">
        <v>11430</v>
      </c>
      <c r="I18">
        <v>2.5999999999999999E-2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45993.810925925929</v>
      </c>
      <c r="R18">
        <v>74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45993.810925925929</v>
      </c>
      <c r="AF18">
        <v>74</v>
      </c>
      <c r="AG18" t="s">
        <v>13</v>
      </c>
      <c r="AH18">
        <v>0</v>
      </c>
      <c r="AI18">
        <v>12.349</v>
      </c>
      <c r="AJ18" s="3">
        <v>23386</v>
      </c>
      <c r="AK18">
        <v>5.0270000000000001</v>
      </c>
      <c r="AL18" t="s">
        <v>14</v>
      </c>
      <c r="AM18" t="s">
        <v>14</v>
      </c>
      <c r="AN18" t="s">
        <v>14</v>
      </c>
      <c r="AO18" t="s">
        <v>14</v>
      </c>
      <c r="AQ18">
        <v>1</v>
      </c>
      <c r="AS18" s="10">
        <v>54</v>
      </c>
      <c r="AT18" s="16">
        <f t="shared" si="0"/>
        <v>33.7999003913</v>
      </c>
      <c r="AU18" s="17">
        <f t="shared" si="1"/>
        <v>5164.1555718462805</v>
      </c>
      <c r="AW18" s="6">
        <f t="shared" si="2"/>
        <v>24.357117859753998</v>
      </c>
      <c r="AX18" s="7">
        <f t="shared" si="3"/>
        <v>4716.22918450208</v>
      </c>
      <c r="AZ18" s="11">
        <f t="shared" si="4"/>
        <v>24.155462992699995</v>
      </c>
      <c r="BA18" s="12">
        <f t="shared" si="5"/>
        <v>5435.0206313243998</v>
      </c>
      <c r="BC18" s="13">
        <f t="shared" si="6"/>
        <v>28.776839752880001</v>
      </c>
      <c r="BD18" s="14">
        <f t="shared" si="7"/>
        <v>4795.5250812392005</v>
      </c>
      <c r="BF18" s="16">
        <f t="shared" si="8"/>
        <v>33.7999003913</v>
      </c>
      <c r="BG18" s="17">
        <f t="shared" si="9"/>
        <v>5164.1555718462805</v>
      </c>
      <c r="BI18">
        <v>54</v>
      </c>
      <c r="BJ18" t="s">
        <v>44</v>
      </c>
      <c r="BK18" s="2">
        <v>45993.810925925929</v>
      </c>
      <c r="BL18">
        <v>74</v>
      </c>
      <c r="BM18" t="s">
        <v>13</v>
      </c>
      <c r="BN18">
        <v>0</v>
      </c>
      <c r="BO18">
        <v>2.8839999999999999</v>
      </c>
      <c r="BP18" s="3">
        <v>1756310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35">
      <c r="A19">
        <v>55</v>
      </c>
      <c r="B19" t="s">
        <v>45</v>
      </c>
      <c r="C19" s="2">
        <v>45994.540162037039</v>
      </c>
      <c r="D19">
        <v>88</v>
      </c>
      <c r="E19" t="s">
        <v>13</v>
      </c>
      <c r="F19">
        <v>0</v>
      </c>
      <c r="G19">
        <v>6.085</v>
      </c>
      <c r="H19" s="3">
        <v>530441</v>
      </c>
      <c r="I19">
        <v>1.1970000000000001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45994.540162037039</v>
      </c>
      <c r="R19">
        <v>88</v>
      </c>
      <c r="S19" t="s">
        <v>13</v>
      </c>
      <c r="T19">
        <v>0</v>
      </c>
      <c r="U19">
        <v>6.0369999999999999</v>
      </c>
      <c r="V19" s="3">
        <v>4211</v>
      </c>
      <c r="W19">
        <v>1.1319999999999999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45994.540162037039</v>
      </c>
      <c r="AF19">
        <v>88</v>
      </c>
      <c r="AG19" t="s">
        <v>13</v>
      </c>
      <c r="AH19">
        <v>0</v>
      </c>
      <c r="AI19" t="s">
        <v>14</v>
      </c>
      <c r="AJ19" s="3" t="s">
        <v>14</v>
      </c>
      <c r="AK19" t="s">
        <v>14</v>
      </c>
      <c r="AL19" t="s">
        <v>14</v>
      </c>
      <c r="AM19" t="s">
        <v>14</v>
      </c>
      <c r="AN19" t="s">
        <v>14</v>
      </c>
      <c r="AO19" t="s">
        <v>14</v>
      </c>
      <c r="AQ19">
        <v>2</v>
      </c>
      <c r="AR19" t="s">
        <v>66</v>
      </c>
      <c r="AS19" s="10">
        <v>55</v>
      </c>
      <c r="AT19" s="16">
        <f t="shared" si="0"/>
        <v>1262.8911203298012</v>
      </c>
      <c r="AU19" s="17" t="e">
        <f t="shared" si="1"/>
        <v>#VALUE!</v>
      </c>
      <c r="AW19" s="6">
        <f t="shared" si="2"/>
        <v>1220.3441171081001</v>
      </c>
      <c r="AX19" s="7" t="e">
        <f t="shared" si="3"/>
        <v>#VALUE!</v>
      </c>
      <c r="AZ19" s="11">
        <f t="shared" si="4"/>
        <v>1177.9221016266533</v>
      </c>
      <c r="BA19" s="12" t="e">
        <f t="shared" si="5"/>
        <v>#VALUE!</v>
      </c>
      <c r="BC19" s="13">
        <f t="shared" si="6"/>
        <v>1291.9905835422176</v>
      </c>
      <c r="BD19" s="14" t="e">
        <f t="shared" si="7"/>
        <v>#VALUE!</v>
      </c>
      <c r="BF19" s="16">
        <f t="shared" si="8"/>
        <v>1262.8911203298012</v>
      </c>
      <c r="BG19" s="17" t="e">
        <f t="shared" si="9"/>
        <v>#VALUE!</v>
      </c>
      <c r="BI19">
        <v>55</v>
      </c>
      <c r="BJ19" t="s">
        <v>45</v>
      </c>
      <c r="BK19" s="2">
        <v>45994.540162037039</v>
      </c>
      <c r="BL19">
        <v>88</v>
      </c>
      <c r="BM19" t="s">
        <v>13</v>
      </c>
      <c r="BN19">
        <v>0</v>
      </c>
      <c r="BO19">
        <v>2.8420000000000001</v>
      </c>
      <c r="BP19" s="3">
        <v>1864948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35">
      <c r="A20">
        <v>56</v>
      </c>
      <c r="B20" t="s">
        <v>46</v>
      </c>
      <c r="C20" s="2">
        <v>45994.561388888891</v>
      </c>
      <c r="D20">
        <v>34</v>
      </c>
      <c r="E20" t="s">
        <v>13</v>
      </c>
      <c r="F20">
        <v>0</v>
      </c>
      <c r="G20">
        <v>6.08</v>
      </c>
      <c r="H20" s="3">
        <v>8247</v>
      </c>
      <c r="I20">
        <v>1.9E-2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45994.561388888891</v>
      </c>
      <c r="R20">
        <v>34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45994.561388888891</v>
      </c>
      <c r="AF20">
        <v>34</v>
      </c>
      <c r="AG20" t="s">
        <v>13</v>
      </c>
      <c r="AH20">
        <v>0</v>
      </c>
      <c r="AI20" t="s">
        <v>14</v>
      </c>
      <c r="AJ20" s="3" t="s">
        <v>14</v>
      </c>
      <c r="AK20" t="s">
        <v>14</v>
      </c>
      <c r="AL20" t="s">
        <v>14</v>
      </c>
      <c r="AM20" t="s">
        <v>14</v>
      </c>
      <c r="AN20" t="s">
        <v>14</v>
      </c>
      <c r="AO20" t="s">
        <v>14</v>
      </c>
      <c r="AQ20">
        <v>2</v>
      </c>
      <c r="AR20" t="s">
        <v>66</v>
      </c>
      <c r="AS20" s="10">
        <v>56</v>
      </c>
      <c r="AT20" s="16">
        <f t="shared" si="0"/>
        <v>26.024688485436997</v>
      </c>
      <c r="AU20" s="17" t="e">
        <f t="shared" si="1"/>
        <v>#VALUE!</v>
      </c>
      <c r="AW20" s="6">
        <f t="shared" si="2"/>
        <v>14.962710507700002</v>
      </c>
      <c r="AX20" s="7" t="e">
        <f t="shared" si="3"/>
        <v>#VALUE!</v>
      </c>
      <c r="AZ20" s="11">
        <f t="shared" si="4"/>
        <v>10.150069859999997</v>
      </c>
      <c r="BA20" s="12" t="e">
        <f t="shared" si="5"/>
        <v>#VALUE!</v>
      </c>
      <c r="BC20" s="13">
        <f t="shared" si="6"/>
        <v>20.305154334259999</v>
      </c>
      <c r="BD20" s="14" t="e">
        <f t="shared" si="7"/>
        <v>#VALUE!</v>
      </c>
      <c r="BF20" s="16">
        <f t="shared" si="8"/>
        <v>26.024688485436997</v>
      </c>
      <c r="BG20" s="17" t="e">
        <f t="shared" si="9"/>
        <v>#VALUE!</v>
      </c>
      <c r="BI20">
        <v>56</v>
      </c>
      <c r="BJ20" t="s">
        <v>46</v>
      </c>
      <c r="BK20" s="2">
        <v>45994.561388888891</v>
      </c>
      <c r="BL20">
        <v>34</v>
      </c>
      <c r="BM20" t="s">
        <v>13</v>
      </c>
      <c r="BN20">
        <v>0</v>
      </c>
      <c r="BO20">
        <v>2.8460000000000001</v>
      </c>
      <c r="BP20" s="3">
        <v>1717567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35">
      <c r="A21">
        <v>57</v>
      </c>
      <c r="B21" t="s">
        <v>47</v>
      </c>
      <c r="C21" s="2">
        <v>45994.582615740743</v>
      </c>
      <c r="D21">
        <v>173</v>
      </c>
      <c r="E21" t="s">
        <v>13</v>
      </c>
      <c r="F21">
        <v>0</v>
      </c>
      <c r="G21">
        <v>6.0880000000000001</v>
      </c>
      <c r="H21" s="3">
        <v>27281</v>
      </c>
      <c r="I21">
        <v>6.2E-2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45994.582615740743</v>
      </c>
      <c r="R21">
        <v>173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45994.582615740743</v>
      </c>
      <c r="AF21">
        <v>173</v>
      </c>
      <c r="AG21" t="s">
        <v>13</v>
      </c>
      <c r="AH21">
        <v>0</v>
      </c>
      <c r="AI21">
        <v>12.281000000000001</v>
      </c>
      <c r="AJ21" s="3">
        <v>16619</v>
      </c>
      <c r="AK21">
        <v>3.5470000000000002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10">
        <v>57</v>
      </c>
      <c r="AT21" s="16">
        <f t="shared" si="0"/>
        <v>76.15090347125701</v>
      </c>
      <c r="AU21" s="17">
        <f t="shared" si="1"/>
        <v>3636.5935997297302</v>
      </c>
      <c r="AW21" s="6">
        <f t="shared" si="2"/>
        <v>61.525845866521053</v>
      </c>
      <c r="AX21" s="7">
        <f t="shared" si="3"/>
        <v>3324.3989015712805</v>
      </c>
      <c r="AZ21" s="11">
        <f t="shared" si="4"/>
        <v>71.422396080503006</v>
      </c>
      <c r="BA21" s="12">
        <f t="shared" si="5"/>
        <v>3907.3452114679003</v>
      </c>
      <c r="BC21" s="13">
        <f t="shared" si="6"/>
        <v>74.55167874486321</v>
      </c>
      <c r="BD21" s="14">
        <f t="shared" si="7"/>
        <v>3424.4787685721999</v>
      </c>
      <c r="BF21" s="16">
        <f t="shared" si="8"/>
        <v>76.15090347125701</v>
      </c>
      <c r="BG21" s="17">
        <f t="shared" si="9"/>
        <v>3636.5935997297302</v>
      </c>
      <c r="BI21">
        <v>57</v>
      </c>
      <c r="BJ21" t="s">
        <v>47</v>
      </c>
      <c r="BK21" s="2">
        <v>45994.582615740743</v>
      </c>
      <c r="BL21">
        <v>173</v>
      </c>
      <c r="BM21" t="s">
        <v>13</v>
      </c>
      <c r="BN21">
        <v>0</v>
      </c>
      <c r="BO21">
        <v>2.8690000000000002</v>
      </c>
      <c r="BP21" s="3">
        <v>1568021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35">
      <c r="A22">
        <v>58</v>
      </c>
      <c r="B22" t="s">
        <v>48</v>
      </c>
      <c r="C22" s="2">
        <v>45994.603831018518</v>
      </c>
      <c r="D22">
        <v>328</v>
      </c>
      <c r="E22" t="s">
        <v>13</v>
      </c>
      <c r="F22">
        <v>0</v>
      </c>
      <c r="G22">
        <v>6.0910000000000002</v>
      </c>
      <c r="H22" s="3">
        <v>11050</v>
      </c>
      <c r="I22">
        <v>2.5000000000000001E-2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45994.603831018518</v>
      </c>
      <c r="R22">
        <v>328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45994.603831018518</v>
      </c>
      <c r="AF22">
        <v>328</v>
      </c>
      <c r="AG22" t="s">
        <v>13</v>
      </c>
      <c r="AH22">
        <v>0</v>
      </c>
      <c r="AI22">
        <v>12.287000000000001</v>
      </c>
      <c r="AJ22" s="3">
        <v>26253</v>
      </c>
      <c r="AK22">
        <v>5.6539999999999999</v>
      </c>
      <c r="AL22" t="s">
        <v>14</v>
      </c>
      <c r="AM22" t="s">
        <v>14</v>
      </c>
      <c r="AN22" t="s">
        <v>14</v>
      </c>
      <c r="AO22" t="s">
        <v>14</v>
      </c>
      <c r="AQ22">
        <v>1</v>
      </c>
      <c r="AS22" s="10">
        <v>58</v>
      </c>
      <c r="AT22" s="16">
        <f t="shared" si="0"/>
        <v>32.782987042499997</v>
      </c>
      <c r="AU22" s="17">
        <f t="shared" si="1"/>
        <v>5809.9880741583702</v>
      </c>
      <c r="AW22" s="6">
        <f t="shared" si="2"/>
        <v>23.465565864649999</v>
      </c>
      <c r="AX22" s="7">
        <f t="shared" si="3"/>
        <v>5305.2062053703203</v>
      </c>
      <c r="AZ22" s="11">
        <f t="shared" si="4"/>
        <v>23.012594357500006</v>
      </c>
      <c r="BA22" s="12">
        <f t="shared" si="5"/>
        <v>6069.6587538950998</v>
      </c>
      <c r="BC22" s="13">
        <f t="shared" si="6"/>
        <v>27.677686798000003</v>
      </c>
      <c r="BD22" s="14">
        <f t="shared" si="7"/>
        <v>5374.7496434618006</v>
      </c>
      <c r="BF22" s="16">
        <f t="shared" si="8"/>
        <v>32.782987042499997</v>
      </c>
      <c r="BG22" s="17">
        <f t="shared" si="9"/>
        <v>5809.9880741583702</v>
      </c>
      <c r="BI22">
        <v>58</v>
      </c>
      <c r="BJ22" t="s">
        <v>48</v>
      </c>
      <c r="BK22" s="2">
        <v>45994.603831018518</v>
      </c>
      <c r="BL22">
        <v>328</v>
      </c>
      <c r="BM22" t="s">
        <v>13</v>
      </c>
      <c r="BN22">
        <v>0</v>
      </c>
      <c r="BO22">
        <v>2.863</v>
      </c>
      <c r="BP22" s="3">
        <v>1810941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35">
      <c r="A23">
        <v>59</v>
      </c>
      <c r="B23" t="s">
        <v>49</v>
      </c>
      <c r="C23" s="2">
        <v>45994.625081018516</v>
      </c>
      <c r="D23">
        <v>119</v>
      </c>
      <c r="E23" t="s">
        <v>13</v>
      </c>
      <c r="F23">
        <v>0</v>
      </c>
      <c r="G23">
        <v>6.0819999999999999</v>
      </c>
      <c r="H23" s="3">
        <v>8094</v>
      </c>
      <c r="I23">
        <v>1.9E-2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45994.625081018516</v>
      </c>
      <c r="R23">
        <v>119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45994.625081018516</v>
      </c>
      <c r="AF23">
        <v>119</v>
      </c>
      <c r="AG23" t="s">
        <v>13</v>
      </c>
      <c r="AH23">
        <v>0</v>
      </c>
      <c r="AI23">
        <v>12.316000000000001</v>
      </c>
      <c r="AJ23" s="3">
        <v>18248</v>
      </c>
      <c r="AK23">
        <v>3.903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10">
        <v>59</v>
      </c>
      <c r="AT23" s="16">
        <f t="shared" si="0"/>
        <v>25.470708516148001</v>
      </c>
      <c r="AU23" s="17">
        <f t="shared" si="1"/>
        <v>4004.7298050387199</v>
      </c>
      <c r="AW23" s="6">
        <f t="shared" si="2"/>
        <v>14.471695670799999</v>
      </c>
      <c r="AX23" s="7">
        <f t="shared" si="3"/>
        <v>3659.6637078579197</v>
      </c>
      <c r="AZ23" s="11">
        <f t="shared" si="4"/>
        <v>9.5290214400000028</v>
      </c>
      <c r="BA23" s="12">
        <f t="shared" si="5"/>
        <v>4278.9154872255995</v>
      </c>
      <c r="BC23" s="13">
        <f t="shared" si="6"/>
        <v>19.786985449039999</v>
      </c>
      <c r="BD23" s="14">
        <f t="shared" si="7"/>
        <v>3755.0272276607998</v>
      </c>
      <c r="BF23" s="16">
        <f t="shared" si="8"/>
        <v>25.470708516148001</v>
      </c>
      <c r="BG23" s="17">
        <f t="shared" si="9"/>
        <v>4004.7298050387199</v>
      </c>
      <c r="BI23">
        <v>59</v>
      </c>
      <c r="BJ23" t="s">
        <v>49</v>
      </c>
      <c r="BK23" s="2">
        <v>45994.625081018516</v>
      </c>
      <c r="BL23">
        <v>119</v>
      </c>
      <c r="BM23" t="s">
        <v>13</v>
      </c>
      <c r="BN23">
        <v>0</v>
      </c>
      <c r="BO23">
        <v>2.871</v>
      </c>
      <c r="BP23" s="3">
        <v>1274650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35">
      <c r="A24">
        <v>60</v>
      </c>
      <c r="B24" t="s">
        <v>50</v>
      </c>
      <c r="C24" s="2">
        <v>45994.646331018521</v>
      </c>
      <c r="D24">
        <v>357</v>
      </c>
      <c r="E24" t="s">
        <v>13</v>
      </c>
      <c r="F24">
        <v>0</v>
      </c>
      <c r="G24">
        <v>6.0880000000000001</v>
      </c>
      <c r="H24" s="3">
        <v>10243</v>
      </c>
      <c r="I24">
        <v>2.3E-2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45994.646331018521</v>
      </c>
      <c r="R24">
        <v>357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45994.646331018521</v>
      </c>
      <c r="AF24">
        <v>357</v>
      </c>
      <c r="AG24" t="s">
        <v>13</v>
      </c>
      <c r="AH24">
        <v>0</v>
      </c>
      <c r="AI24" t="s">
        <v>14</v>
      </c>
      <c r="AJ24" s="3" t="s">
        <v>14</v>
      </c>
      <c r="AK24" t="s">
        <v>14</v>
      </c>
      <c r="AL24" t="s">
        <v>14</v>
      </c>
      <c r="AM24" t="s">
        <v>14</v>
      </c>
      <c r="AN24" t="s">
        <v>14</v>
      </c>
      <c r="AO24" t="s">
        <v>14</v>
      </c>
      <c r="AQ24">
        <v>2</v>
      </c>
      <c r="AR24" t="s">
        <v>66</v>
      </c>
      <c r="AS24" s="10">
        <v>60</v>
      </c>
      <c r="AT24" s="16">
        <f t="shared" si="0"/>
        <v>30.623132290112999</v>
      </c>
      <c r="AU24" s="17" t="e">
        <f t="shared" si="1"/>
        <v>#VALUE!</v>
      </c>
      <c r="AW24" s="6">
        <f t="shared" si="2"/>
        <v>21.57211381979354</v>
      </c>
      <c r="AX24" s="7" t="e">
        <f t="shared" si="3"/>
        <v>#VALUE!</v>
      </c>
      <c r="AZ24" s="11">
        <f t="shared" si="4"/>
        <v>20.583991659726998</v>
      </c>
      <c r="BA24" s="12" t="e">
        <f t="shared" si="5"/>
        <v>#VALUE!</v>
      </c>
      <c r="BC24" s="13">
        <f t="shared" si="6"/>
        <v>25.3431563786488</v>
      </c>
      <c r="BD24" s="14" t="e">
        <f t="shared" si="7"/>
        <v>#VALUE!</v>
      </c>
      <c r="BF24" s="16">
        <f t="shared" si="8"/>
        <v>30.623132290112999</v>
      </c>
      <c r="BG24" s="17" t="e">
        <f t="shared" si="9"/>
        <v>#VALUE!</v>
      </c>
      <c r="BI24">
        <v>60</v>
      </c>
      <c r="BJ24" t="s">
        <v>50</v>
      </c>
      <c r="BK24" s="2">
        <v>45994.646331018521</v>
      </c>
      <c r="BL24">
        <v>357</v>
      </c>
      <c r="BM24" t="s">
        <v>13</v>
      </c>
      <c r="BN24">
        <v>0</v>
      </c>
      <c r="BO24">
        <v>2.8530000000000002</v>
      </c>
      <c r="BP24" s="3">
        <v>1883086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35">
      <c r="A25">
        <v>61</v>
      </c>
      <c r="B25" t="s">
        <v>51</v>
      </c>
      <c r="C25" s="2">
        <v>45994.667557870373</v>
      </c>
      <c r="D25">
        <v>290</v>
      </c>
      <c r="E25" t="s">
        <v>13</v>
      </c>
      <c r="F25">
        <v>0</v>
      </c>
      <c r="G25">
        <v>6.093</v>
      </c>
      <c r="H25" s="3">
        <v>26864</v>
      </c>
      <c r="I25">
        <v>6.0999999999999999E-2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45994.667557870373</v>
      </c>
      <c r="R25">
        <v>290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45994.667557870373</v>
      </c>
      <c r="AF25">
        <v>290</v>
      </c>
      <c r="AG25" t="s">
        <v>13</v>
      </c>
      <c r="AH25">
        <v>0</v>
      </c>
      <c r="AI25">
        <v>12.234</v>
      </c>
      <c r="AJ25" s="3">
        <v>14253</v>
      </c>
      <c r="AK25">
        <v>3.028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10">
        <v>61</v>
      </c>
      <c r="AT25" s="16">
        <f t="shared" si="0"/>
        <v>75.038447607551987</v>
      </c>
      <c r="AU25" s="17">
        <f t="shared" si="1"/>
        <v>3101.4396271983701</v>
      </c>
      <c r="AW25" s="6">
        <f t="shared" si="2"/>
        <v>60.548548336092153</v>
      </c>
      <c r="AX25" s="7">
        <f t="shared" si="3"/>
        <v>2837.2107628103204</v>
      </c>
      <c r="AZ25" s="11">
        <f t="shared" si="4"/>
        <v>70.189071319807994</v>
      </c>
      <c r="BA25" s="12">
        <f t="shared" si="5"/>
        <v>3363.3561930951</v>
      </c>
      <c r="BC25" s="13">
        <f t="shared" si="6"/>
        <v>73.3493164055552</v>
      </c>
      <c r="BD25" s="14">
        <f t="shared" si="7"/>
        <v>2943.8167490617998</v>
      </c>
      <c r="BF25" s="16">
        <f t="shared" si="8"/>
        <v>75.038447607551987</v>
      </c>
      <c r="BG25" s="17">
        <f t="shared" si="9"/>
        <v>3101.4396271983701</v>
      </c>
      <c r="BI25">
        <v>61</v>
      </c>
      <c r="BJ25" t="s">
        <v>51</v>
      </c>
      <c r="BK25" s="2">
        <v>45994.667557870373</v>
      </c>
      <c r="BL25">
        <v>290</v>
      </c>
      <c r="BM25" t="s">
        <v>13</v>
      </c>
      <c r="BN25">
        <v>0</v>
      </c>
      <c r="BO25">
        <v>2.8769999999999998</v>
      </c>
      <c r="BP25" s="3">
        <v>1458506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35">
      <c r="A26">
        <v>62</v>
      </c>
      <c r="B26" t="s">
        <v>52</v>
      </c>
      <c r="C26" s="2">
        <v>45994.688784722224</v>
      </c>
      <c r="D26">
        <v>218</v>
      </c>
      <c r="E26" t="s">
        <v>13</v>
      </c>
      <c r="F26">
        <v>0</v>
      </c>
      <c r="G26">
        <v>6.0890000000000004</v>
      </c>
      <c r="H26" s="3">
        <v>10844</v>
      </c>
      <c r="I26">
        <v>2.5000000000000001E-2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45994.688784722224</v>
      </c>
      <c r="R26">
        <v>218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45994.688784722224</v>
      </c>
      <c r="AF26">
        <v>218</v>
      </c>
      <c r="AG26" t="s">
        <v>13</v>
      </c>
      <c r="AH26">
        <v>0</v>
      </c>
      <c r="AI26">
        <v>12.297000000000001</v>
      </c>
      <c r="AJ26" s="3">
        <v>25935</v>
      </c>
      <c r="AK26">
        <v>5.585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10">
        <v>62</v>
      </c>
      <c r="AT26" s="16">
        <f t="shared" si="0"/>
        <v>32.231681215632001</v>
      </c>
      <c r="AU26" s="17">
        <f t="shared" si="1"/>
        <v>5738.39382927925</v>
      </c>
      <c r="AW26" s="6">
        <f t="shared" si="2"/>
        <v>22.98224111325856</v>
      </c>
      <c r="AX26" s="7">
        <f t="shared" si="3"/>
        <v>5239.8991297780003</v>
      </c>
      <c r="AZ26" s="11">
        <f t="shared" si="4"/>
        <v>22.392848886128</v>
      </c>
      <c r="BA26" s="12">
        <f t="shared" si="5"/>
        <v>5999.6360909774994</v>
      </c>
      <c r="BC26" s="13">
        <f t="shared" si="6"/>
        <v>27.081795333363203</v>
      </c>
      <c r="BD26" s="14">
        <f t="shared" si="7"/>
        <v>5310.5520713449996</v>
      </c>
      <c r="BF26" s="16">
        <f t="shared" si="8"/>
        <v>32.231681215632001</v>
      </c>
      <c r="BG26" s="17">
        <f t="shared" si="9"/>
        <v>5738.39382927925</v>
      </c>
      <c r="BI26">
        <v>62</v>
      </c>
      <c r="BJ26" t="s">
        <v>52</v>
      </c>
      <c r="BK26" s="2">
        <v>45994.688784722224</v>
      </c>
      <c r="BL26">
        <v>218</v>
      </c>
      <c r="BM26" t="s">
        <v>13</v>
      </c>
      <c r="BN26">
        <v>0</v>
      </c>
      <c r="BO26">
        <v>2.8639999999999999</v>
      </c>
      <c r="BP26" s="3">
        <v>1652120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35">
      <c r="A27">
        <v>63</v>
      </c>
      <c r="B27" t="s">
        <v>53</v>
      </c>
      <c r="C27" s="2">
        <v>45994.710034722222</v>
      </c>
      <c r="D27">
        <v>266</v>
      </c>
      <c r="E27" t="s">
        <v>13</v>
      </c>
      <c r="F27">
        <v>0</v>
      </c>
      <c r="G27">
        <v>6.0970000000000004</v>
      </c>
      <c r="H27" s="3">
        <v>28997</v>
      </c>
      <c r="I27">
        <v>6.6000000000000003E-2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45994.710034722222</v>
      </c>
      <c r="R27">
        <v>266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45994.710034722222</v>
      </c>
      <c r="AF27">
        <v>266</v>
      </c>
      <c r="AG27" t="s">
        <v>13</v>
      </c>
      <c r="AH27">
        <v>0</v>
      </c>
      <c r="AI27">
        <v>12.297000000000001</v>
      </c>
      <c r="AJ27" s="3">
        <v>16515</v>
      </c>
      <c r="AK27">
        <v>3.524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10">
        <v>63</v>
      </c>
      <c r="AT27" s="16">
        <f t="shared" si="0"/>
        <v>80.727816759633001</v>
      </c>
      <c r="AU27" s="17">
        <f t="shared" si="1"/>
        <v>3613.0818918092505</v>
      </c>
      <c r="AW27" s="6">
        <f t="shared" si="2"/>
        <v>65.547235873235138</v>
      </c>
      <c r="AX27" s="7">
        <f t="shared" si="3"/>
        <v>3302.990041858</v>
      </c>
      <c r="AZ27" s="11">
        <f t="shared" si="4"/>
        <v>76.491888383806995</v>
      </c>
      <c r="BA27" s="12">
        <f t="shared" si="5"/>
        <v>3883.5409028775002</v>
      </c>
      <c r="BC27" s="13">
        <f t="shared" si="6"/>
        <v>79.498472448600808</v>
      </c>
      <c r="BD27" s="14">
        <f t="shared" si="7"/>
        <v>3403.3648355449996</v>
      </c>
      <c r="BF27" s="16">
        <f t="shared" si="8"/>
        <v>80.727816759633001</v>
      </c>
      <c r="BG27" s="17">
        <f t="shared" si="9"/>
        <v>3613.0818918092505</v>
      </c>
      <c r="BI27">
        <v>63</v>
      </c>
      <c r="BJ27" t="s">
        <v>53</v>
      </c>
      <c r="BK27" s="2">
        <v>45994.710034722222</v>
      </c>
      <c r="BL27">
        <v>266</v>
      </c>
      <c r="BM27" t="s">
        <v>13</v>
      </c>
      <c r="BN27">
        <v>0</v>
      </c>
      <c r="BO27">
        <v>2.871</v>
      </c>
      <c r="BP27" s="3">
        <v>1697228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35">
      <c r="A28">
        <v>64</v>
      </c>
      <c r="B28" t="s">
        <v>54</v>
      </c>
      <c r="C28" s="2">
        <v>45994.731296296297</v>
      </c>
      <c r="D28">
        <v>401</v>
      </c>
      <c r="E28" t="s">
        <v>13</v>
      </c>
      <c r="F28">
        <v>0</v>
      </c>
      <c r="G28">
        <v>6.0990000000000002</v>
      </c>
      <c r="H28" s="3">
        <v>32522</v>
      </c>
      <c r="I28">
        <v>7.3999999999999996E-2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45994.731296296297</v>
      </c>
      <c r="R28">
        <v>401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45994.731296296297</v>
      </c>
      <c r="AF28">
        <v>401</v>
      </c>
      <c r="AG28" t="s">
        <v>13</v>
      </c>
      <c r="AH28">
        <v>0</v>
      </c>
      <c r="AI28" t="s">
        <v>14</v>
      </c>
      <c r="AJ28" s="3" t="s">
        <v>14</v>
      </c>
      <c r="AK28" t="s">
        <v>14</v>
      </c>
      <c r="AL28" t="s">
        <v>14</v>
      </c>
      <c r="AM28" t="s">
        <v>14</v>
      </c>
      <c r="AN28" t="s">
        <v>14</v>
      </c>
      <c r="AO28" t="s">
        <v>14</v>
      </c>
      <c r="AQ28">
        <v>2</v>
      </c>
      <c r="AR28" t="s">
        <v>66</v>
      </c>
      <c r="AS28" s="10">
        <v>64</v>
      </c>
      <c r="AT28" s="16">
        <f t="shared" si="0"/>
        <v>90.124834032707994</v>
      </c>
      <c r="AU28" s="17" t="e">
        <f t="shared" si="1"/>
        <v>#VALUE!</v>
      </c>
      <c r="AW28" s="6">
        <f t="shared" si="2"/>
        <v>73.806470413818644</v>
      </c>
      <c r="AX28" s="7" t="e">
        <f t="shared" si="3"/>
        <v>#VALUE!</v>
      </c>
      <c r="AZ28" s="11">
        <f t="shared" si="4"/>
        <v>86.87648387673201</v>
      </c>
      <c r="BA28" s="12" t="e">
        <f t="shared" si="5"/>
        <v>#VALUE!</v>
      </c>
      <c r="BC28" s="13">
        <f t="shared" si="6"/>
        <v>89.654819876220799</v>
      </c>
      <c r="BD28" s="14" t="e">
        <f t="shared" si="7"/>
        <v>#VALUE!</v>
      </c>
      <c r="BF28" s="16">
        <f t="shared" si="8"/>
        <v>90.124834032707994</v>
      </c>
      <c r="BG28" s="17" t="e">
        <f t="shared" si="9"/>
        <v>#VALUE!</v>
      </c>
      <c r="BI28">
        <v>64</v>
      </c>
      <c r="BJ28" t="s">
        <v>54</v>
      </c>
      <c r="BK28" s="2">
        <v>45994.731296296297</v>
      </c>
      <c r="BL28">
        <v>401</v>
      </c>
      <c r="BM28" t="s">
        <v>13</v>
      </c>
      <c r="BN28">
        <v>0</v>
      </c>
      <c r="BO28">
        <v>2.8719999999999999</v>
      </c>
      <c r="BP28" s="3">
        <v>1833487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35">
      <c r="A29">
        <v>65</v>
      </c>
      <c r="B29" t="s">
        <v>55</v>
      </c>
      <c r="C29" s="2">
        <v>45994.752534722225</v>
      </c>
      <c r="D29">
        <v>400</v>
      </c>
      <c r="E29" t="s">
        <v>13</v>
      </c>
      <c r="F29">
        <v>0</v>
      </c>
      <c r="G29">
        <v>6.0810000000000004</v>
      </c>
      <c r="H29" s="3">
        <v>7240</v>
      </c>
      <c r="I29">
        <v>1.7000000000000001E-2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45994.752534722225</v>
      </c>
      <c r="R29">
        <v>400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45994.752534722225</v>
      </c>
      <c r="AF29">
        <v>400</v>
      </c>
      <c r="AG29" t="s">
        <v>13</v>
      </c>
      <c r="AH29">
        <v>0</v>
      </c>
      <c r="AI29">
        <v>12.316000000000001</v>
      </c>
      <c r="AJ29" s="3">
        <v>15252</v>
      </c>
      <c r="AK29" s="15">
        <v>3.2469999999999999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10">
        <v>65</v>
      </c>
      <c r="AT29" s="16">
        <f t="shared" si="0"/>
        <v>22.385862676800002</v>
      </c>
      <c r="AU29" s="17">
        <f t="shared" si="1"/>
        <v>3327.4655646587198</v>
      </c>
      <c r="AW29" s="6">
        <f t="shared" si="2"/>
        <v>11.855953280000001</v>
      </c>
      <c r="AX29" s="7">
        <f t="shared" si="3"/>
        <v>3042.9518481779201</v>
      </c>
      <c r="AZ29" s="11">
        <f t="shared" si="4"/>
        <v>6.526904</v>
      </c>
      <c r="BA29" s="12">
        <f t="shared" si="5"/>
        <v>3593.6684198255998</v>
      </c>
      <c r="BC29" s="13">
        <f t="shared" si="6"/>
        <v>16.943861663999996</v>
      </c>
      <c r="BD29" s="14">
        <f t="shared" si="7"/>
        <v>3146.8491144607997</v>
      </c>
      <c r="BF29" s="16">
        <f t="shared" si="8"/>
        <v>22.385862676800002</v>
      </c>
      <c r="BG29" s="17">
        <f t="shared" si="9"/>
        <v>3327.4655646587198</v>
      </c>
      <c r="BI29">
        <v>65</v>
      </c>
      <c r="BJ29" t="s">
        <v>55</v>
      </c>
      <c r="BK29" s="2">
        <v>45994.752534722225</v>
      </c>
      <c r="BL29">
        <v>400</v>
      </c>
      <c r="BM29" t="s">
        <v>13</v>
      </c>
      <c r="BN29">
        <v>0</v>
      </c>
      <c r="BO29">
        <v>2.88</v>
      </c>
      <c r="BP29" s="3">
        <v>1022144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35">
      <c r="A30">
        <v>66</v>
      </c>
      <c r="B30" t="s">
        <v>56</v>
      </c>
      <c r="C30" s="2">
        <v>45994.773773148147</v>
      </c>
      <c r="D30">
        <v>182</v>
      </c>
      <c r="E30" t="s">
        <v>13</v>
      </c>
      <c r="F30">
        <v>0</v>
      </c>
      <c r="G30">
        <v>6.1</v>
      </c>
      <c r="H30" s="3">
        <v>28442</v>
      </c>
      <c r="I30">
        <v>6.5000000000000002E-2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45994.773773148147</v>
      </c>
      <c r="R30">
        <v>182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45994.773773148147</v>
      </c>
      <c r="AF30">
        <v>182</v>
      </c>
      <c r="AG30" t="s">
        <v>13</v>
      </c>
      <c r="AH30">
        <v>0</v>
      </c>
      <c r="AI30">
        <v>12.305</v>
      </c>
      <c r="AJ30" s="3">
        <v>15892</v>
      </c>
      <c r="AK30">
        <v>3.387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10">
        <v>66</v>
      </c>
      <c r="AT30" s="16">
        <f t="shared" si="0"/>
        <v>79.247690843267989</v>
      </c>
      <c r="AU30" s="17">
        <f t="shared" si="1"/>
        <v>3472.2154935675203</v>
      </c>
      <c r="AW30" s="6">
        <f t="shared" si="2"/>
        <v>64.246663379303428</v>
      </c>
      <c r="AX30" s="7">
        <f t="shared" si="3"/>
        <v>3174.7311794547204</v>
      </c>
      <c r="AZ30" s="11">
        <f t="shared" si="4"/>
        <v>74.853296006972002</v>
      </c>
      <c r="BA30" s="12">
        <f t="shared" si="5"/>
        <v>3740.7373616496002</v>
      </c>
      <c r="BC30" s="13">
        <f t="shared" si="6"/>
        <v>77.898734001276807</v>
      </c>
      <c r="BD30" s="14">
        <f t="shared" si="7"/>
        <v>3276.8571712927996</v>
      </c>
      <c r="BF30" s="16">
        <f t="shared" si="8"/>
        <v>79.247690843267989</v>
      </c>
      <c r="BG30" s="17">
        <f t="shared" si="9"/>
        <v>3472.2154935675203</v>
      </c>
      <c r="BI30">
        <v>66</v>
      </c>
      <c r="BJ30" t="s">
        <v>56</v>
      </c>
      <c r="BK30" s="2">
        <v>45994.773773148147</v>
      </c>
      <c r="BL30">
        <v>182</v>
      </c>
      <c r="BM30" t="s">
        <v>13</v>
      </c>
      <c r="BN30">
        <v>0</v>
      </c>
      <c r="BO30">
        <v>2.8780000000000001</v>
      </c>
      <c r="BP30" s="3">
        <v>1630327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35">
      <c r="A31">
        <v>67</v>
      </c>
      <c r="B31" t="s">
        <v>57</v>
      </c>
      <c r="C31" s="2">
        <v>45994.795011574075</v>
      </c>
      <c r="D31">
        <v>105</v>
      </c>
      <c r="E31" t="s">
        <v>13</v>
      </c>
      <c r="F31">
        <v>0</v>
      </c>
      <c r="G31">
        <v>6.0869999999999997</v>
      </c>
      <c r="H31" s="3">
        <v>189564</v>
      </c>
      <c r="I31">
        <v>0.42799999999999999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45994.795011574075</v>
      </c>
      <c r="R31">
        <v>105</v>
      </c>
      <c r="S31" t="s">
        <v>13</v>
      </c>
      <c r="T31">
        <v>0</v>
      </c>
      <c r="U31">
        <v>6.0389999999999997</v>
      </c>
      <c r="V31" s="3">
        <v>1564</v>
      </c>
      <c r="W31">
        <v>0.47699999999999998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45994.795011574075</v>
      </c>
      <c r="AF31">
        <v>105</v>
      </c>
      <c r="AG31" t="s">
        <v>13</v>
      </c>
      <c r="AH31">
        <v>0</v>
      </c>
      <c r="AI31" t="s">
        <v>14</v>
      </c>
      <c r="AJ31" s="3" t="s">
        <v>14</v>
      </c>
      <c r="AK31" t="s">
        <v>14</v>
      </c>
      <c r="AL31" t="s">
        <v>14</v>
      </c>
      <c r="AM31" t="s">
        <v>14</v>
      </c>
      <c r="AN31" t="s">
        <v>14</v>
      </c>
      <c r="AO31" t="s">
        <v>14</v>
      </c>
      <c r="AQ31">
        <v>2</v>
      </c>
      <c r="AR31" t="s">
        <v>66</v>
      </c>
      <c r="AS31" s="10">
        <v>67</v>
      </c>
      <c r="AT31" s="16">
        <f t="shared" si="0"/>
        <v>502.13887184475198</v>
      </c>
      <c r="AU31" s="17" t="e">
        <f t="shared" si="1"/>
        <v>#VALUE!</v>
      </c>
      <c r="AW31" s="6">
        <f t="shared" si="2"/>
        <v>439.73210655686808</v>
      </c>
      <c r="AX31" s="7" t="e">
        <f t="shared" si="3"/>
        <v>#VALUE!</v>
      </c>
      <c r="AZ31" s="11">
        <f t="shared" si="4"/>
        <v>509.75452957860801</v>
      </c>
      <c r="BA31" s="12" t="e">
        <f t="shared" si="5"/>
        <v>#VALUE!</v>
      </c>
      <c r="BC31" s="13">
        <f t="shared" si="6"/>
        <v>534.84714948427529</v>
      </c>
      <c r="BD31" s="14" t="e">
        <f t="shared" si="7"/>
        <v>#VALUE!</v>
      </c>
      <c r="BF31" s="16">
        <f t="shared" si="8"/>
        <v>502.13887184475198</v>
      </c>
      <c r="BG31" s="17" t="e">
        <f t="shared" si="9"/>
        <v>#VALUE!</v>
      </c>
      <c r="BI31">
        <v>67</v>
      </c>
      <c r="BJ31" t="s">
        <v>57</v>
      </c>
      <c r="BK31" s="2">
        <v>45994.795011574075</v>
      </c>
      <c r="BL31">
        <v>105</v>
      </c>
      <c r="BM31" t="s">
        <v>13</v>
      </c>
      <c r="BN31">
        <v>0</v>
      </c>
      <c r="BO31">
        <v>2.883</v>
      </c>
      <c r="BP31" s="3">
        <v>1270561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35">
      <c r="A32">
        <v>68</v>
      </c>
      <c r="B32" t="s">
        <v>58</v>
      </c>
      <c r="C32" s="2">
        <v>45994.81622685185</v>
      </c>
      <c r="D32">
        <v>298</v>
      </c>
      <c r="E32" t="s">
        <v>13</v>
      </c>
      <c r="F32">
        <v>0</v>
      </c>
      <c r="G32">
        <v>6.085</v>
      </c>
      <c r="H32" s="3">
        <v>6979</v>
      </c>
      <c r="I32">
        <v>1.6E-2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45994.81622685185</v>
      </c>
      <c r="R32">
        <v>298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45994.81622685185</v>
      </c>
      <c r="AF32">
        <v>298</v>
      </c>
      <c r="AG32" t="s">
        <v>13</v>
      </c>
      <c r="AH32">
        <v>0</v>
      </c>
      <c r="AI32">
        <v>12.31</v>
      </c>
      <c r="AJ32" s="3">
        <v>19568</v>
      </c>
      <c r="AK32">
        <v>4.1920000000000002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10">
        <v>68</v>
      </c>
      <c r="AT32" s="16">
        <f t="shared" si="0"/>
        <v>21.445541803413001</v>
      </c>
      <c r="AU32" s="17">
        <f t="shared" si="1"/>
        <v>4302.8443719603201</v>
      </c>
      <c r="AW32" s="6">
        <f t="shared" si="2"/>
        <v>11.0988129773</v>
      </c>
      <c r="AX32" s="7">
        <f t="shared" si="3"/>
        <v>3931.2338229555198</v>
      </c>
      <c r="AZ32" s="11">
        <f t="shared" si="4"/>
        <v>5.7665431399999978</v>
      </c>
      <c r="BA32" s="12">
        <f t="shared" si="5"/>
        <v>4578.2282887935989</v>
      </c>
      <c r="BC32" s="13">
        <f t="shared" si="6"/>
        <v>16.091573038739998</v>
      </c>
      <c r="BD32" s="14">
        <f t="shared" si="7"/>
        <v>4022.6421838847996</v>
      </c>
      <c r="BF32" s="16">
        <f t="shared" si="8"/>
        <v>21.445541803413001</v>
      </c>
      <c r="BG32" s="17">
        <f t="shared" si="9"/>
        <v>4302.8443719603201</v>
      </c>
      <c r="BI32">
        <v>68</v>
      </c>
      <c r="BJ32" t="s">
        <v>58</v>
      </c>
      <c r="BK32" s="2">
        <v>45994.81622685185</v>
      </c>
      <c r="BL32">
        <v>298</v>
      </c>
      <c r="BM32" t="s">
        <v>13</v>
      </c>
      <c r="BN32">
        <v>0</v>
      </c>
      <c r="BO32">
        <v>2.8889999999999998</v>
      </c>
      <c r="BP32" s="3">
        <v>987647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35">
      <c r="A33">
        <v>69</v>
      </c>
      <c r="B33" t="s">
        <v>59</v>
      </c>
      <c r="C33" s="2">
        <v>45994.837442129632</v>
      </c>
      <c r="D33">
        <v>317</v>
      </c>
      <c r="E33" t="s">
        <v>13</v>
      </c>
      <c r="F33">
        <v>0</v>
      </c>
      <c r="G33">
        <v>6.08</v>
      </c>
      <c r="H33" s="3">
        <v>124382</v>
      </c>
      <c r="I33">
        <v>0.28100000000000003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45994.837442129632</v>
      </c>
      <c r="R33">
        <v>317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45994.837442129632</v>
      </c>
      <c r="AF33">
        <v>317</v>
      </c>
      <c r="AG33" t="s">
        <v>13</v>
      </c>
      <c r="AH33">
        <v>0</v>
      </c>
      <c r="AI33">
        <v>12.228999999999999</v>
      </c>
      <c r="AJ33" s="3">
        <v>105765</v>
      </c>
      <c r="AK33">
        <v>22.937000000000001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10">
        <v>69</v>
      </c>
      <c r="AT33" s="16">
        <f t="shared" si="0"/>
        <v>332.70268205398793</v>
      </c>
      <c r="AU33" s="17">
        <f t="shared" si="1"/>
        <v>23179.547681910499</v>
      </c>
      <c r="AW33" s="6">
        <f t="shared" si="2"/>
        <v>288.332911169841</v>
      </c>
      <c r="AX33" s="7">
        <f t="shared" si="3"/>
        <v>21472.452777057999</v>
      </c>
      <c r="AZ33" s="11">
        <f t="shared" si="4"/>
        <v>343.67684520585203</v>
      </c>
      <c r="BA33" s="12">
        <f t="shared" si="5"/>
        <v>23963.4734792975</v>
      </c>
      <c r="BC33" s="13">
        <f t="shared" si="6"/>
        <v>351.79442730034879</v>
      </c>
      <c r="BD33" s="14">
        <f t="shared" si="7"/>
        <v>20999.81426754325</v>
      </c>
      <c r="BF33" s="16">
        <f t="shared" si="8"/>
        <v>332.70268205398793</v>
      </c>
      <c r="BG33" s="17">
        <f t="shared" si="9"/>
        <v>23179.547681910499</v>
      </c>
      <c r="BI33">
        <v>69</v>
      </c>
      <c r="BJ33" t="s">
        <v>59</v>
      </c>
      <c r="BK33" s="2">
        <v>45994.837442129632</v>
      </c>
      <c r="BL33">
        <v>317</v>
      </c>
      <c r="BM33" t="s">
        <v>13</v>
      </c>
      <c r="BN33">
        <v>0</v>
      </c>
      <c r="BO33">
        <v>2.8940000000000001</v>
      </c>
      <c r="BP33" s="3">
        <v>867671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35">
      <c r="A34">
        <v>70</v>
      </c>
      <c r="B34" t="s">
        <v>60</v>
      </c>
      <c r="C34" s="2">
        <v>45994.85869212963</v>
      </c>
      <c r="D34">
        <v>45</v>
      </c>
      <c r="E34" t="s">
        <v>13</v>
      </c>
      <c r="F34">
        <v>0</v>
      </c>
      <c r="G34">
        <v>6.0810000000000004</v>
      </c>
      <c r="H34" s="3">
        <v>21901</v>
      </c>
      <c r="I34">
        <v>0.05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45994.85869212963</v>
      </c>
      <c r="R34">
        <v>45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45994.85869212963</v>
      </c>
      <c r="AF34">
        <v>45</v>
      </c>
      <c r="AG34" t="s">
        <v>13</v>
      </c>
      <c r="AH34">
        <v>0</v>
      </c>
      <c r="AI34">
        <v>12.333</v>
      </c>
      <c r="AJ34" s="3">
        <v>15206</v>
      </c>
      <c r="AK34">
        <v>3.2370000000000001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10">
        <v>70</v>
      </c>
      <c r="AT34" s="16">
        <f t="shared" si="0"/>
        <v>61.791333050337002</v>
      </c>
      <c r="AU34" s="17">
        <f t="shared" si="1"/>
        <v>3317.0601150654802</v>
      </c>
      <c r="AW34" s="6">
        <f t="shared" si="2"/>
        <v>48.914916682867457</v>
      </c>
      <c r="AX34" s="7">
        <f t="shared" si="3"/>
        <v>3033.4794034332799</v>
      </c>
      <c r="AZ34" s="11">
        <f t="shared" si="4"/>
        <v>55.468328955822997</v>
      </c>
      <c r="BA34" s="12">
        <f t="shared" si="5"/>
        <v>3583.0834469404003</v>
      </c>
      <c r="BC34" s="13">
        <f t="shared" si="6"/>
        <v>59.031474982271206</v>
      </c>
      <c r="BD34" s="14">
        <f t="shared" si="7"/>
        <v>3137.5028983272</v>
      </c>
      <c r="BF34" s="16">
        <f t="shared" si="8"/>
        <v>61.791333050337002</v>
      </c>
      <c r="BG34" s="17">
        <f t="shared" si="9"/>
        <v>3317.0601150654802</v>
      </c>
      <c r="BI34">
        <v>70</v>
      </c>
      <c r="BJ34" t="s">
        <v>60</v>
      </c>
      <c r="BK34" s="2">
        <v>45994.85869212963</v>
      </c>
      <c r="BL34">
        <v>45</v>
      </c>
      <c r="BM34" t="s">
        <v>13</v>
      </c>
      <c r="BN34">
        <v>0</v>
      </c>
      <c r="BO34">
        <v>2.871</v>
      </c>
      <c r="BP34" s="3">
        <v>1316880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35">
      <c r="A35">
        <v>71</v>
      </c>
      <c r="B35" t="s">
        <v>61</v>
      </c>
      <c r="C35" s="2">
        <v>45994.879942129628</v>
      </c>
      <c r="D35">
        <v>177</v>
      </c>
      <c r="E35" t="s">
        <v>13</v>
      </c>
      <c r="F35">
        <v>0</v>
      </c>
      <c r="G35">
        <v>6.0789999999999997</v>
      </c>
      <c r="H35" s="3">
        <v>345982</v>
      </c>
      <c r="I35">
        <v>0.78100000000000003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45994.879942129628</v>
      </c>
      <c r="R35">
        <v>177</v>
      </c>
      <c r="S35" t="s">
        <v>13</v>
      </c>
      <c r="T35">
        <v>0</v>
      </c>
      <c r="U35">
        <v>6.032</v>
      </c>
      <c r="V35" s="3">
        <v>2990</v>
      </c>
      <c r="W35">
        <v>0.83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45994.879942129628</v>
      </c>
      <c r="AF35">
        <v>177</v>
      </c>
      <c r="AG35" t="s">
        <v>13</v>
      </c>
      <c r="AH35">
        <v>0</v>
      </c>
      <c r="AI35">
        <v>12.316000000000001</v>
      </c>
      <c r="AJ35" s="3">
        <v>40543</v>
      </c>
      <c r="AK35">
        <v>8.7750000000000004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10">
        <v>71</v>
      </c>
      <c r="AT35" s="16">
        <f t="shared" si="0"/>
        <v>884.83665962749183</v>
      </c>
      <c r="AU35" s="17">
        <f t="shared" si="1"/>
        <v>9016.9830309595709</v>
      </c>
      <c r="AW35" s="6">
        <f t="shared" si="2"/>
        <v>800.25481254014494</v>
      </c>
      <c r="AX35" s="7">
        <f t="shared" si="3"/>
        <v>8234.5899866535201</v>
      </c>
      <c r="AZ35" s="11">
        <f t="shared" si="4"/>
        <v>823.07859407557373</v>
      </c>
      <c r="BA35" s="12">
        <f t="shared" si="5"/>
        <v>9121.0645353711006</v>
      </c>
      <c r="BC35" s="13">
        <f t="shared" si="6"/>
        <v>897.6972640251912</v>
      </c>
      <c r="BD35" s="14">
        <f t="shared" si="7"/>
        <v>8247.1196560297994</v>
      </c>
      <c r="BF35" s="16">
        <f t="shared" si="8"/>
        <v>884.83665962749183</v>
      </c>
      <c r="BG35" s="17">
        <f t="shared" si="9"/>
        <v>9016.9830309595709</v>
      </c>
      <c r="BI35">
        <v>71</v>
      </c>
      <c r="BJ35" t="s">
        <v>61</v>
      </c>
      <c r="BK35" s="2">
        <v>45994.879942129628</v>
      </c>
      <c r="BL35">
        <v>177</v>
      </c>
      <c r="BM35" t="s">
        <v>13</v>
      </c>
      <c r="BN35">
        <v>0</v>
      </c>
      <c r="BO35">
        <v>2.887</v>
      </c>
      <c r="BP35" s="3">
        <v>984686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35">
      <c r="A36">
        <v>72</v>
      </c>
      <c r="B36" t="s">
        <v>62</v>
      </c>
      <c r="C36" s="2">
        <v>45994.901192129626</v>
      </c>
      <c r="D36">
        <v>90</v>
      </c>
      <c r="E36" t="s">
        <v>13</v>
      </c>
      <c r="F36">
        <v>0</v>
      </c>
      <c r="G36">
        <v>6.0819999999999999</v>
      </c>
      <c r="H36" s="3">
        <v>8108</v>
      </c>
      <c r="I36">
        <v>1.9E-2</v>
      </c>
      <c r="J36" t="s">
        <v>14</v>
      </c>
      <c r="K36" t="s">
        <v>14</v>
      </c>
      <c r="L36" t="s">
        <v>14</v>
      </c>
      <c r="M36" t="s">
        <v>14</v>
      </c>
      <c r="O36">
        <v>72</v>
      </c>
      <c r="P36" t="s">
        <v>62</v>
      </c>
      <c r="Q36" s="2">
        <v>45994.901192129626</v>
      </c>
      <c r="R36">
        <v>90</v>
      </c>
      <c r="S36" t="s">
        <v>13</v>
      </c>
      <c r="T36">
        <v>0</v>
      </c>
      <c r="U36" t="s">
        <v>14</v>
      </c>
      <c r="V36" s="3" t="s">
        <v>14</v>
      </c>
      <c r="W36" t="s">
        <v>14</v>
      </c>
      <c r="X36" t="s">
        <v>14</v>
      </c>
      <c r="Y36" t="s">
        <v>14</v>
      </c>
      <c r="Z36" t="s">
        <v>14</v>
      </c>
      <c r="AA36" t="s">
        <v>14</v>
      </c>
      <c r="AC36">
        <v>72</v>
      </c>
      <c r="AD36" t="s">
        <v>62</v>
      </c>
      <c r="AE36" s="2">
        <v>45994.901192129626</v>
      </c>
      <c r="AF36">
        <v>90</v>
      </c>
      <c r="AG36" t="s">
        <v>13</v>
      </c>
      <c r="AH36">
        <v>0</v>
      </c>
      <c r="AI36">
        <v>12.303000000000001</v>
      </c>
      <c r="AJ36" s="3">
        <v>18832</v>
      </c>
      <c r="AK36">
        <v>4.0309999999999997</v>
      </c>
      <c r="AL36" t="s">
        <v>14</v>
      </c>
      <c r="AM36" t="s">
        <v>14</v>
      </c>
      <c r="AN36" t="s">
        <v>14</v>
      </c>
      <c r="AO36" t="s">
        <v>14</v>
      </c>
      <c r="AQ36">
        <v>1</v>
      </c>
      <c r="AS36" s="10">
        <v>72</v>
      </c>
      <c r="AT36" s="16">
        <f t="shared" si="0"/>
        <v>25.521382966352</v>
      </c>
      <c r="AU36" s="17">
        <f t="shared" si="1"/>
        <v>4136.6440079283202</v>
      </c>
      <c r="AW36" s="6">
        <f t="shared" si="2"/>
        <v>14.516342379200001</v>
      </c>
      <c r="AX36" s="7">
        <f t="shared" si="3"/>
        <v>3779.8238794035201</v>
      </c>
      <c r="AZ36" s="11">
        <f t="shared" si="4"/>
        <v>9.5847985600000047</v>
      </c>
      <c r="BA36" s="12">
        <f t="shared" si="5"/>
        <v>4411.5347694335996</v>
      </c>
      <c r="BC36" s="13">
        <f t="shared" si="6"/>
        <v>19.834288400959998</v>
      </c>
      <c r="BD36" s="14">
        <f t="shared" si="7"/>
        <v>3873.4522754047998</v>
      </c>
      <c r="BF36" s="16">
        <f t="shared" si="8"/>
        <v>25.521382966352</v>
      </c>
      <c r="BG36" s="17">
        <f t="shared" si="9"/>
        <v>4136.6440079283202</v>
      </c>
      <c r="BI36">
        <v>72</v>
      </c>
      <c r="BJ36" t="s">
        <v>62</v>
      </c>
      <c r="BK36" s="2">
        <v>45994.901192129626</v>
      </c>
      <c r="BL36">
        <v>90</v>
      </c>
      <c r="BM36" t="s">
        <v>13</v>
      </c>
      <c r="BN36">
        <v>0</v>
      </c>
      <c r="BO36">
        <v>2.8769999999999998</v>
      </c>
      <c r="BP36" s="3">
        <v>1171402</v>
      </c>
      <c r="BQ36">
        <v>0</v>
      </c>
      <c r="BR36" t="s">
        <v>14</v>
      </c>
      <c r="BS36" t="s">
        <v>14</v>
      </c>
      <c r="BT36" t="s">
        <v>14</v>
      </c>
      <c r="BU36" t="s">
        <v>14</v>
      </c>
    </row>
    <row r="37" spans="1:73" x14ac:dyDescent="0.35">
      <c r="A37">
        <v>73</v>
      </c>
      <c r="B37" t="s">
        <v>63</v>
      </c>
      <c r="C37" s="2">
        <v>45994.922418981485</v>
      </c>
      <c r="D37">
        <v>360</v>
      </c>
      <c r="E37" t="s">
        <v>13</v>
      </c>
      <c r="F37">
        <v>0</v>
      </c>
      <c r="G37">
        <v>6.0759999999999996</v>
      </c>
      <c r="H37" s="3">
        <v>18815</v>
      </c>
      <c r="I37">
        <v>4.2999999999999997E-2</v>
      </c>
      <c r="J37" t="s">
        <v>14</v>
      </c>
      <c r="K37" t="s">
        <v>14</v>
      </c>
      <c r="L37" t="s">
        <v>14</v>
      </c>
      <c r="M37" t="s">
        <v>14</v>
      </c>
      <c r="O37">
        <v>73</v>
      </c>
      <c r="P37" t="s">
        <v>63</v>
      </c>
      <c r="Q37" s="2">
        <v>45994.922418981485</v>
      </c>
      <c r="R37">
        <v>360</v>
      </c>
      <c r="S37" t="s">
        <v>13</v>
      </c>
      <c r="T37">
        <v>0</v>
      </c>
      <c r="U37" t="s">
        <v>14</v>
      </c>
      <c r="V37" s="3" t="s">
        <v>14</v>
      </c>
      <c r="W37" t="s">
        <v>14</v>
      </c>
      <c r="X37" t="s">
        <v>14</v>
      </c>
      <c r="Y37" t="s">
        <v>14</v>
      </c>
      <c r="Z37" t="s">
        <v>14</v>
      </c>
      <c r="AA37" t="s">
        <v>14</v>
      </c>
      <c r="AC37">
        <v>73</v>
      </c>
      <c r="AD37" t="s">
        <v>63</v>
      </c>
      <c r="AE37" s="2">
        <v>45994.922418981485</v>
      </c>
      <c r="AF37">
        <v>360</v>
      </c>
      <c r="AG37" t="s">
        <v>13</v>
      </c>
      <c r="AH37">
        <v>0</v>
      </c>
      <c r="AI37">
        <v>12.311</v>
      </c>
      <c r="AJ37" s="3">
        <v>10879</v>
      </c>
      <c r="AK37">
        <v>2.2890000000000001</v>
      </c>
      <c r="AL37" t="s">
        <v>14</v>
      </c>
      <c r="AM37" t="s">
        <v>14</v>
      </c>
      <c r="AN37" t="s">
        <v>14</v>
      </c>
      <c r="AO37" t="s">
        <v>14</v>
      </c>
      <c r="AQ37">
        <v>1</v>
      </c>
      <c r="AS37" s="10">
        <v>73</v>
      </c>
      <c r="AT37" s="16">
        <f t="shared" si="0"/>
        <v>53.547726888825004</v>
      </c>
      <c r="AU37" s="17">
        <f t="shared" si="1"/>
        <v>2337.3407359061302</v>
      </c>
      <c r="AW37" s="6">
        <f t="shared" si="2"/>
        <v>41.679108499718495</v>
      </c>
      <c r="AX37" s="7">
        <f t="shared" si="3"/>
        <v>2141.9689406016801</v>
      </c>
      <c r="AZ37" s="11">
        <f t="shared" si="4"/>
        <v>46.275780337175</v>
      </c>
      <c r="BA37" s="12">
        <f t="shared" si="5"/>
        <v>2578.7753604399004</v>
      </c>
      <c r="BC37" s="13">
        <f t="shared" si="6"/>
        <v>50.121448579820004</v>
      </c>
      <c r="BD37" s="14">
        <f t="shared" si="7"/>
        <v>2257.2175120681995</v>
      </c>
      <c r="BF37" s="16">
        <f t="shared" si="8"/>
        <v>53.547726888825004</v>
      </c>
      <c r="BG37" s="17">
        <f t="shared" si="9"/>
        <v>2337.3407359061302</v>
      </c>
      <c r="BI37">
        <v>73</v>
      </c>
      <c r="BJ37" t="s">
        <v>63</v>
      </c>
      <c r="BK37" s="2">
        <v>45994.922418981485</v>
      </c>
      <c r="BL37">
        <v>360</v>
      </c>
      <c r="BM37" t="s">
        <v>13</v>
      </c>
      <c r="BN37">
        <v>0</v>
      </c>
      <c r="BO37">
        <v>2.8759999999999999</v>
      </c>
      <c r="BP37" s="3">
        <v>1074607</v>
      </c>
      <c r="BQ37">
        <v>0</v>
      </c>
      <c r="BR37" t="s">
        <v>14</v>
      </c>
      <c r="BS37" t="s">
        <v>14</v>
      </c>
      <c r="BT37" t="s">
        <v>14</v>
      </c>
      <c r="BU37" t="s">
        <v>14</v>
      </c>
    </row>
    <row r="38" spans="1:73" x14ac:dyDescent="0.35">
      <c r="A38">
        <v>74</v>
      </c>
      <c r="B38" t="s">
        <v>64</v>
      </c>
      <c r="C38" s="2">
        <v>45994.943645833337</v>
      </c>
      <c r="D38">
        <v>337</v>
      </c>
      <c r="E38" t="s">
        <v>13</v>
      </c>
      <c r="F38">
        <v>0</v>
      </c>
      <c r="G38">
        <v>6.0789999999999997</v>
      </c>
      <c r="H38" s="3">
        <v>7133</v>
      </c>
      <c r="I38">
        <v>1.6E-2</v>
      </c>
      <c r="J38" t="s">
        <v>14</v>
      </c>
      <c r="K38" t="s">
        <v>14</v>
      </c>
      <c r="L38" t="s">
        <v>14</v>
      </c>
      <c r="M38" t="s">
        <v>14</v>
      </c>
      <c r="O38">
        <v>74</v>
      </c>
      <c r="P38" t="s">
        <v>64</v>
      </c>
      <c r="Q38" s="2">
        <v>45994.943645833337</v>
      </c>
      <c r="R38">
        <v>337</v>
      </c>
      <c r="S38" t="s">
        <v>13</v>
      </c>
      <c r="T38">
        <v>0</v>
      </c>
      <c r="U38" t="s">
        <v>14</v>
      </c>
      <c r="V38" t="s">
        <v>14</v>
      </c>
      <c r="W38" t="s">
        <v>14</v>
      </c>
      <c r="X38" t="s">
        <v>14</v>
      </c>
      <c r="Y38" t="s">
        <v>14</v>
      </c>
      <c r="Z38" t="s">
        <v>14</v>
      </c>
      <c r="AA38" t="s">
        <v>14</v>
      </c>
      <c r="AC38">
        <v>74</v>
      </c>
      <c r="AD38" t="s">
        <v>64</v>
      </c>
      <c r="AE38" s="2">
        <v>45994.943645833337</v>
      </c>
      <c r="AF38">
        <v>337</v>
      </c>
      <c r="AG38" t="s">
        <v>13</v>
      </c>
      <c r="AH38">
        <v>0</v>
      </c>
      <c r="AI38">
        <v>12.2</v>
      </c>
      <c r="AJ38" s="3">
        <v>56709</v>
      </c>
      <c r="AK38">
        <v>12.298</v>
      </c>
      <c r="AL38" t="s">
        <v>14</v>
      </c>
      <c r="AM38" t="s">
        <v>14</v>
      </c>
      <c r="AN38" t="s">
        <v>14</v>
      </c>
      <c r="AO38" t="s">
        <v>14</v>
      </c>
      <c r="AQ38">
        <v>1</v>
      </c>
      <c r="AS38" s="10">
        <v>74</v>
      </c>
      <c r="AT38" s="16">
        <f t="shared" si="0"/>
        <v>22.000227198676995</v>
      </c>
      <c r="AU38" s="17">
        <f t="shared" si="1"/>
        <v>12731.86932856778</v>
      </c>
      <c r="AW38" s="6">
        <f t="shared" si="2"/>
        <v>11.543160511700002</v>
      </c>
      <c r="AX38" s="7">
        <f t="shared" si="3"/>
        <v>11535.98025942088</v>
      </c>
      <c r="AZ38" s="11">
        <f t="shared" si="4"/>
        <v>6.2062870599999993</v>
      </c>
      <c r="BA38" s="12">
        <f t="shared" si="5"/>
        <v>12138.2885531471</v>
      </c>
      <c r="BC38" s="13">
        <f t="shared" si="6"/>
        <v>16.593514429460001</v>
      </c>
      <c r="BD38" s="14">
        <f t="shared" si="7"/>
        <v>11071.088366335571</v>
      </c>
      <c r="BF38" s="16">
        <f t="shared" si="8"/>
        <v>22.000227198676995</v>
      </c>
      <c r="BG38" s="17">
        <f t="shared" si="9"/>
        <v>12731.86932856778</v>
      </c>
      <c r="BI38">
        <v>74</v>
      </c>
      <c r="BJ38" t="s">
        <v>64</v>
      </c>
      <c r="BK38" s="2">
        <v>45994.943645833337</v>
      </c>
      <c r="BL38">
        <v>337</v>
      </c>
      <c r="BM38" t="s">
        <v>13</v>
      </c>
      <c r="BN38">
        <v>0</v>
      </c>
      <c r="BO38">
        <v>2.8809999999999998</v>
      </c>
      <c r="BP38" s="3">
        <v>961629</v>
      </c>
      <c r="BQ38">
        <v>0</v>
      </c>
      <c r="BR38" t="s">
        <v>14</v>
      </c>
      <c r="BS38" t="s">
        <v>14</v>
      </c>
      <c r="BT38" t="s">
        <v>14</v>
      </c>
      <c r="BU38" t="s">
        <v>14</v>
      </c>
    </row>
    <row r="39" spans="1:73" x14ac:dyDescent="0.35">
      <c r="C39" s="2"/>
      <c r="H39" s="3"/>
      <c r="Q39" s="2"/>
      <c r="V39" s="3"/>
      <c r="AE39" s="2"/>
      <c r="AJ39" s="3"/>
      <c r="AS39" s="10"/>
      <c r="AT39" s="16"/>
      <c r="AU39" s="17"/>
      <c r="AW39" s="6"/>
      <c r="AX39" s="7"/>
      <c r="AZ39" s="11"/>
      <c r="BA39" s="12"/>
      <c r="BC39" s="13"/>
      <c r="BD39" s="14"/>
      <c r="BF39" s="16"/>
      <c r="BG39" s="17"/>
      <c r="BK39" s="2"/>
      <c r="BP39" s="3"/>
    </row>
    <row r="40" spans="1:73" x14ac:dyDescent="0.35">
      <c r="C40" s="2"/>
      <c r="H40" s="3"/>
      <c r="Q40" s="2"/>
      <c r="AE40" s="2"/>
      <c r="AJ40" s="3"/>
      <c r="AS40" s="10"/>
      <c r="AT40" s="16"/>
      <c r="AU40" s="17"/>
      <c r="AW40" s="6"/>
      <c r="AX40" s="7"/>
      <c r="AZ40" s="11"/>
      <c r="BA40" s="12"/>
      <c r="BC40" s="13"/>
      <c r="BD40" s="14"/>
      <c r="BF40" s="16"/>
      <c r="BG40" s="17"/>
      <c r="BK40" s="2"/>
      <c r="BP40" s="3"/>
    </row>
    <row r="41" spans="1:73" x14ac:dyDescent="0.35">
      <c r="C41" s="2"/>
      <c r="H41" s="3"/>
      <c r="Q41" s="2"/>
      <c r="AE41" s="2"/>
      <c r="AJ41" s="3"/>
      <c r="AS41" s="10"/>
      <c r="AT41" s="16"/>
      <c r="AU41" s="17"/>
      <c r="AW41" s="6"/>
      <c r="AX41" s="7"/>
      <c r="AZ41" s="11"/>
      <c r="BA41" s="12"/>
      <c r="BC41" s="13"/>
      <c r="BD41" s="14"/>
      <c r="BF41" s="16"/>
      <c r="BG41" s="17"/>
      <c r="BK41" s="2"/>
      <c r="BP41" s="3"/>
    </row>
    <row r="42" spans="1:73" x14ac:dyDescent="0.35">
      <c r="C42" s="2"/>
      <c r="H42" s="3"/>
      <c r="Q42" s="2"/>
      <c r="AE42" s="2"/>
      <c r="AS42" s="10"/>
      <c r="AT42" s="16"/>
      <c r="AU42" s="17"/>
      <c r="AW42" s="6"/>
      <c r="AX42" s="7"/>
      <c r="AZ42" s="11"/>
      <c r="BA42" s="12"/>
      <c r="BC42" s="13"/>
      <c r="BD42" s="14"/>
      <c r="BF42" s="16"/>
      <c r="BG42" s="17"/>
      <c r="BK42" s="2"/>
      <c r="BP42" s="3"/>
    </row>
    <row r="43" spans="1:73" x14ac:dyDescent="0.35">
      <c r="C43" s="2"/>
      <c r="H43" s="3"/>
      <c r="Q43" s="2"/>
      <c r="AE43" s="2"/>
      <c r="AS43" s="10"/>
      <c r="AT43" s="16"/>
      <c r="AU43" s="17"/>
      <c r="AW43" s="6"/>
      <c r="AX43" s="7"/>
      <c r="AZ43" s="11"/>
      <c r="BA43" s="12"/>
      <c r="BC43" s="13"/>
      <c r="BD43" s="14"/>
      <c r="BF43" s="16"/>
      <c r="BG43" s="17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2025-12-09T15:30:12Z</dcterms:modified>
</cp:coreProperties>
</file>