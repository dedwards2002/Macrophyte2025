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DXE mesocosms\"/>
    </mc:Choice>
  </mc:AlternateContent>
  <xr:revisionPtr revIDLastSave="0" documentId="13_ncr:1_{1A20C6F6-1AE3-4780-8018-A7ECF12E1B1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</calcChain>
</file>

<file path=xl/sharedStrings.xml><?xml version="1.0" encoding="utf-8"?>
<sst xmlns="http://schemas.openxmlformats.org/spreadsheetml/2006/main" count="675" uniqueCount="60">
  <si>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</si>
  <si>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</si>
  <si>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</si>
  <si>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</si>
  <si>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</si>
  <si>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</si>
  <si>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</si>
  <si>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</si>
  <si>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</si>
  <si>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</si>
  <si>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</si>
  <si>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</si>
  <si>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</si>
  <si>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</si>
  <si>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</si>
  <si>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</si>
  <si>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</si>
  <si>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</si>
  <si>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</si>
  <si>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</si>
  <si>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</si>
  <si>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</si>
  <si>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</si>
  <si>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</si>
  <si>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</si>
  <si>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</si>
  <si>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</si>
  <si>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</si>
  <si>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</si>
  <si>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 xml:space="preserve">QC spiked air </t>
  </si>
  <si>
    <t>QC outside air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</si>
  <si>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</si>
  <si>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</si>
  <si>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</si>
  <si>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</si>
  <si>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DXE20250618_001.gcd</t>
  </si>
  <si>
    <t>DXE20250618_002.gcd</t>
  </si>
  <si>
    <t>DXE20250618_003.gcd</t>
  </si>
  <si>
    <t>DXE20250618_004.gcd</t>
  </si>
  <si>
    <t>DXE20250618_005.gcd</t>
  </si>
  <si>
    <t>DXE20250618_006.gcd</t>
  </si>
  <si>
    <t>DXE20250618_007.gcd</t>
  </si>
  <si>
    <t>DXE20250618_008.gcd</t>
  </si>
  <si>
    <t>DXE20250618_009.gcd</t>
  </si>
  <si>
    <t>DXE20250618_010.gcd</t>
  </si>
  <si>
    <t>DXE20250618_011.gcd</t>
  </si>
  <si>
    <t>DXE20250618_012.gcd</t>
  </si>
  <si>
    <t>DXE20250618_013.gcd</t>
  </si>
  <si>
    <t>DXE20250618_014.gcd</t>
  </si>
  <si>
    <t>DXE20250618_015.gcd</t>
  </si>
  <si>
    <t>DXE20250618_016.gcd</t>
  </si>
  <si>
    <t>DXE20250618_017.gcd</t>
  </si>
  <si>
    <t>DXE20250618_018.gcd</t>
  </si>
  <si>
    <t>DXE20250618_019.gcd</t>
  </si>
  <si>
    <t>DXE20250618_020.gcd</t>
  </si>
  <si>
    <t>DXE20250618_021.gcd</t>
  </si>
  <si>
    <t>DXE20250618_022.gcd</t>
  </si>
  <si>
    <t>354 rerun</t>
  </si>
  <si>
    <t>CO2 interference. Do not use CO2. Use CH4.</t>
  </si>
  <si>
    <t>Rerun. Use CO2. Do not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</si>
</sst>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30"/>
  <sheetViews>
    <sheetView tabSelected="1" workbookViewId="0">
      <selection activeCell="A11" sqref="A11:XFD1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31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34</v>
      </c>
      <c r="BE8" s="8"/>
      <c r="BF8" s="5" t="s">
        <v>32</v>
      </c>
      <c r="BG8" s="5" t="s">
        <v>33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45826.802916666667</v>
      </c>
      <c r="D9" t="s">
        <v>30</v>
      </c>
      <c r="E9" t="s">
        <v>13</v>
      </c>
      <c r="F9">
        <v>0</v>
      </c>
      <c r="G9">
        <v>6.05</v>
      </c>
      <c r="H9" s="3">
        <v>1802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45826.802916666667</v>
      </c>
      <c r="R9" t="s">
        <v>30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45826.802916666667</v>
      </c>
      <c r="AF9" t="s">
        <v>30</v>
      </c>
      <c r="AG9" t="s">
        <v>13</v>
      </c>
      <c r="AH9">
        <v>0</v>
      </c>
      <c r="AI9">
        <v>12.224</v>
      </c>
      <c r="AJ9" s="3">
        <v>1928</v>
      </c>
      <c r="AK9">
        <v>0.32600000000000001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5">
        <f t="shared" ref="AT9:AT30" si="0">IF(H9&lt;10000,((H9^2*0.000000008493)+(H9*0.003482)+(-3.269)),(IF(H9&lt;200000,((H9^2*-0.000000000263)+(H9*0.002682)+(3.179)),(IF(H9&lt;8000000,((H9^2*-0.000000000005099)+(H9*0.002054)+(174.8)),((V9^2*-0.00000001014)+(V9*0.2415)+(1123)))))))</f>
        <v>3.0331425035719999</v>
      </c>
      <c r="AU9" s="16">
        <f t="shared" ref="AU9:AU30" si="1">IF(AJ9&lt;45000,((-0.00000004907*AJ9^2)+(0.2277*AJ9)+(-134)),((-0.00000001062*AJ9^2)+(0.2147*AJ9)+(590.6)))</f>
        <v>304.82319778112003</v>
      </c>
      <c r="AW9" s="6">
        <f t="shared" ref="AW9:AW30" si="2">IF(H9&lt;10000,((0.0000001453*H9^2)+(0.0008349*H9)+(-1.805)),(IF(H9&lt;700000,((-0.00000000008054*H9^2)+(0.002348*H9)+(-2.47)), ((-0.00000001938*V9^2)+(0.2471*V9)+(226.8)))))</f>
        <v>0.17130854120000016</v>
      </c>
      <c r="AX9" s="7">
        <f t="shared" ref="AX9:AX30" si="3">(-0.00000002552*AJ9^2)+(0.2067*AJ9)+(-103.7)</f>
        <v>294.72273746432001</v>
      </c>
      <c r="AZ9" s="11">
        <f t="shared" ref="AZ9:AZ30" si="4">IF(H9&lt;10000,((H9^2*0.00000054)+(H9*-0.004765)+(12.72)),(IF(H9&lt;200000,((H9^2*-0.000000001577)+(H9*0.003043)+(-10.42)),(IF(H9&lt;8000000,((H9^2*-0.0000000000186)+(H9*0.00194)+(154.1)),((V9^2*-0.00000002)+(V9*0.2565)+(-1032)))))))</f>
        <v>5.886960160000001</v>
      </c>
      <c r="BA9" s="12">
        <f t="shared" ref="BA9:BA30" si="5">IF(AJ9&lt;45000,((-0.0000004561*AJ9^2)+(0.244*AJ9)+(-21.72)),((-0.0000000409*AJ9^2)+(0.2477*AJ9)+(-1777)))</f>
        <v>447.01659237759998</v>
      </c>
      <c r="BC9" s="13">
        <f t="shared" ref="BC9:BC30" si="6">IF(H9&lt;10000,((H9^2*0.00000005714)+(H9*0.002453)+(-3.811)),(IF(H9&lt;200000,((H9^2*-0.0000000002888)+(H9*0.002899)+(-4.321)),(IF(H9&lt;8000000,((H9^2*-0.0000000000062)+(H9*0.002143)+(157)),((V9^2*-0.000000031)+(V9*0.2771)+(-709.5)))))))</f>
        <v>0.79485123656000045</v>
      </c>
      <c r="BD9" s="14">
        <f t="shared" ref="BD9:BD30" si="7">IF(AJ9&lt;45000,((-0.0000000598*AJ9^2)+(0.205*AJ9)+(34.1)),((-0.00000002403*AJ9^2)+(0.2063*AJ9)+(-550.7)))</f>
        <v>429.11771239679996</v>
      </c>
      <c r="BF9" s="15">
        <f t="shared" ref="BF9:BF30" si="8">IF(H9&lt;10000,((H9^2*0.000000008493)+(H9*0.003482)+(-3.269)),(IF(H9&lt;200000,((H9^2*-0.000000000263)+(H9*0.002682)+(3.179)),(IF(H9&lt;8000000,((H9^2*-0.000000000005099)+(H9*0.002054)+(174.8)),((V9^2*-0.00000001014)+(V9*0.2415)+(1123)))))))</f>
        <v>3.0331425035719999</v>
      </c>
      <c r="BG9" s="16">
        <f t="shared" ref="BG9:BG30" si="9">IF(AJ9&lt;45000,((-0.00000004907*AJ9^2)+(0.2277*AJ9)+(-134)),((-0.00000001062*AJ9^2)+(0.2147*AJ9)+(590.6)))</f>
        <v>304.82319778112003</v>
      </c>
      <c r="BI9">
        <v>45</v>
      </c>
      <c r="BJ9" t="s">
        <v>35</v>
      </c>
      <c r="BK9" s="2">
        <v>45826.802916666667</v>
      </c>
      <c r="BL9" t="s">
        <v>30</v>
      </c>
      <c r="BM9" t="s">
        <v>13</v>
      </c>
      <c r="BN9">
        <v>0</v>
      </c>
      <c r="BO9">
        <v>2.6920000000000002</v>
      </c>
      <c r="BP9" s="3">
        <v>5266178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45826.824178240742</v>
      </c>
      <c r="D10" t="s">
        <v>29</v>
      </c>
      <c r="E10" t="s">
        <v>13</v>
      </c>
      <c r="F10">
        <v>0</v>
      </c>
      <c r="G10">
        <v>5.984</v>
      </c>
      <c r="H10" s="3">
        <v>1016386</v>
      </c>
      <c r="I10">
        <v>2.2959999999999998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45826.824178240742</v>
      </c>
      <c r="R10" t="s">
        <v>29</v>
      </c>
      <c r="S10" t="s">
        <v>13</v>
      </c>
      <c r="T10">
        <v>0</v>
      </c>
      <c r="U10">
        <v>5.9329999999999998</v>
      </c>
      <c r="V10" s="3">
        <v>8678</v>
      </c>
      <c r="W10">
        <v>2.2370000000000001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45826.824178240742</v>
      </c>
      <c r="AF10" t="s">
        <v>29</v>
      </c>
      <c r="AG10" t="s">
        <v>13</v>
      </c>
      <c r="AH10">
        <v>0</v>
      </c>
      <c r="AI10">
        <v>12.189</v>
      </c>
      <c r="AJ10" s="3">
        <v>9037</v>
      </c>
      <c r="AK10">
        <v>1.8859999999999999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5">
        <f t="shared" si="0"/>
        <v>2257.189370485421</v>
      </c>
      <c r="AU10" s="16">
        <f t="shared" si="1"/>
        <v>1919.7174822031702</v>
      </c>
      <c r="AW10" s="6">
        <f t="shared" si="2"/>
        <v>2369.67433708408</v>
      </c>
      <c r="AX10" s="7">
        <f t="shared" si="3"/>
        <v>1762.1637487431199</v>
      </c>
      <c r="AZ10" s="11">
        <f t="shared" si="4"/>
        <v>2106.6742866814748</v>
      </c>
      <c r="BA10" s="12">
        <f t="shared" si="5"/>
        <v>2146.0595129991002</v>
      </c>
      <c r="BC10" s="13">
        <f t="shared" si="6"/>
        <v>2328.7103468938249</v>
      </c>
      <c r="BD10" s="14">
        <f t="shared" si="7"/>
        <v>1881.8012913337998</v>
      </c>
      <c r="BF10" s="15">
        <f t="shared" si="8"/>
        <v>2257.189370485421</v>
      </c>
      <c r="BG10" s="16">
        <f t="shared" si="9"/>
        <v>1919.7174822031702</v>
      </c>
      <c r="BI10">
        <v>46</v>
      </c>
      <c r="BJ10" t="s">
        <v>36</v>
      </c>
      <c r="BK10" s="2">
        <v>45826.824178240742</v>
      </c>
      <c r="BL10" t="s">
        <v>29</v>
      </c>
      <c r="BM10" t="s">
        <v>13</v>
      </c>
      <c r="BN10">
        <v>0</v>
      </c>
      <c r="BO10">
        <v>2.6909999999999998</v>
      </c>
      <c r="BP10" s="3">
        <v>5222316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45826.845462962963</v>
      </c>
      <c r="D11" t="s">
        <v>28</v>
      </c>
      <c r="E11" t="s">
        <v>13</v>
      </c>
      <c r="F11">
        <v>0</v>
      </c>
      <c r="G11">
        <v>6.0179999999999998</v>
      </c>
      <c r="H11" s="3">
        <v>2716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45826.845462962963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45826.845462962963</v>
      </c>
      <c r="AF11" t="s">
        <v>28</v>
      </c>
      <c r="AG11" t="s">
        <v>13</v>
      </c>
      <c r="AH11">
        <v>0</v>
      </c>
      <c r="AI11">
        <v>12.198</v>
      </c>
      <c r="AJ11" s="3">
        <v>1687</v>
      </c>
      <c r="AK11">
        <v>0.27400000000000002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5">
        <f t="shared" si="0"/>
        <v>6.250761939408001</v>
      </c>
      <c r="AU11" s="16">
        <f t="shared" si="1"/>
        <v>249.99024830117003</v>
      </c>
      <c r="AW11" s="6">
        <f t="shared" si="2"/>
        <v>1.5344165168000001</v>
      </c>
      <c r="AX11" s="7">
        <f t="shared" si="3"/>
        <v>244.93027087112</v>
      </c>
      <c r="AZ11" s="11">
        <f t="shared" si="4"/>
        <v>3.7616542400000004</v>
      </c>
      <c r="BA11" s="12">
        <f t="shared" si="5"/>
        <v>388.60995353909993</v>
      </c>
      <c r="BC11" s="13">
        <f t="shared" si="6"/>
        <v>3.2728501238399996</v>
      </c>
      <c r="BD11" s="14">
        <f t="shared" si="7"/>
        <v>379.76481105379997</v>
      </c>
      <c r="BF11" s="15">
        <f t="shared" si="8"/>
        <v>6.250761939408001</v>
      </c>
      <c r="BG11" s="16">
        <f t="shared" si="9"/>
        <v>249.99024830117003</v>
      </c>
      <c r="BI11">
        <v>47</v>
      </c>
      <c r="BJ11" t="s">
        <v>37</v>
      </c>
      <c r="BK11" s="2">
        <v>45826.845462962963</v>
      </c>
      <c r="BL11" t="s">
        <v>28</v>
      </c>
      <c r="BM11" t="s">
        <v>13</v>
      </c>
      <c r="BN11">
        <v>0</v>
      </c>
      <c r="BO11">
        <v>2.69</v>
      </c>
      <c r="BP11" s="3">
        <v>5237390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45826.866712962961</v>
      </c>
      <c r="D12">
        <v>168</v>
      </c>
      <c r="E12" t="s">
        <v>13</v>
      </c>
      <c r="F12">
        <v>0</v>
      </c>
      <c r="G12">
        <v>5.9850000000000003</v>
      </c>
      <c r="H12" s="3">
        <v>278683</v>
      </c>
      <c r="I12">
        <v>0.629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45826.866712962961</v>
      </c>
      <c r="R12">
        <v>168</v>
      </c>
      <c r="S12" t="s">
        <v>13</v>
      </c>
      <c r="T12">
        <v>0</v>
      </c>
      <c r="U12">
        <v>5.93</v>
      </c>
      <c r="V12" s="3">
        <v>2494</v>
      </c>
      <c r="W12">
        <v>0.70699999999999996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45826.866712962961</v>
      </c>
      <c r="AF12">
        <v>168</v>
      </c>
      <c r="AG12" t="s">
        <v>13</v>
      </c>
      <c r="AH12">
        <v>0</v>
      </c>
      <c r="AI12">
        <v>12.119</v>
      </c>
      <c r="AJ12" s="3">
        <v>37449</v>
      </c>
      <c r="AK12">
        <v>8.1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5">
        <f t="shared" si="0"/>
        <v>746.81887217032045</v>
      </c>
      <c r="AU12" s="16">
        <f t="shared" si="1"/>
        <v>8324.3201776189308</v>
      </c>
      <c r="AW12" s="6">
        <f t="shared" si="2"/>
        <v>645.62260816505591</v>
      </c>
      <c r="AX12" s="7">
        <f t="shared" si="3"/>
        <v>7601.21834762248</v>
      </c>
      <c r="AZ12" s="11">
        <f t="shared" si="4"/>
        <v>693.30046561050472</v>
      </c>
      <c r="BA12" s="12">
        <f t="shared" si="5"/>
        <v>8476.1887711839008</v>
      </c>
      <c r="BC12" s="13">
        <f t="shared" si="6"/>
        <v>753.73615087016822</v>
      </c>
      <c r="BD12" s="14">
        <f t="shared" si="7"/>
        <v>7627.2798294601998</v>
      </c>
      <c r="BF12" s="15">
        <f t="shared" si="8"/>
        <v>746.81887217032045</v>
      </c>
      <c r="BG12" s="16">
        <f t="shared" si="9"/>
        <v>8324.3201776189308</v>
      </c>
      <c r="BI12">
        <v>48</v>
      </c>
      <c r="BJ12" t="s">
        <v>38</v>
      </c>
      <c r="BK12" s="2">
        <v>45826.866712962961</v>
      </c>
      <c r="BL12">
        <v>168</v>
      </c>
      <c r="BM12" t="s">
        <v>13</v>
      </c>
      <c r="BN12">
        <v>0</v>
      </c>
      <c r="BO12">
        <v>2.8159999999999998</v>
      </c>
      <c r="BP12" s="3">
        <v>1439367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45826.887986111113</v>
      </c>
      <c r="D13">
        <v>119</v>
      </c>
      <c r="E13" t="s">
        <v>13</v>
      </c>
      <c r="F13">
        <v>0</v>
      </c>
      <c r="G13">
        <v>6.0039999999999996</v>
      </c>
      <c r="H13" s="3">
        <v>5003</v>
      </c>
      <c r="I13">
        <v>1.2E-2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45826.887986111113</v>
      </c>
      <c r="R13">
        <v>119</v>
      </c>
      <c r="S13" t="s">
        <v>13</v>
      </c>
      <c r="T13">
        <v>0</v>
      </c>
      <c r="U13" t="s">
        <v>14</v>
      </c>
      <c r="V1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45826.887986111113</v>
      </c>
      <c r="AF13">
        <v>119</v>
      </c>
      <c r="AG13" t="s">
        <v>13</v>
      </c>
      <c r="AH13">
        <v>0</v>
      </c>
      <c r="AI13">
        <v>12.154</v>
      </c>
      <c r="AJ13" s="3">
        <v>7929</v>
      </c>
      <c r="AK13">
        <v>1.643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5">
        <f t="shared" si="0"/>
        <v>14.364025866436998</v>
      </c>
      <c r="AU13" s="16">
        <f t="shared" si="1"/>
        <v>1668.34831615813</v>
      </c>
      <c r="AW13" s="6">
        <f t="shared" si="2"/>
        <v>6.0088650076999999</v>
      </c>
      <c r="AX13" s="7">
        <f t="shared" si="3"/>
        <v>1533.6198820736799</v>
      </c>
      <c r="AZ13" s="11">
        <f t="shared" si="4"/>
        <v>2.3969098600000009</v>
      </c>
      <c r="BA13" s="12">
        <f t="shared" si="5"/>
        <v>1884.2814303998998</v>
      </c>
      <c r="BC13" s="13">
        <f t="shared" si="6"/>
        <v>9.8915737142599998</v>
      </c>
      <c r="BD13" s="14">
        <f t="shared" si="7"/>
        <v>1655.7854313481998</v>
      </c>
      <c r="BF13" s="15">
        <f t="shared" si="8"/>
        <v>14.364025866436998</v>
      </c>
      <c r="BG13" s="16">
        <f t="shared" si="9"/>
        <v>1668.34831615813</v>
      </c>
      <c r="BI13">
        <v>49</v>
      </c>
      <c r="BJ13" t="s">
        <v>39</v>
      </c>
      <c r="BK13" s="2">
        <v>45826.887986111113</v>
      </c>
      <c r="BL13">
        <v>119</v>
      </c>
      <c r="BM13" t="s">
        <v>13</v>
      </c>
      <c r="BN13">
        <v>0</v>
      </c>
      <c r="BO13">
        <v>2.8340000000000001</v>
      </c>
      <c r="BP13" s="3">
        <v>1084421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45826.909224537034</v>
      </c>
      <c r="D14">
        <v>381</v>
      </c>
      <c r="E14" t="s">
        <v>13</v>
      </c>
      <c r="F14">
        <v>0</v>
      </c>
      <c r="G14">
        <v>5.9960000000000004</v>
      </c>
      <c r="H14" s="3">
        <v>7723</v>
      </c>
      <c r="I14">
        <v>1.7999999999999999E-2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45826.909224537034</v>
      </c>
      <c r="R14">
        <v>381</v>
      </c>
      <c r="S14" t="s">
        <v>13</v>
      </c>
      <c r="T14">
        <v>0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45826.909224537034</v>
      </c>
      <c r="AF14">
        <v>381</v>
      </c>
      <c r="AG14" t="s">
        <v>13</v>
      </c>
      <c r="AH14">
        <v>0</v>
      </c>
      <c r="AI14">
        <v>12.173999999999999</v>
      </c>
      <c r="AJ14">
        <v>762</v>
      </c>
      <c r="AK14">
        <v>7.0999999999999994E-2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5">
        <f t="shared" si="0"/>
        <v>24.129048683397002</v>
      </c>
      <c r="AU14" s="16">
        <f t="shared" si="1"/>
        <v>39.478907798920005</v>
      </c>
      <c r="AW14" s="6">
        <f t="shared" si="2"/>
        <v>13.3093118237</v>
      </c>
      <c r="AX14" s="7">
        <f t="shared" si="3"/>
        <v>53.790581965120012</v>
      </c>
      <c r="AZ14" s="11">
        <f t="shared" si="4"/>
        <v>8.1280586600000024</v>
      </c>
      <c r="BA14" s="12">
        <f t="shared" si="5"/>
        <v>163.9431682716</v>
      </c>
      <c r="BC14" s="13">
        <f t="shared" si="6"/>
        <v>18.541618815059998</v>
      </c>
      <c r="BD14" s="14">
        <f t="shared" si="7"/>
        <v>190.27527748879999</v>
      </c>
      <c r="BF14" s="15">
        <f t="shared" si="8"/>
        <v>24.129048683397002</v>
      </c>
      <c r="BG14" s="16">
        <f t="shared" si="9"/>
        <v>39.478907798920005</v>
      </c>
      <c r="BI14">
        <v>50</v>
      </c>
      <c r="BJ14" t="s">
        <v>40</v>
      </c>
      <c r="BK14" s="2">
        <v>45826.909224537034</v>
      </c>
      <c r="BL14">
        <v>381</v>
      </c>
      <c r="BM14" t="s">
        <v>13</v>
      </c>
      <c r="BN14">
        <v>0</v>
      </c>
      <c r="BO14">
        <v>2.8330000000000002</v>
      </c>
      <c r="BP14" s="3">
        <v>1113365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45826.930486111109</v>
      </c>
      <c r="D15">
        <v>33</v>
      </c>
      <c r="E15" t="s">
        <v>13</v>
      </c>
      <c r="F15">
        <v>0</v>
      </c>
      <c r="G15">
        <v>6.0170000000000003</v>
      </c>
      <c r="H15" s="3">
        <v>2689</v>
      </c>
      <c r="I15">
        <v>6.0000000000000001E-3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45826.930486111109</v>
      </c>
      <c r="R15">
        <v>33</v>
      </c>
      <c r="S15" t="s">
        <v>13</v>
      </c>
      <c r="T15">
        <v>0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45826.930486111109</v>
      </c>
      <c r="AF15">
        <v>33</v>
      </c>
      <c r="AG15" t="s">
        <v>13</v>
      </c>
      <c r="AH15">
        <v>0</v>
      </c>
      <c r="AI15">
        <v>12.173</v>
      </c>
      <c r="AJ15">
        <v>372</v>
      </c>
      <c r="AK15">
        <v>-1.4999999999999999E-2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5">
        <f t="shared" si="0"/>
        <v>6.1555085134529985</v>
      </c>
      <c r="AU15" s="16">
        <f t="shared" si="1"/>
        <v>-49.302390502879987</v>
      </c>
      <c r="AW15" s="6">
        <f t="shared" si="2"/>
        <v>1.4906698612999996</v>
      </c>
      <c r="AX15" s="7">
        <f t="shared" si="3"/>
        <v>-26.811131559680007</v>
      </c>
      <c r="AZ15" s="11">
        <f t="shared" si="4"/>
        <v>3.8115043400000008</v>
      </c>
      <c r="BA15" s="12">
        <f t="shared" si="5"/>
        <v>68.984883057600001</v>
      </c>
      <c r="BC15" s="13">
        <f t="shared" si="6"/>
        <v>3.1982803979399996</v>
      </c>
      <c r="BD15" s="14">
        <f t="shared" si="7"/>
        <v>110.35172463679999</v>
      </c>
      <c r="BF15" s="15">
        <f t="shared" si="8"/>
        <v>6.1555085134529985</v>
      </c>
      <c r="BG15" s="16">
        <f t="shared" si="9"/>
        <v>-49.302390502879987</v>
      </c>
      <c r="BI15">
        <v>51</v>
      </c>
      <c r="BJ15" t="s">
        <v>41</v>
      </c>
      <c r="BK15" s="2">
        <v>45826.930486111109</v>
      </c>
      <c r="BL15">
        <v>33</v>
      </c>
      <c r="BM15" t="s">
        <v>13</v>
      </c>
      <c r="BN15">
        <v>0</v>
      </c>
      <c r="BO15">
        <v>2.8380000000000001</v>
      </c>
      <c r="BP15" s="3">
        <v>1144122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45826.951736111114</v>
      </c>
      <c r="D16">
        <v>395</v>
      </c>
      <c r="E16" t="s">
        <v>13</v>
      </c>
      <c r="F16">
        <v>0</v>
      </c>
      <c r="G16">
        <v>6.0140000000000002</v>
      </c>
      <c r="H16" s="3">
        <v>3052</v>
      </c>
      <c r="I16">
        <v>7.0000000000000001E-3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45826.951736111114</v>
      </c>
      <c r="R16">
        <v>395</v>
      </c>
      <c r="S16" t="s">
        <v>13</v>
      </c>
      <c r="T16">
        <v>0</v>
      </c>
      <c r="U16" t="s">
        <v>14</v>
      </c>
      <c r="V16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45826.951736111114</v>
      </c>
      <c r="AF16">
        <v>395</v>
      </c>
      <c r="AG16" t="s">
        <v>13</v>
      </c>
      <c r="AH16">
        <v>0</v>
      </c>
      <c r="AI16">
        <v>12.17</v>
      </c>
      <c r="AJ16" s="3">
        <v>3296</v>
      </c>
      <c r="AK16">
        <v>0.627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5">
        <f t="shared" si="0"/>
        <v>7.4371737810719996</v>
      </c>
      <c r="AU16" s="16">
        <f t="shared" si="1"/>
        <v>615.96612236288013</v>
      </c>
      <c r="AW16" s="6">
        <f t="shared" si="2"/>
        <v>2.0965412912000003</v>
      </c>
      <c r="AX16" s="7">
        <f t="shared" si="3"/>
        <v>577.30596051967996</v>
      </c>
      <c r="AZ16" s="11">
        <f t="shared" si="4"/>
        <v>3.207160159999999</v>
      </c>
      <c r="BA16" s="12">
        <f t="shared" si="5"/>
        <v>777.54910474239989</v>
      </c>
      <c r="BC16" s="13">
        <f t="shared" si="6"/>
        <v>4.2077981865599998</v>
      </c>
      <c r="BD16" s="14">
        <f t="shared" si="7"/>
        <v>709.13035576319999</v>
      </c>
      <c r="BF16" s="15">
        <f t="shared" si="8"/>
        <v>7.4371737810719996</v>
      </c>
      <c r="BG16" s="16">
        <f t="shared" si="9"/>
        <v>615.96612236288013</v>
      </c>
      <c r="BI16">
        <v>52</v>
      </c>
      <c r="BJ16" t="s">
        <v>42</v>
      </c>
      <c r="BK16" s="2">
        <v>45826.951736111114</v>
      </c>
      <c r="BL16">
        <v>395</v>
      </c>
      <c r="BM16" t="s">
        <v>13</v>
      </c>
      <c r="BN16">
        <v>0</v>
      </c>
      <c r="BO16">
        <v>2.8450000000000002</v>
      </c>
      <c r="BP16" s="3">
        <v>1013597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45826.973009259258</v>
      </c>
      <c r="D17">
        <v>321</v>
      </c>
      <c r="E17" t="s">
        <v>13</v>
      </c>
      <c r="F17">
        <v>0</v>
      </c>
      <c r="G17">
        <v>6.0060000000000002</v>
      </c>
      <c r="H17" s="3">
        <v>4078</v>
      </c>
      <c r="I17">
        <v>0.01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45826.973009259258</v>
      </c>
      <c r="R17">
        <v>321</v>
      </c>
      <c r="S17" t="s">
        <v>13</v>
      </c>
      <c r="T17">
        <v>0</v>
      </c>
      <c r="U17" t="s">
        <v>14</v>
      </c>
      <c r="V17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45826.973009259258</v>
      </c>
      <c r="AF17">
        <v>321</v>
      </c>
      <c r="AG17" t="s">
        <v>13</v>
      </c>
      <c r="AH17">
        <v>0</v>
      </c>
      <c r="AI17">
        <v>12.163</v>
      </c>
      <c r="AJ17" s="3">
        <v>3472</v>
      </c>
      <c r="AK17">
        <v>0.66500000000000004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5">
        <f t="shared" si="0"/>
        <v>11.071835303412</v>
      </c>
      <c r="AU17" s="16">
        <f t="shared" si="1"/>
        <v>655.98287174912014</v>
      </c>
      <c r="AW17" s="6">
        <f t="shared" si="2"/>
        <v>4.0160734052000002</v>
      </c>
      <c r="AX17" s="7">
        <f t="shared" si="3"/>
        <v>613.65476191231994</v>
      </c>
      <c r="AZ17" s="11">
        <f t="shared" si="4"/>
        <v>2.2685753599999998</v>
      </c>
      <c r="BA17" s="12">
        <f t="shared" si="5"/>
        <v>819.94981301760004</v>
      </c>
      <c r="BC17" s="13">
        <f t="shared" si="6"/>
        <v>7.1425769997599993</v>
      </c>
      <c r="BD17" s="14">
        <f t="shared" si="7"/>
        <v>745.13912391680003</v>
      </c>
      <c r="BF17" s="15">
        <f t="shared" si="8"/>
        <v>11.071835303412</v>
      </c>
      <c r="BG17" s="16">
        <f t="shared" si="9"/>
        <v>655.98287174912014</v>
      </c>
      <c r="BI17">
        <v>53</v>
      </c>
      <c r="BJ17" t="s">
        <v>43</v>
      </c>
      <c r="BK17" s="2">
        <v>45826.973009259258</v>
      </c>
      <c r="BL17">
        <v>321</v>
      </c>
      <c r="BM17" t="s">
        <v>13</v>
      </c>
      <c r="BN17">
        <v>0</v>
      </c>
      <c r="BO17">
        <v>2.8290000000000002</v>
      </c>
      <c r="BP17" s="3">
        <v>1203588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45826.99428240741</v>
      </c>
      <c r="D18">
        <v>197</v>
      </c>
      <c r="E18" t="s">
        <v>13</v>
      </c>
      <c r="F18">
        <v>0</v>
      </c>
      <c r="G18">
        <v>6.0060000000000002</v>
      </c>
      <c r="H18" s="3">
        <v>4181</v>
      </c>
      <c r="I18">
        <v>0.01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45826.99428240741</v>
      </c>
      <c r="R18">
        <v>197</v>
      </c>
      <c r="S18" t="s">
        <v>13</v>
      </c>
      <c r="T18">
        <v>0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45826.99428240741</v>
      </c>
      <c r="AF18">
        <v>197</v>
      </c>
      <c r="AG18" t="s">
        <v>13</v>
      </c>
      <c r="AH18">
        <v>0</v>
      </c>
      <c r="AI18">
        <v>12.164999999999999</v>
      </c>
      <c r="AJ18" s="3">
        <v>6973</v>
      </c>
      <c r="AK18">
        <v>1.4330000000000001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5">
        <f t="shared" si="0"/>
        <v>11.437706103172999</v>
      </c>
      <c r="AU18" s="16">
        <f t="shared" si="1"/>
        <v>1451.3661826879702</v>
      </c>
      <c r="AW18" s="6">
        <f t="shared" si="2"/>
        <v>4.2256714733000003</v>
      </c>
      <c r="AX18" s="7">
        <f t="shared" si="3"/>
        <v>1336.37824795592</v>
      </c>
      <c r="AZ18" s="11">
        <f t="shared" si="4"/>
        <v>2.2371459400000013</v>
      </c>
      <c r="BA18" s="12">
        <f t="shared" si="5"/>
        <v>1657.5151733031</v>
      </c>
      <c r="BC18" s="13">
        <f t="shared" si="6"/>
        <v>7.4438436835400008</v>
      </c>
      <c r="BD18" s="14">
        <f t="shared" si="7"/>
        <v>1460.6573608057997</v>
      </c>
      <c r="BF18" s="15">
        <f t="shared" si="8"/>
        <v>11.437706103172999</v>
      </c>
      <c r="BG18" s="16">
        <f t="shared" si="9"/>
        <v>1451.3661826879702</v>
      </c>
      <c r="BI18">
        <v>54</v>
      </c>
      <c r="BJ18" t="s">
        <v>44</v>
      </c>
      <c r="BK18" s="2">
        <v>45826.99428240741</v>
      </c>
      <c r="BL18">
        <v>197</v>
      </c>
      <c r="BM18" t="s">
        <v>13</v>
      </c>
      <c r="BN18">
        <v>0</v>
      </c>
      <c r="BO18">
        <v>2.835</v>
      </c>
      <c r="BP18" s="3">
        <v>1192515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45827.015532407408</v>
      </c>
      <c r="D19">
        <v>339</v>
      </c>
      <c r="E19" t="s">
        <v>13</v>
      </c>
      <c r="F19">
        <v>0</v>
      </c>
      <c r="G19">
        <v>6.0250000000000004</v>
      </c>
      <c r="H19" s="3">
        <v>2682</v>
      </c>
      <c r="I19">
        <v>6.0000000000000001E-3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45827.015532407408</v>
      </c>
      <c r="R19">
        <v>339</v>
      </c>
      <c r="S19" t="s">
        <v>13</v>
      </c>
      <c r="T19">
        <v>0</v>
      </c>
      <c r="U19" t="s">
        <v>14</v>
      </c>
      <c r="V19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45827.015532407408</v>
      </c>
      <c r="AF19">
        <v>339</v>
      </c>
      <c r="AG19" t="s">
        <v>13</v>
      </c>
      <c r="AH19">
        <v>0</v>
      </c>
      <c r="AI19">
        <v>12.167999999999999</v>
      </c>
      <c r="AJ19" s="3">
        <v>5824</v>
      </c>
      <c r="AK19">
        <v>1.181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5">
        <f t="shared" si="0"/>
        <v>6.1308152021319984</v>
      </c>
      <c r="AU19" s="16">
        <f t="shared" si="1"/>
        <v>1190.46039584768</v>
      </c>
      <c r="AW19" s="6">
        <f t="shared" si="2"/>
        <v>1.4793627172000001</v>
      </c>
      <c r="AX19" s="7">
        <f t="shared" si="3"/>
        <v>1099.25518773248</v>
      </c>
      <c r="AZ19" s="11">
        <f t="shared" si="4"/>
        <v>3.8245569600000007</v>
      </c>
      <c r="BA19" s="12">
        <f t="shared" si="5"/>
        <v>1383.8655550464</v>
      </c>
      <c r="BC19" s="13">
        <f t="shared" si="6"/>
        <v>3.1789611053599991</v>
      </c>
      <c r="BD19" s="14">
        <f t="shared" si="7"/>
        <v>1225.9916452351997</v>
      </c>
      <c r="BF19" s="15">
        <f t="shared" si="8"/>
        <v>6.1308152021319984</v>
      </c>
      <c r="BG19" s="16">
        <f t="shared" si="9"/>
        <v>1190.46039584768</v>
      </c>
      <c r="BI19">
        <v>55</v>
      </c>
      <c r="BJ19" t="s">
        <v>45</v>
      </c>
      <c r="BK19" s="2">
        <v>45827.015532407408</v>
      </c>
      <c r="BL19">
        <v>339</v>
      </c>
      <c r="BM19" t="s">
        <v>13</v>
      </c>
      <c r="BN19">
        <v>0</v>
      </c>
      <c r="BO19">
        <v>2.839</v>
      </c>
      <c r="BP19" s="3">
        <v>1111285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45827.036817129629</v>
      </c>
      <c r="D20">
        <v>180</v>
      </c>
      <c r="E20" t="s">
        <v>13</v>
      </c>
      <c r="F20">
        <v>0</v>
      </c>
      <c r="G20">
        <v>6.0149999999999997</v>
      </c>
      <c r="H20" s="3">
        <v>2797</v>
      </c>
      <c r="I20">
        <v>7.0000000000000001E-3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45827.036817129629</v>
      </c>
      <c r="R20">
        <v>180</v>
      </c>
      <c r="S20" t="s">
        <v>13</v>
      </c>
      <c r="T20">
        <v>0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45827.036817129629</v>
      </c>
      <c r="AF20">
        <v>180</v>
      </c>
      <c r="AG20" t="s">
        <v>13</v>
      </c>
      <c r="AH20">
        <v>0</v>
      </c>
      <c r="AI20">
        <v>12.146000000000001</v>
      </c>
      <c r="AJ20" s="3">
        <v>3520</v>
      </c>
      <c r="AK20">
        <v>0.67600000000000005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5">
        <f t="shared" si="0"/>
        <v>6.536596514036999</v>
      </c>
      <c r="AU20" s="16">
        <f t="shared" si="1"/>
        <v>666.89600307199998</v>
      </c>
      <c r="AW20" s="6">
        <f t="shared" si="2"/>
        <v>1.6669275676999999</v>
      </c>
      <c r="AX20" s="7">
        <f t="shared" si="3"/>
        <v>623.5677969919999</v>
      </c>
      <c r="AZ20" s="11">
        <f t="shared" si="4"/>
        <v>3.6168278600000008</v>
      </c>
      <c r="BA20" s="12">
        <f t="shared" si="5"/>
        <v>831.50873855999998</v>
      </c>
      <c r="BC20" s="13">
        <f t="shared" si="6"/>
        <v>3.4970591622599994</v>
      </c>
      <c r="BD20" s="14">
        <f t="shared" si="7"/>
        <v>754.95905407999999</v>
      </c>
      <c r="BF20" s="15">
        <f t="shared" si="8"/>
        <v>6.536596514036999</v>
      </c>
      <c r="BG20" s="16">
        <f t="shared" si="9"/>
        <v>666.89600307199998</v>
      </c>
      <c r="BI20">
        <v>56</v>
      </c>
      <c r="BJ20" t="s">
        <v>46</v>
      </c>
      <c r="BK20" s="2">
        <v>45827.036817129629</v>
      </c>
      <c r="BL20">
        <v>180</v>
      </c>
      <c r="BM20" t="s">
        <v>13</v>
      </c>
      <c r="BN20">
        <v>0</v>
      </c>
      <c r="BO20">
        <v>2.8069999999999999</v>
      </c>
      <c r="BP20" s="3">
        <v>1645147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45827.05804398148</v>
      </c>
      <c r="D21">
        <v>277</v>
      </c>
      <c r="E21" t="s">
        <v>13</v>
      </c>
      <c r="F21">
        <v>0</v>
      </c>
      <c r="G21">
        <v>6.0149999999999997</v>
      </c>
      <c r="H21" s="3">
        <v>3219</v>
      </c>
      <c r="I21">
        <v>8.0000000000000002E-3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45827.05804398148</v>
      </c>
      <c r="R21">
        <v>277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45827.05804398148</v>
      </c>
      <c r="AF21">
        <v>277</v>
      </c>
      <c r="AG21" t="s">
        <v>13</v>
      </c>
      <c r="AH21">
        <v>0</v>
      </c>
      <c r="AI21">
        <v>12.16</v>
      </c>
      <c r="AJ21" s="3">
        <v>5802</v>
      </c>
      <c r="AK21">
        <v>1.1759999999999999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5">
        <f t="shared" si="0"/>
        <v>8.0275621347729995</v>
      </c>
      <c r="AU21" s="16">
        <f t="shared" si="1"/>
        <v>1185.4635465797201</v>
      </c>
      <c r="AW21" s="6">
        <f t="shared" si="2"/>
        <v>2.3881360333000003</v>
      </c>
      <c r="AX21" s="7">
        <f t="shared" si="3"/>
        <v>1094.71431503392</v>
      </c>
      <c r="AZ21" s="11">
        <f t="shared" si="4"/>
        <v>2.9769239400000007</v>
      </c>
      <c r="BA21" s="12">
        <f t="shared" si="5"/>
        <v>1378.6142126555999</v>
      </c>
      <c r="BC21" s="13">
        <f t="shared" si="6"/>
        <v>4.6772894515400001</v>
      </c>
      <c r="BD21" s="14">
        <f t="shared" si="7"/>
        <v>1221.4969404007998</v>
      </c>
      <c r="BF21" s="15">
        <f t="shared" si="8"/>
        <v>8.0275621347729995</v>
      </c>
      <c r="BG21" s="16">
        <f t="shared" si="9"/>
        <v>1185.4635465797201</v>
      </c>
      <c r="BI21">
        <v>57</v>
      </c>
      <c r="BJ21" t="s">
        <v>47</v>
      </c>
      <c r="BK21" s="2">
        <v>45827.05804398148</v>
      </c>
      <c r="BL21">
        <v>277</v>
      </c>
      <c r="BM21" t="s">
        <v>13</v>
      </c>
      <c r="BN21">
        <v>0</v>
      </c>
      <c r="BO21">
        <v>2.8359999999999999</v>
      </c>
      <c r="BP21" s="3">
        <v>1176439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45827.079282407409</v>
      </c>
      <c r="D22">
        <v>151</v>
      </c>
      <c r="E22" t="s">
        <v>13</v>
      </c>
      <c r="F22">
        <v>0</v>
      </c>
      <c r="G22">
        <v>6.0090000000000003</v>
      </c>
      <c r="H22" s="3">
        <v>2887</v>
      </c>
      <c r="I22">
        <v>7.0000000000000001E-3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45827.079282407409</v>
      </c>
      <c r="R22">
        <v>151</v>
      </c>
      <c r="S22" t="s">
        <v>13</v>
      </c>
      <c r="T22">
        <v>0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45827.079282407409</v>
      </c>
      <c r="AF22">
        <v>151</v>
      </c>
      <c r="AG22" t="s">
        <v>13</v>
      </c>
      <c r="AH22">
        <v>0</v>
      </c>
      <c r="AI22">
        <v>12.167999999999999</v>
      </c>
      <c r="AJ22" s="3">
        <v>3320</v>
      </c>
      <c r="AK22">
        <v>0.63200000000000001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5">
        <f t="shared" si="0"/>
        <v>6.8543211931170003</v>
      </c>
      <c r="AU22" s="16">
        <f t="shared" si="1"/>
        <v>621.42313083200008</v>
      </c>
      <c r="AW22" s="6">
        <f t="shared" si="2"/>
        <v>1.8163982357000001</v>
      </c>
      <c r="AX22" s="7">
        <f t="shared" si="3"/>
        <v>582.262708352</v>
      </c>
      <c r="AZ22" s="11">
        <f t="shared" si="4"/>
        <v>3.4642202599999994</v>
      </c>
      <c r="BA22" s="12">
        <f t="shared" si="5"/>
        <v>783.33268335999992</v>
      </c>
      <c r="BC22" s="13">
        <f t="shared" si="6"/>
        <v>3.7470597006600004</v>
      </c>
      <c r="BD22" s="14">
        <f t="shared" si="7"/>
        <v>714.04086047999988</v>
      </c>
      <c r="BF22" s="15">
        <f t="shared" si="8"/>
        <v>6.8543211931170003</v>
      </c>
      <c r="BG22" s="16">
        <f t="shared" si="9"/>
        <v>621.42313083200008</v>
      </c>
      <c r="BI22">
        <v>58</v>
      </c>
      <c r="BJ22" t="s">
        <v>48</v>
      </c>
      <c r="BK22" s="2">
        <v>45827.079282407409</v>
      </c>
      <c r="BL22">
        <v>151</v>
      </c>
      <c r="BM22" t="s">
        <v>13</v>
      </c>
      <c r="BN22">
        <v>0</v>
      </c>
      <c r="BO22">
        <v>2.8250000000000002</v>
      </c>
      <c r="BP22" s="3">
        <v>1271426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45827.100532407407</v>
      </c>
      <c r="D23">
        <v>111</v>
      </c>
      <c r="E23" t="s">
        <v>13</v>
      </c>
      <c r="F23">
        <v>0</v>
      </c>
      <c r="G23">
        <v>5.9850000000000003</v>
      </c>
      <c r="H23" s="3">
        <v>303051</v>
      </c>
      <c r="I23">
        <v>0.68400000000000005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45827.100532407407</v>
      </c>
      <c r="R23">
        <v>111</v>
      </c>
      <c r="S23" t="s">
        <v>13</v>
      </c>
      <c r="T23">
        <v>0</v>
      </c>
      <c r="U23">
        <v>5.94</v>
      </c>
      <c r="V23" s="3">
        <v>2652</v>
      </c>
      <c r="W23">
        <v>0.747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45827.100532407407</v>
      </c>
      <c r="AF23">
        <v>111</v>
      </c>
      <c r="AG23" t="s">
        <v>13</v>
      </c>
      <c r="AH23">
        <v>0</v>
      </c>
      <c r="AI23">
        <v>12.118</v>
      </c>
      <c r="AJ23" s="3">
        <v>38454</v>
      </c>
      <c r="AK23">
        <v>8.3190000000000008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5">
        <f t="shared" si="0"/>
        <v>796.79846230604335</v>
      </c>
      <c r="AU23" s="16">
        <f t="shared" si="1"/>
        <v>8549.4154946078797</v>
      </c>
      <c r="AW23" s="6">
        <f t="shared" si="2"/>
        <v>701.69696176127536</v>
      </c>
      <c r="AX23" s="7">
        <f t="shared" si="3"/>
        <v>7807.0051178396798</v>
      </c>
      <c r="AZ23" s="11">
        <f t="shared" si="4"/>
        <v>740.31071770002143</v>
      </c>
      <c r="BA23" s="12">
        <f t="shared" si="5"/>
        <v>8686.6163160924007</v>
      </c>
      <c r="BC23" s="13">
        <f t="shared" si="6"/>
        <v>805.86888556667373</v>
      </c>
      <c r="BD23" s="14">
        <f t="shared" si="7"/>
        <v>7828.7431350632005</v>
      </c>
      <c r="BF23" s="15">
        <f t="shared" si="8"/>
        <v>796.79846230604335</v>
      </c>
      <c r="BG23" s="16">
        <f t="shared" si="9"/>
        <v>8549.4154946078797</v>
      </c>
      <c r="BI23">
        <v>59</v>
      </c>
      <c r="BJ23" t="s">
        <v>49</v>
      </c>
      <c r="BK23" s="2">
        <v>45827.100532407407</v>
      </c>
      <c r="BL23">
        <v>111</v>
      </c>
      <c r="BM23" t="s">
        <v>13</v>
      </c>
      <c r="BN23">
        <v>0</v>
      </c>
      <c r="BO23">
        <v>2.83</v>
      </c>
      <c r="BP23" s="3">
        <v>1148294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45827.121782407405</v>
      </c>
      <c r="D24">
        <v>377</v>
      </c>
      <c r="E24" t="s">
        <v>13</v>
      </c>
      <c r="F24">
        <v>0</v>
      </c>
      <c r="G24">
        <v>6.0259999999999998</v>
      </c>
      <c r="H24" s="3">
        <v>2067</v>
      </c>
      <c r="I24">
        <v>5.0000000000000001E-3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45827.121782407405</v>
      </c>
      <c r="R24">
        <v>377</v>
      </c>
      <c r="S24" t="s">
        <v>13</v>
      </c>
      <c r="T24">
        <v>0</v>
      </c>
      <c r="U24" t="s">
        <v>14</v>
      </c>
      <c r="V24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45827.121782407405</v>
      </c>
      <c r="AF24">
        <v>377</v>
      </c>
      <c r="AG24" t="s">
        <v>13</v>
      </c>
      <c r="AH24">
        <v>0</v>
      </c>
      <c r="AI24">
        <v>12.143000000000001</v>
      </c>
      <c r="AJ24" s="3">
        <v>14012</v>
      </c>
      <c r="AK24">
        <v>2.976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5">
        <f t="shared" si="0"/>
        <v>3.9645802490769997</v>
      </c>
      <c r="AU24" s="16">
        <f t="shared" si="1"/>
        <v>3046.8981854139201</v>
      </c>
      <c r="AW24" s="6">
        <f t="shared" si="2"/>
        <v>0.54153095170000021</v>
      </c>
      <c r="AX24" s="7">
        <f t="shared" si="3"/>
        <v>2787.5699016051203</v>
      </c>
      <c r="AZ24" s="11">
        <f t="shared" si="4"/>
        <v>5.1778890600000018</v>
      </c>
      <c r="BA24" s="12">
        <f t="shared" si="5"/>
        <v>3307.6590847216003</v>
      </c>
      <c r="BC24" s="13">
        <f t="shared" si="6"/>
        <v>1.5034810214599998</v>
      </c>
      <c r="BD24" s="14">
        <f t="shared" si="7"/>
        <v>2894.8190985888</v>
      </c>
      <c r="BF24" s="15">
        <f t="shared" si="8"/>
        <v>3.9645802490769997</v>
      </c>
      <c r="BG24" s="16">
        <f t="shared" si="9"/>
        <v>3046.8981854139201</v>
      </c>
      <c r="BI24">
        <v>60</v>
      </c>
      <c r="BJ24" t="s">
        <v>50</v>
      </c>
      <c r="BK24" s="2">
        <v>45827.121782407405</v>
      </c>
      <c r="BL24">
        <v>377</v>
      </c>
      <c r="BM24" t="s">
        <v>13</v>
      </c>
      <c r="BN24">
        <v>0</v>
      </c>
      <c r="BO24">
        <v>2.827</v>
      </c>
      <c r="BP24" s="3">
        <v>1212561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45827.143020833333</v>
      </c>
      <c r="D25">
        <v>285</v>
      </c>
      <c r="E25" t="s">
        <v>13</v>
      </c>
      <c r="F25">
        <v>0</v>
      </c>
      <c r="G25">
        <v>6</v>
      </c>
      <c r="H25" s="3">
        <v>4562</v>
      </c>
      <c r="I25">
        <v>1.0999999999999999E-2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45827.143020833333</v>
      </c>
      <c r="R25">
        <v>285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45827.143020833333</v>
      </c>
      <c r="AF25">
        <v>285</v>
      </c>
      <c r="AG25" t="s">
        <v>13</v>
      </c>
      <c r="AH25">
        <v>0</v>
      </c>
      <c r="AI25">
        <v>12.157</v>
      </c>
      <c r="AJ25" s="3">
        <v>7764</v>
      </c>
      <c r="AK25">
        <v>1.607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5">
        <f t="shared" si="0"/>
        <v>12.792638991092</v>
      </c>
      <c r="AU25" s="16">
        <f t="shared" si="1"/>
        <v>1630.9048753172801</v>
      </c>
      <c r="AW25" s="6">
        <f t="shared" si="2"/>
        <v>5.0277747332000002</v>
      </c>
      <c r="AX25" s="7">
        <f t="shared" si="3"/>
        <v>1499.5804621580799</v>
      </c>
      <c r="AZ25" s="11">
        <f t="shared" si="4"/>
        <v>2.220465759999998</v>
      </c>
      <c r="BA25" s="12">
        <f t="shared" si="5"/>
        <v>1845.2024306543999</v>
      </c>
      <c r="BC25" s="13">
        <f t="shared" si="6"/>
        <v>8.5687747661600007</v>
      </c>
      <c r="BD25" s="14">
        <f t="shared" si="7"/>
        <v>1622.1152741791998</v>
      </c>
      <c r="BF25" s="15">
        <f t="shared" si="8"/>
        <v>12.792638991092</v>
      </c>
      <c r="BG25" s="16">
        <f t="shared" si="9"/>
        <v>1630.9048753172801</v>
      </c>
      <c r="BI25">
        <v>61</v>
      </c>
      <c r="BJ25" t="s">
        <v>51</v>
      </c>
      <c r="BK25" s="2">
        <v>45827.143020833333</v>
      </c>
      <c r="BL25">
        <v>285</v>
      </c>
      <c r="BM25" t="s">
        <v>13</v>
      </c>
      <c r="BN25">
        <v>0</v>
      </c>
      <c r="BO25">
        <v>2.827</v>
      </c>
      <c r="BP25" s="3">
        <v>1227896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45827.164259259262</v>
      </c>
      <c r="D26">
        <v>354</v>
      </c>
      <c r="E26" t="s">
        <v>13</v>
      </c>
      <c r="F26">
        <v>0</v>
      </c>
      <c r="G26">
        <v>6.0190000000000001</v>
      </c>
      <c r="H26" s="3">
        <v>2279</v>
      </c>
      <c r="I26">
        <v>6.0000000000000001E-3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45827.164259259262</v>
      </c>
      <c r="R26">
        <v>354</v>
      </c>
      <c r="S26" t="s">
        <v>13</v>
      </c>
      <c r="T26">
        <v>0</v>
      </c>
      <c r="U26" t="s">
        <v>14</v>
      </c>
      <c r="V26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45827.164259259262</v>
      </c>
      <c r="AF26">
        <v>354</v>
      </c>
      <c r="AG26" t="s">
        <v>13</v>
      </c>
      <c r="AH26">
        <v>0</v>
      </c>
      <c r="AI26" t="s">
        <v>14</v>
      </c>
      <c r="AJ26" t="s">
        <v>14</v>
      </c>
      <c r="AK26" t="s">
        <v>14</v>
      </c>
      <c r="AL26" t="s">
        <v>14</v>
      </c>
      <c r="AM26" t="s">
        <v>14</v>
      </c>
      <c r="AN26" t="s">
        <v>14</v>
      </c>
      <c r="AO26" t="s">
        <v>14</v>
      </c>
      <c r="AQ26">
        <v>2</v>
      </c>
      <c r="AR26" t="s">
        <v>58</v>
      </c>
      <c r="AS26" s="10">
        <v>62</v>
      </c>
      <c r="AT26" s="15">
        <f t="shared" si="0"/>
        <v>4.7105892916130001</v>
      </c>
      <c r="AU26" s="16" t="e">
        <f t="shared" si="1"/>
        <v>#VALUE!</v>
      </c>
      <c r="AW26" s="6">
        <f t="shared" si="2"/>
        <v>0.85240219730000022</v>
      </c>
      <c r="AX26" s="7" t="e">
        <f t="shared" si="3"/>
        <v>#VALUE!</v>
      </c>
      <c r="AZ26" s="11">
        <f t="shared" si="4"/>
        <v>4.6652391400000006</v>
      </c>
      <c r="BA26" s="12" t="e">
        <f t="shared" si="5"/>
        <v>#VALUE!</v>
      </c>
      <c r="BC26" s="13">
        <f t="shared" si="6"/>
        <v>2.0761630747400002</v>
      </c>
      <c r="BD26" s="14" t="e">
        <f t="shared" si="7"/>
        <v>#VALUE!</v>
      </c>
      <c r="BF26" s="15">
        <f t="shared" si="8"/>
        <v>4.7105892916130001</v>
      </c>
      <c r="BG26" s="16" t="e">
        <f t="shared" si="9"/>
        <v>#VALUE!</v>
      </c>
      <c r="BI26">
        <v>62</v>
      </c>
      <c r="BJ26" t="s">
        <v>52</v>
      </c>
      <c r="BK26" s="2">
        <v>45827.164259259262</v>
      </c>
      <c r="BL26">
        <v>354</v>
      </c>
      <c r="BM26" t="s">
        <v>13</v>
      </c>
      <c r="BN26">
        <v>0</v>
      </c>
      <c r="BO26">
        <v>2.8279999999999998</v>
      </c>
      <c r="BP26" s="3">
        <v>1188627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45827.18550925926</v>
      </c>
      <c r="D27">
        <v>135</v>
      </c>
      <c r="E27" t="s">
        <v>13</v>
      </c>
      <c r="F27">
        <v>0</v>
      </c>
      <c r="G27">
        <v>6.0069999999999997</v>
      </c>
      <c r="H27" s="3">
        <v>5215</v>
      </c>
      <c r="I27">
        <v>1.2E-2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45827.18550925926</v>
      </c>
      <c r="R27">
        <v>135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45827.18550925926</v>
      </c>
      <c r="AF27">
        <v>135</v>
      </c>
      <c r="AG27" t="s">
        <v>13</v>
      </c>
      <c r="AH27">
        <v>0</v>
      </c>
      <c r="AI27">
        <v>12.169</v>
      </c>
      <c r="AJ27" s="3">
        <v>3339</v>
      </c>
      <c r="AK27">
        <v>0.63600000000000001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5">
        <f t="shared" si="0"/>
        <v>15.120607538924999</v>
      </c>
      <c r="AU27" s="16">
        <f t="shared" si="1"/>
        <v>625.74322244653001</v>
      </c>
      <c r="AW27" s="6">
        <f t="shared" si="2"/>
        <v>6.500614992500001</v>
      </c>
      <c r="AX27" s="7">
        <f t="shared" si="3"/>
        <v>586.18677953607994</v>
      </c>
      <c r="AZ27" s="11">
        <f t="shared" si="4"/>
        <v>2.5564865000000001</v>
      </c>
      <c r="BA27" s="12">
        <f t="shared" si="5"/>
        <v>787.91097713189993</v>
      </c>
      <c r="BC27" s="13">
        <f t="shared" si="6"/>
        <v>10.5353872965</v>
      </c>
      <c r="BD27" s="14">
        <f t="shared" si="7"/>
        <v>717.92829452420006</v>
      </c>
      <c r="BF27" s="15">
        <f t="shared" si="8"/>
        <v>15.120607538924999</v>
      </c>
      <c r="BG27" s="16">
        <f t="shared" si="9"/>
        <v>625.74322244653001</v>
      </c>
      <c r="BI27">
        <v>63</v>
      </c>
      <c r="BJ27" t="s">
        <v>53</v>
      </c>
      <c r="BK27" s="2">
        <v>45827.18550925926</v>
      </c>
      <c r="BL27">
        <v>135</v>
      </c>
      <c r="BM27" t="s">
        <v>13</v>
      </c>
      <c r="BN27">
        <v>0</v>
      </c>
      <c r="BO27">
        <v>2.835</v>
      </c>
      <c r="BP27" s="3">
        <v>1222378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45827.206747685188</v>
      </c>
      <c r="D28">
        <v>225</v>
      </c>
      <c r="E28" t="s">
        <v>13</v>
      </c>
      <c r="F28">
        <v>0</v>
      </c>
      <c r="G28">
        <v>6.0190000000000001</v>
      </c>
      <c r="H28" s="3">
        <v>2127</v>
      </c>
      <c r="I28">
        <v>5.0000000000000001E-3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45827.206747685188</v>
      </c>
      <c r="R28">
        <v>225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45827.206747685188</v>
      </c>
      <c r="AF28">
        <v>225</v>
      </c>
      <c r="AG28" t="s">
        <v>13</v>
      </c>
      <c r="AH28">
        <v>0</v>
      </c>
      <c r="AI28">
        <v>12.154999999999999</v>
      </c>
      <c r="AJ28" s="3">
        <v>5132</v>
      </c>
      <c r="AK28">
        <v>1.0289999999999999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5">
        <f t="shared" si="0"/>
        <v>4.1756374275969996</v>
      </c>
      <c r="AU28" s="16">
        <f t="shared" si="1"/>
        <v>1033.2640226043202</v>
      </c>
      <c r="AW28" s="6">
        <f t="shared" si="2"/>
        <v>0.62818824370000015</v>
      </c>
      <c r="AX28" s="7">
        <f t="shared" si="3"/>
        <v>956.41226893951989</v>
      </c>
      <c r="AZ28" s="11">
        <f t="shared" si="4"/>
        <v>5.0278746600000002</v>
      </c>
      <c r="BA28" s="12">
        <f t="shared" si="5"/>
        <v>1218.4755009135999</v>
      </c>
      <c r="BC28" s="13">
        <f t="shared" si="6"/>
        <v>1.6650397310600002</v>
      </c>
      <c r="BD28" s="14">
        <f t="shared" si="7"/>
        <v>1084.5850220447999</v>
      </c>
      <c r="BF28" s="15">
        <f t="shared" si="8"/>
        <v>4.1756374275969996</v>
      </c>
      <c r="BG28" s="16">
        <f t="shared" si="9"/>
        <v>1033.2640226043202</v>
      </c>
      <c r="BI28">
        <v>64</v>
      </c>
      <c r="BJ28" t="s">
        <v>54</v>
      </c>
      <c r="BK28" s="2">
        <v>45827.206747685188</v>
      </c>
      <c r="BL28">
        <v>225</v>
      </c>
      <c r="BM28" t="s">
        <v>13</v>
      </c>
      <c r="BN28">
        <v>0</v>
      </c>
      <c r="BO28">
        <v>2.8290000000000002</v>
      </c>
      <c r="BP28" s="3">
        <v>1190312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45827.227997685186</v>
      </c>
      <c r="D29">
        <v>108</v>
      </c>
      <c r="E29" t="s">
        <v>13</v>
      </c>
      <c r="F29">
        <v>0</v>
      </c>
      <c r="G29">
        <v>6.008</v>
      </c>
      <c r="H29" s="3">
        <v>2745</v>
      </c>
      <c r="I29">
        <v>7.0000000000000001E-3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45827.227997685186</v>
      </c>
      <c r="R29">
        <v>108</v>
      </c>
      <c r="S29" t="s">
        <v>13</v>
      </c>
      <c r="T29">
        <v>0</v>
      </c>
      <c r="U29" t="s">
        <v>14</v>
      </c>
      <c r="V29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45827.227997685186</v>
      </c>
      <c r="AF29">
        <v>108</v>
      </c>
      <c r="AG29" t="s">
        <v>13</v>
      </c>
      <c r="AH29">
        <v>0</v>
      </c>
      <c r="AI29">
        <v>12.164999999999999</v>
      </c>
      <c r="AJ29" s="3">
        <v>1713</v>
      </c>
      <c r="AK29">
        <v>0.27900000000000003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5">
        <f t="shared" si="0"/>
        <v>6.3530849673249996</v>
      </c>
      <c r="AU29" s="16">
        <f t="shared" si="1"/>
        <v>255.90611051317006</v>
      </c>
      <c r="AW29" s="6">
        <f t="shared" si="2"/>
        <v>1.5816396324999997</v>
      </c>
      <c r="AX29" s="7">
        <f t="shared" si="3"/>
        <v>250.30221490311999</v>
      </c>
      <c r="AZ29" s="11">
        <f t="shared" si="4"/>
        <v>3.7089884999999985</v>
      </c>
      <c r="BA29" s="12">
        <f t="shared" si="5"/>
        <v>394.91363429909995</v>
      </c>
      <c r="BC29" s="13">
        <f t="shared" si="6"/>
        <v>3.3530363285</v>
      </c>
      <c r="BD29" s="14">
        <f t="shared" si="7"/>
        <v>385.08952473379998</v>
      </c>
      <c r="BF29" s="15">
        <f t="shared" si="8"/>
        <v>6.3530849673249996</v>
      </c>
      <c r="BG29" s="16">
        <f t="shared" si="9"/>
        <v>255.90611051317006</v>
      </c>
      <c r="BI29">
        <v>65</v>
      </c>
      <c r="BJ29" t="s">
        <v>55</v>
      </c>
      <c r="BK29" s="2">
        <v>45827.227997685186</v>
      </c>
      <c r="BL29">
        <v>108</v>
      </c>
      <c r="BM29" t="s">
        <v>13</v>
      </c>
      <c r="BN29">
        <v>0</v>
      </c>
      <c r="BO29">
        <v>2.7989999999999999</v>
      </c>
      <c r="BP29" s="3">
        <v>1856575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45827.428055555552</v>
      </c>
      <c r="D30" t="s">
        <v>57</v>
      </c>
      <c r="E30" t="s">
        <v>13</v>
      </c>
      <c r="F30">
        <v>0</v>
      </c>
      <c r="G30">
        <v>6.0359999999999996</v>
      </c>
      <c r="H30" s="3">
        <v>2229</v>
      </c>
      <c r="I30">
        <v>5.0000000000000001E-3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45827.428055555552</v>
      </c>
      <c r="R30" t="s">
        <v>57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45827.428055555552</v>
      </c>
      <c r="AF30" t="s">
        <v>57</v>
      </c>
      <c r="AG30" t="s">
        <v>13</v>
      </c>
      <c r="AH30">
        <v>0</v>
      </c>
      <c r="AI30">
        <v>12.186</v>
      </c>
      <c r="AJ30" s="3">
        <v>6696</v>
      </c>
      <c r="AK30">
        <v>1.3720000000000001</v>
      </c>
      <c r="AL30" t="s">
        <v>14</v>
      </c>
      <c r="AM30" t="s">
        <v>14</v>
      </c>
      <c r="AN30" t="s">
        <v>14</v>
      </c>
      <c r="AO30" t="s">
        <v>14</v>
      </c>
      <c r="AQ30">
        <v>2</v>
      </c>
      <c r="AR30" t="s">
        <v>59</v>
      </c>
      <c r="AS30" s="10">
        <v>66</v>
      </c>
      <c r="AT30" s="15">
        <f t="shared" si="0"/>
        <v>4.5345749694129998</v>
      </c>
      <c r="AU30" s="16">
        <f t="shared" si="1"/>
        <v>1388.4790770668801</v>
      </c>
      <c r="AW30" s="6">
        <f t="shared" si="2"/>
        <v>0.77790657729999979</v>
      </c>
      <c r="AX30" s="7">
        <f t="shared" si="3"/>
        <v>1279.21897466368</v>
      </c>
      <c r="AZ30" s="11">
        <f t="shared" si="4"/>
        <v>4.7817731400000003</v>
      </c>
      <c r="BA30" s="12">
        <f t="shared" si="5"/>
        <v>1591.6541106623999</v>
      </c>
      <c r="BC30" s="13">
        <f t="shared" si="6"/>
        <v>1.94063371874</v>
      </c>
      <c r="BD30" s="14">
        <f t="shared" si="7"/>
        <v>1404.0987823231997</v>
      </c>
      <c r="BF30" s="15">
        <f t="shared" si="8"/>
        <v>4.5345749694129998</v>
      </c>
      <c r="BG30" s="16">
        <f t="shared" si="9"/>
        <v>1388.4790770668801</v>
      </c>
      <c r="BI30">
        <v>66</v>
      </c>
      <c r="BJ30" t="s">
        <v>56</v>
      </c>
      <c r="BK30" s="2">
        <v>45827.428055555552</v>
      </c>
      <c r="BL30" t="s">
        <v>57</v>
      </c>
      <c r="BM30" t="s">
        <v>13</v>
      </c>
      <c r="BN30">
        <v>0</v>
      </c>
      <c r="BO30">
        <v>2.7989999999999999</v>
      </c>
      <c r="BP30" s="3">
        <v>1870697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2025-07-02T15:16:41Z</dcterms:modified>
</cp:coreProperties>
</file>