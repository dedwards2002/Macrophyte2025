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35F34053-3749-4994-AE1D-8CF157F639E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30" i="1" l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AT19" i="1" l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</calcChain>
</file>

<file path=xl/sharedStrings.xml><?xml version="1.0" encoding="utf-8"?>
<sst xmlns="http://schemas.openxmlformats.org/spreadsheetml/2006/main" count="886" uniqueCount="69">
  <si>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</si>
  <si>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</si>
  <si>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</si>
  <si>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</si>
  <si>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</si>
  <si>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</si>
  <si>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</si>
  <si>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</si>
  <si>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</si>
  <si>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</si>
  <si>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</si>
  <si>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</si>
  <si>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</si>
  <si>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</si>
  <si>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</si>
  <si>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</si>
  <si>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</si>
  <si>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</si>
  <si>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</si>
  <si>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</si>
  <si>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</si>
  <si>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</si>
  <si>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</si>
  <si>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</si>
  <si>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</si>
  <si>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</si>
  <si>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</si>
  <si>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</si>
  <si>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</si>
  <si>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 xml:space="preserve">QC spiked air 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</si>
  <si>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</si>
  <si>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</si>
  <si>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</si>
  <si>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</si>
  <si>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FMI20250922_001.gcd</t>
  </si>
  <si>
    <t xml:space="preserve">QC outside air </t>
  </si>
  <si>
    <t>FMI20250922_002.gcd</t>
  </si>
  <si>
    <t>FMI20250922_003.gcd</t>
  </si>
  <si>
    <t>FMI20250922_004.gcd</t>
  </si>
  <si>
    <t>FMI20250922_005.gcd</t>
  </si>
  <si>
    <t>FMI20250922_006.gcd</t>
  </si>
  <si>
    <t>FMI20250922_007.gcd</t>
  </si>
  <si>
    <t>FMI20250922_008.gcd</t>
  </si>
  <si>
    <t>FMI20250922_009.gcd</t>
  </si>
  <si>
    <t>FMI20250922_010.gcd</t>
  </si>
  <si>
    <t>FMI20250922_011.gcd</t>
  </si>
  <si>
    <t>FMI20250922_012.gcd</t>
  </si>
  <si>
    <t>FMI20250922_013.gcd</t>
  </si>
  <si>
    <t>FMI20250922_014.gcd</t>
  </si>
  <si>
    <t>FMI20250922_015.gcd</t>
  </si>
  <si>
    <t>FMI20250922_016.gcd</t>
  </si>
  <si>
    <t>FMI20250922_017.gcd</t>
  </si>
  <si>
    <t>FMI20250922_018.gcd</t>
  </si>
  <si>
    <t>FMI20250922_019.gcd</t>
  </si>
  <si>
    <t>FMI20250922_020.gcd</t>
  </si>
  <si>
    <t>FMI20250922_021.gcd</t>
  </si>
  <si>
    <t>FMI20250922_022.gcd</t>
  </si>
  <si>
    <t>FMI20250922_023.gcd</t>
  </si>
  <si>
    <t>FMI20250922_024.gcd</t>
  </si>
  <si>
    <t>FMI20250922_025.gcd</t>
  </si>
  <si>
    <t>FMI20250922_026.gcd</t>
  </si>
  <si>
    <t>FMI20250922_027.gcd</t>
  </si>
  <si>
    <t>FMI20250922_028.gcd</t>
  </si>
  <si>
    <t>FMI20250922_029.gcd</t>
  </si>
  <si>
    <t>FMI20250922_030.gcd</t>
  </si>
  <si>
    <t>389 rerun</t>
  </si>
  <si>
    <t>CO2 interference. Do not use CO2. Use CH4.</t>
  </si>
  <si>
    <t>Rerun. Use CO2. Do not use CH4.</t>
  </si>
  <si>
    <t>resampled due to AOC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</si>
</sst>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R1" workbookViewId="0">
      <selection activeCell="AR13" sqref="AR13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30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33</v>
      </c>
      <c r="BE8" s="8"/>
      <c r="BF8" s="5" t="s">
        <v>31</v>
      </c>
      <c r="BG8" s="5" t="s">
        <v>32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34</v>
      </c>
      <c r="C9" s="2">
        <v>45923.54488425926</v>
      </c>
      <c r="D9" t="s">
        <v>35</v>
      </c>
      <c r="E9" t="s">
        <v>13</v>
      </c>
      <c r="F9">
        <v>0</v>
      </c>
      <c r="G9">
        <v>6.11</v>
      </c>
      <c r="H9" s="3">
        <v>1352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34</v>
      </c>
      <c r="Q9" s="2">
        <v>45923.54488425926</v>
      </c>
      <c r="R9" t="s">
        <v>35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34</v>
      </c>
      <c r="AE9" s="2">
        <v>45923.54488425926</v>
      </c>
      <c r="AF9" t="s">
        <v>35</v>
      </c>
      <c r="AG9" t="s">
        <v>13</v>
      </c>
      <c r="AH9">
        <v>0</v>
      </c>
      <c r="AI9">
        <v>12.379</v>
      </c>
      <c r="AJ9" s="3">
        <v>2515</v>
      </c>
      <c r="AK9">
        <v>0.45500000000000002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8" si="0">IF(H9&lt;10000,((H9^2*0.000000008493)+(H9*0.003482)+(-3.269)),(IF(H9&lt;200000,((H9^2*-0.000000000263)+(H9*0.002682)+(3.179)),(IF(H9&lt;8000000,((H9^2*-0.000000000005099)+(H9*0.002054)+(174.8)),((V9^2*-0.00000001014)+(V9*0.2415)+(1123)))))))</f>
        <v>1.4541883886719988</v>
      </c>
      <c r="AU9" s="17">
        <f t="shared" ref="AU9:AU18" si="1">IF(AJ9&lt;45000,((-0.00000004907*AJ9^2)+(0.2277*AJ9)+(-134)),((-0.00000001062*AJ9^2)+(0.2147*AJ9)+(590.6)))</f>
        <v>438.35512120925011</v>
      </c>
      <c r="AW9" s="6">
        <f t="shared" ref="AW9:AW18" si="2">IF(H9&lt;10000,((0.0000001453*H9^2)+(0.0008349*H9)+(-1.805)),(IF(H9&lt;700000,((-0.00000000008054*H9^2)+(0.002348*H9)+(-2.47)), ((-0.00000001938*V9^2)+(0.2471*V9)+(226.8)))))</f>
        <v>-0.41062074879999977</v>
      </c>
      <c r="AX9" s="7">
        <f t="shared" ref="AX9:AX18" si="3">(-0.00000002552*AJ9^2)+(0.2067*AJ9)+(-103.7)</f>
        <v>415.989080258</v>
      </c>
      <c r="AZ9" s="11">
        <f t="shared" ref="AZ9:AZ18" si="4">IF(H9&lt;10000,((H9^2*0.00000054)+(H9*-0.004765)+(12.72)),(IF(H9&lt;200000,((H9^2*-0.000000001577)+(H9*0.003043)+(-10.42)),(IF(H9&lt;8000000,((H9^2*-0.0000000000186)+(H9*0.00194)+(154.1)),((V9^2*-0.00000002)+(V9*0.2565)+(-1032)))))))</f>
        <v>7.2647881600000002</v>
      </c>
      <c r="BA9" s="12">
        <f t="shared" ref="BA9:BA18" si="5">IF(AJ9&lt;45000,((-0.0000004561*AJ9^2)+(0.244*AJ9)+(-21.72)),((-0.0000000409*AJ9^2)+(0.2477*AJ9)+(-1777)))</f>
        <v>589.05506487749994</v>
      </c>
      <c r="BC9" s="13">
        <f t="shared" ref="BC9:BC18" si="6">IF(H9&lt;10000,((H9^2*0.00000005714)+(H9*0.002453)+(-3.811)),(IF(H9&lt;200000,((H9^2*-0.0000000002888)+(H9*0.002899)+(-4.321)),(IF(H9&lt;8000000,((H9^2*-0.0000000000062)+(H9*0.002143)+(157)),((V9^2*-0.000000031)+(V9*0.2771)+(-709.5)))))))</f>
        <v>-0.39009756544000052</v>
      </c>
      <c r="BD9" s="14">
        <f t="shared" ref="BD9:BD18" si="7">IF(AJ9&lt;45000,((-0.0000000598*AJ9^2)+(0.205*AJ9)+(34.1)),((-0.00000002403*AJ9^2)+(0.2063*AJ9)+(-550.7)))</f>
        <v>549.29675154500001</v>
      </c>
      <c r="BF9" s="16">
        <f t="shared" ref="BF9:BF18" si="8">IF(H9&lt;10000,((H9^2*0.000000008493)+(H9*0.003482)+(-3.269)),(IF(H9&lt;200000,((H9^2*-0.000000000263)+(H9*0.002682)+(3.179)),(IF(H9&lt;8000000,((H9^2*-0.000000000005099)+(H9*0.002054)+(174.8)),((V9^2*-0.00000001014)+(V9*0.2415)+(1123)))))))</f>
        <v>1.4541883886719988</v>
      </c>
      <c r="BG9" s="17">
        <f t="shared" ref="BG9:BG18" si="9">IF(AJ9&lt;45000,((-0.00000004907*AJ9^2)+(0.2277*AJ9)+(-134)),((-0.00000001062*AJ9^2)+(0.2147*AJ9)+(590.6)))</f>
        <v>438.35512120925011</v>
      </c>
      <c r="BI9">
        <v>45</v>
      </c>
      <c r="BJ9" t="s">
        <v>34</v>
      </c>
      <c r="BK9" s="2">
        <v>45923.54488425926</v>
      </c>
      <c r="BL9" t="s">
        <v>35</v>
      </c>
      <c r="BM9" t="s">
        <v>13</v>
      </c>
      <c r="BN9">
        <v>0</v>
      </c>
      <c r="BO9">
        <v>2.7320000000000002</v>
      </c>
      <c r="BP9" s="3">
        <v>4989041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45923.566087962965</v>
      </c>
      <c r="D10" t="s">
        <v>29</v>
      </c>
      <c r="E10" t="s">
        <v>13</v>
      </c>
      <c r="F10">
        <v>0</v>
      </c>
      <c r="G10">
        <v>6.0490000000000004</v>
      </c>
      <c r="H10" s="3">
        <v>993960</v>
      </c>
      <c r="I10">
        <v>2.2450000000000001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45923.566087962965</v>
      </c>
      <c r="R10" t="s">
        <v>29</v>
      </c>
      <c r="S10" t="s">
        <v>13</v>
      </c>
      <c r="T10">
        <v>0</v>
      </c>
      <c r="U10">
        <v>6.0030000000000001</v>
      </c>
      <c r="V10" s="3">
        <v>8391</v>
      </c>
      <c r="W10">
        <v>2.1659999999999999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45923.566087962965</v>
      </c>
      <c r="AF10" t="s">
        <v>29</v>
      </c>
      <c r="AG10" t="s">
        <v>13</v>
      </c>
      <c r="AH10">
        <v>0</v>
      </c>
      <c r="AI10">
        <v>12.33</v>
      </c>
      <c r="AJ10" s="3">
        <v>9214</v>
      </c>
      <c r="AK10">
        <v>1.9239999999999999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2211.3562499003215</v>
      </c>
      <c r="AU10" s="17">
        <f t="shared" si="1"/>
        <v>1959.8618651502802</v>
      </c>
      <c r="AW10" s="6">
        <f t="shared" si="2"/>
        <v>2298.85157588622</v>
      </c>
      <c r="AX10" s="7">
        <f t="shared" si="3"/>
        <v>1798.6672082460798</v>
      </c>
      <c r="AZ10" s="11">
        <f t="shared" si="4"/>
        <v>2064.0064094422401</v>
      </c>
      <c r="BA10" s="12">
        <f t="shared" si="5"/>
        <v>2187.7741152444</v>
      </c>
      <c r="BC10" s="13">
        <f t="shared" si="6"/>
        <v>2280.9309498140797</v>
      </c>
      <c r="BD10" s="14">
        <f t="shared" si="7"/>
        <v>1917.8931117991997</v>
      </c>
      <c r="BF10" s="16">
        <f t="shared" si="8"/>
        <v>2211.3562499003215</v>
      </c>
      <c r="BG10" s="17">
        <f t="shared" si="9"/>
        <v>1959.8618651502802</v>
      </c>
      <c r="BI10">
        <v>46</v>
      </c>
      <c r="BJ10" t="s">
        <v>36</v>
      </c>
      <c r="BK10" s="2">
        <v>45923.566087962965</v>
      </c>
      <c r="BL10" t="s">
        <v>29</v>
      </c>
      <c r="BM10" t="s">
        <v>13</v>
      </c>
      <c r="BN10">
        <v>0</v>
      </c>
      <c r="BO10">
        <v>2.7290000000000001</v>
      </c>
      <c r="BP10" s="3">
        <v>4951144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45923.58730324074</v>
      </c>
      <c r="D11" t="s">
        <v>28</v>
      </c>
      <c r="E11" t="s">
        <v>13</v>
      </c>
      <c r="F11">
        <v>0</v>
      </c>
      <c r="G11">
        <v>6.0659999999999998</v>
      </c>
      <c r="H11" s="3">
        <v>2848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45923.58730324074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45923.58730324074</v>
      </c>
      <c r="AF11" t="s">
        <v>28</v>
      </c>
      <c r="AG11" t="s">
        <v>13</v>
      </c>
      <c r="AH11">
        <v>0</v>
      </c>
      <c r="AI11">
        <v>12.324</v>
      </c>
      <c r="AJ11" s="3">
        <v>1153</v>
      </c>
      <c r="AK11">
        <v>0.156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6.7166236062719999</v>
      </c>
      <c r="AU11" s="17">
        <f t="shared" si="1"/>
        <v>128.47286590037004</v>
      </c>
      <c r="AW11" s="6">
        <f t="shared" si="2"/>
        <v>1.7513386112000002</v>
      </c>
      <c r="AX11" s="7">
        <f t="shared" si="3"/>
        <v>134.59117348232002</v>
      </c>
      <c r="AZ11" s="11">
        <f t="shared" si="4"/>
        <v>3.5292761600000002</v>
      </c>
      <c r="BA11" s="12">
        <f t="shared" si="5"/>
        <v>259.00565655510002</v>
      </c>
      <c r="BC11" s="13">
        <f t="shared" si="6"/>
        <v>3.6386124825599993</v>
      </c>
      <c r="BD11" s="14">
        <f t="shared" si="7"/>
        <v>270.38550134179997</v>
      </c>
      <c r="BF11" s="16">
        <f t="shared" si="8"/>
        <v>6.7166236062719999</v>
      </c>
      <c r="BG11" s="17">
        <f t="shared" si="9"/>
        <v>128.47286590037004</v>
      </c>
      <c r="BI11">
        <v>47</v>
      </c>
      <c r="BJ11" t="s">
        <v>37</v>
      </c>
      <c r="BK11" s="2">
        <v>45923.58730324074</v>
      </c>
      <c r="BL11" t="s">
        <v>28</v>
      </c>
      <c r="BM11" t="s">
        <v>13</v>
      </c>
      <c r="BN11">
        <v>0</v>
      </c>
      <c r="BO11">
        <v>2.7189999999999999</v>
      </c>
      <c r="BP11" s="3">
        <v>5152218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45923.608518518522</v>
      </c>
      <c r="D12">
        <v>182</v>
      </c>
      <c r="E12" t="s">
        <v>13</v>
      </c>
      <c r="F12">
        <v>0</v>
      </c>
      <c r="G12">
        <v>6.069</v>
      </c>
      <c r="H12" s="3">
        <v>2205</v>
      </c>
      <c r="I12">
        <v>5.0000000000000001E-3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45923.608518518522</v>
      </c>
      <c r="R12">
        <v>182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45923.608518518522</v>
      </c>
      <c r="AF12">
        <v>182</v>
      </c>
      <c r="AG12" t="s">
        <v>13</v>
      </c>
      <c r="AH12">
        <v>0</v>
      </c>
      <c r="AI12">
        <v>12.236000000000001</v>
      </c>
      <c r="AJ12" s="3">
        <v>51363</v>
      </c>
      <c r="AK12">
        <v>11.134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4.4501031783249996</v>
      </c>
      <c r="AU12" s="17">
        <f t="shared" si="1"/>
        <v>11590.218864493219</v>
      </c>
      <c r="AW12" s="6">
        <f t="shared" si="2"/>
        <v>0.74240673249999989</v>
      </c>
      <c r="AX12" s="7">
        <f t="shared" si="3"/>
        <v>10445.706313735118</v>
      </c>
      <c r="AZ12" s="11">
        <f t="shared" si="4"/>
        <v>4.8386684999999998</v>
      </c>
      <c r="BA12" s="12">
        <f t="shared" si="5"/>
        <v>10837.714447247901</v>
      </c>
      <c r="BC12" s="13">
        <f t="shared" si="6"/>
        <v>1.8756811084999994</v>
      </c>
      <c r="BD12" s="14">
        <f t="shared" si="7"/>
        <v>9982.0919688109298</v>
      </c>
      <c r="BF12" s="16">
        <f t="shared" si="8"/>
        <v>4.4501031783249996</v>
      </c>
      <c r="BG12" s="17">
        <f t="shared" si="9"/>
        <v>11590.218864493219</v>
      </c>
      <c r="BI12">
        <v>48</v>
      </c>
      <c r="BJ12" t="s">
        <v>38</v>
      </c>
      <c r="BK12" s="2">
        <v>45923.608518518522</v>
      </c>
      <c r="BL12">
        <v>182</v>
      </c>
      <c r="BM12" t="s">
        <v>13</v>
      </c>
      <c r="BN12">
        <v>0</v>
      </c>
      <c r="BO12">
        <v>2.871</v>
      </c>
      <c r="BP12" s="3">
        <v>901344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45923.647592592592</v>
      </c>
      <c r="D13">
        <v>318</v>
      </c>
      <c r="E13" t="s">
        <v>13</v>
      </c>
      <c r="F13">
        <v>0</v>
      </c>
      <c r="G13">
        <v>6.0780000000000003</v>
      </c>
      <c r="H13" s="3">
        <v>2703</v>
      </c>
      <c r="I13">
        <v>6.0000000000000001E-3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45923.647592592592</v>
      </c>
      <c r="R13">
        <v>318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45923.647592592592</v>
      </c>
      <c r="AF13">
        <v>318</v>
      </c>
      <c r="AG13" t="s">
        <v>13</v>
      </c>
      <c r="AH13">
        <v>0</v>
      </c>
      <c r="AI13">
        <v>12.2</v>
      </c>
      <c r="AJ13" s="3">
        <v>96943</v>
      </c>
      <c r="AK13">
        <v>21.029</v>
      </c>
      <c r="AL13" t="s">
        <v>14</v>
      </c>
      <c r="AM13" t="s">
        <v>14</v>
      </c>
      <c r="AN13" t="s">
        <v>14</v>
      </c>
      <c r="AO13" t="s">
        <v>14</v>
      </c>
      <c r="AQ13">
        <v>2</v>
      </c>
      <c r="AR13" t="s">
        <v>68</v>
      </c>
      <c r="AS13" s="10">
        <v>49</v>
      </c>
      <c r="AT13" s="16">
        <f t="shared" si="0"/>
        <v>6.2048976330369978</v>
      </c>
      <c r="AU13" s="17">
        <f t="shared" si="1"/>
        <v>21304.455921455621</v>
      </c>
      <c r="AW13" s="6">
        <f t="shared" si="2"/>
        <v>1.5133268676999998</v>
      </c>
      <c r="AX13" s="7">
        <f t="shared" si="3"/>
        <v>19694.582537245518</v>
      </c>
      <c r="AZ13" s="11">
        <f t="shared" si="4"/>
        <v>3.7855578600000008</v>
      </c>
      <c r="BA13" s="12">
        <f t="shared" si="5"/>
        <v>21851.405139315899</v>
      </c>
      <c r="BC13" s="13">
        <f t="shared" si="6"/>
        <v>3.2369357822599998</v>
      </c>
      <c r="BD13" s="14">
        <f t="shared" si="7"/>
        <v>19222.808275666532</v>
      </c>
      <c r="BF13" s="16">
        <f t="shared" si="8"/>
        <v>6.2048976330369978</v>
      </c>
      <c r="BG13" s="17">
        <f t="shared" si="9"/>
        <v>21304.455921455621</v>
      </c>
      <c r="BI13">
        <v>49</v>
      </c>
      <c r="BJ13" t="s">
        <v>39</v>
      </c>
      <c r="BK13" s="2">
        <v>45923.647592592592</v>
      </c>
      <c r="BL13">
        <v>318</v>
      </c>
      <c r="BM13" t="s">
        <v>13</v>
      </c>
      <c r="BN13">
        <v>0</v>
      </c>
      <c r="BO13">
        <v>2.8380000000000001</v>
      </c>
      <c r="BP13" s="3">
        <v>1637832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45923.668819444443</v>
      </c>
      <c r="D14">
        <v>416</v>
      </c>
      <c r="E14" t="s">
        <v>13</v>
      </c>
      <c r="F14">
        <v>0</v>
      </c>
      <c r="G14">
        <v>6.0490000000000004</v>
      </c>
      <c r="H14" s="3">
        <v>18150</v>
      </c>
      <c r="I14">
        <v>4.1000000000000002E-2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45923.668819444443</v>
      </c>
      <c r="R14">
        <v>416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45923.668819444443</v>
      </c>
      <c r="AF14">
        <v>416</v>
      </c>
      <c r="AG14" t="s">
        <v>13</v>
      </c>
      <c r="AH14">
        <v>0</v>
      </c>
      <c r="AI14">
        <v>12.263</v>
      </c>
      <c r="AJ14" s="3">
        <v>426</v>
      </c>
      <c r="AK14">
        <v>-3.0000000000000001E-3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51.770661882500001</v>
      </c>
      <c r="AU14" s="17">
        <f t="shared" si="1"/>
        <v>-37.008705027319991</v>
      </c>
      <c r="AW14" s="6">
        <f t="shared" si="2"/>
        <v>40.119668311849999</v>
      </c>
      <c r="AX14" s="7">
        <f t="shared" si="3"/>
        <v>-15.650431267520005</v>
      </c>
      <c r="AZ14" s="11">
        <f t="shared" si="4"/>
        <v>44.290950717500003</v>
      </c>
      <c r="BA14" s="12">
        <f t="shared" si="5"/>
        <v>82.1412287964</v>
      </c>
      <c r="BC14" s="13">
        <f t="shared" si="6"/>
        <v>48.200712782000004</v>
      </c>
      <c r="BD14" s="14">
        <f t="shared" si="7"/>
        <v>121.4191477352</v>
      </c>
      <c r="BF14" s="16">
        <f t="shared" si="8"/>
        <v>51.770661882500001</v>
      </c>
      <c r="BG14" s="17">
        <f t="shared" si="9"/>
        <v>-37.008705027319991</v>
      </c>
      <c r="BI14">
        <v>50</v>
      </c>
      <c r="BJ14" t="s">
        <v>40</v>
      </c>
      <c r="BK14" s="2">
        <v>45923.668819444443</v>
      </c>
      <c r="BL14">
        <v>416</v>
      </c>
      <c r="BM14" t="s">
        <v>13</v>
      </c>
      <c r="BN14">
        <v>0</v>
      </c>
      <c r="BO14">
        <v>2.8730000000000002</v>
      </c>
      <c r="BP14" s="3">
        <v>903470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45923.690057870372</v>
      </c>
      <c r="D15">
        <v>20</v>
      </c>
      <c r="E15" t="s">
        <v>13</v>
      </c>
      <c r="F15">
        <v>0</v>
      </c>
      <c r="G15">
        <v>6.0490000000000004</v>
      </c>
      <c r="H15" s="3">
        <v>29762</v>
      </c>
      <c r="I15">
        <v>6.7000000000000004E-2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45923.690057870372</v>
      </c>
      <c r="R15">
        <v>20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45923.690057870372</v>
      </c>
      <c r="AF15">
        <v>20</v>
      </c>
      <c r="AG15" t="s">
        <v>13</v>
      </c>
      <c r="AH15">
        <v>0</v>
      </c>
      <c r="AI15">
        <v>12.314</v>
      </c>
      <c r="AJ15" s="3">
        <v>82</v>
      </c>
      <c r="AK15">
        <v>-7.9000000000000001E-2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si="0"/>
        <v>82.767724742628005</v>
      </c>
      <c r="AU15" s="17">
        <f t="shared" si="1"/>
        <v>-115.32892994668001</v>
      </c>
      <c r="AW15" s="6">
        <f t="shared" si="2"/>
        <v>67.339835549092243</v>
      </c>
      <c r="AX15" s="7">
        <f t="shared" si="3"/>
        <v>-86.750771596480007</v>
      </c>
      <c r="AZ15" s="11">
        <f t="shared" si="4"/>
        <v>78.748896232412008</v>
      </c>
      <c r="BA15" s="12">
        <f t="shared" si="5"/>
        <v>-1.7150668164000002</v>
      </c>
      <c r="BC15" s="13">
        <f t="shared" si="6"/>
        <v>81.703225705212802</v>
      </c>
      <c r="BD15" s="14">
        <f t="shared" si="7"/>
        <v>50.909597904800002</v>
      </c>
      <c r="BF15" s="16">
        <f t="shared" si="8"/>
        <v>82.767724742628005</v>
      </c>
      <c r="BG15" s="17">
        <f t="shared" si="9"/>
        <v>-115.32892994668001</v>
      </c>
      <c r="BI15">
        <v>51</v>
      </c>
      <c r="BJ15" t="s">
        <v>41</v>
      </c>
      <c r="BK15" s="2">
        <v>45923.690057870372</v>
      </c>
      <c r="BL15">
        <v>20</v>
      </c>
      <c r="BM15" t="s">
        <v>13</v>
      </c>
      <c r="BN15">
        <v>0</v>
      </c>
      <c r="BO15">
        <v>2.8639999999999999</v>
      </c>
      <c r="BP15" s="3">
        <v>1077813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45923.711284722223</v>
      </c>
      <c r="D16">
        <v>15</v>
      </c>
      <c r="E16" t="s">
        <v>13</v>
      </c>
      <c r="F16">
        <v>0</v>
      </c>
      <c r="G16">
        <v>6.0529999999999999</v>
      </c>
      <c r="H16" s="3">
        <v>6864</v>
      </c>
      <c r="I16">
        <v>1.6E-2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45923.711284722223</v>
      </c>
      <c r="R16">
        <v>15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45923.711284722223</v>
      </c>
      <c r="AF16">
        <v>15</v>
      </c>
      <c r="AG16" t="s">
        <v>13</v>
      </c>
      <c r="AH16">
        <v>0</v>
      </c>
      <c r="AI16">
        <v>12.071</v>
      </c>
      <c r="AJ16" s="3">
        <v>233005</v>
      </c>
      <c r="AK16">
        <v>50.186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0"/>
        <v>21.031591414527995</v>
      </c>
      <c r="AU16" s="17">
        <f t="shared" si="1"/>
        <v>50040.199575134495</v>
      </c>
      <c r="AW16" s="6">
        <f t="shared" si="2"/>
        <v>10.7714898688</v>
      </c>
      <c r="AX16" s="7">
        <f t="shared" si="3"/>
        <v>46672.918757761996</v>
      </c>
      <c r="AZ16" s="11">
        <f t="shared" si="4"/>
        <v>5.4548678400000004</v>
      </c>
      <c r="BA16" s="12">
        <f t="shared" si="5"/>
        <v>53717.823101977498</v>
      </c>
      <c r="BC16" s="13">
        <f t="shared" si="6"/>
        <v>15.718514301439999</v>
      </c>
      <c r="BD16" s="14">
        <f t="shared" si="7"/>
        <v>46213.610839499263</v>
      </c>
      <c r="BF16" s="16">
        <f t="shared" si="8"/>
        <v>21.031591414527995</v>
      </c>
      <c r="BG16" s="17">
        <f t="shared" si="9"/>
        <v>50040.199575134495</v>
      </c>
      <c r="BI16">
        <v>52</v>
      </c>
      <c r="BJ16" t="s">
        <v>42</v>
      </c>
      <c r="BK16" s="2">
        <v>45923.711284722223</v>
      </c>
      <c r="BL16">
        <v>15</v>
      </c>
      <c r="BM16" t="s">
        <v>13</v>
      </c>
      <c r="BN16">
        <v>0</v>
      </c>
      <c r="BO16">
        <v>2.8719999999999999</v>
      </c>
      <c r="BP16" s="3">
        <v>882573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45923.732511574075</v>
      </c>
      <c r="D17">
        <v>196</v>
      </c>
      <c r="E17" t="s">
        <v>13</v>
      </c>
      <c r="F17">
        <v>0</v>
      </c>
      <c r="G17">
        <v>6.0750000000000002</v>
      </c>
      <c r="H17" s="3">
        <v>882</v>
      </c>
      <c r="I17">
        <v>2E-3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45923.732511574075</v>
      </c>
      <c r="R17">
        <v>196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45923.732511574075</v>
      </c>
      <c r="AF17">
        <v>196</v>
      </c>
      <c r="AG17" t="s">
        <v>13</v>
      </c>
      <c r="AH17">
        <v>0</v>
      </c>
      <c r="AI17">
        <v>12.045999999999999</v>
      </c>
      <c r="AJ17" s="3">
        <v>262272</v>
      </c>
      <c r="AK17">
        <v>56.384999999999998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0"/>
        <v>-0.19126909146800042</v>
      </c>
      <c r="AU17" s="17">
        <f t="shared" si="1"/>
        <v>56169.884686929916</v>
      </c>
      <c r="AW17" s="6">
        <f t="shared" si="2"/>
        <v>-0.95558584279999992</v>
      </c>
      <c r="AX17" s="7">
        <f t="shared" si="3"/>
        <v>52352.488317368327</v>
      </c>
      <c r="AZ17" s="11">
        <f t="shared" si="4"/>
        <v>8.9373489600000013</v>
      </c>
      <c r="BA17" s="12">
        <f t="shared" si="5"/>
        <v>60374.4023788544</v>
      </c>
      <c r="BC17" s="13">
        <f t="shared" si="6"/>
        <v>-1.6030034226400001</v>
      </c>
      <c r="BD17" s="14">
        <f t="shared" si="7"/>
        <v>51903.071554324488</v>
      </c>
      <c r="BF17" s="16">
        <f t="shared" si="8"/>
        <v>-0.19126909146800042</v>
      </c>
      <c r="BG17" s="17">
        <f t="shared" si="9"/>
        <v>56169.884686929916</v>
      </c>
      <c r="BI17">
        <v>53</v>
      </c>
      <c r="BJ17" t="s">
        <v>43</v>
      </c>
      <c r="BK17" s="2">
        <v>45923.732511574075</v>
      </c>
      <c r="BL17">
        <v>196</v>
      </c>
      <c r="BM17" t="s">
        <v>13</v>
      </c>
      <c r="BN17">
        <v>0</v>
      </c>
      <c r="BO17">
        <v>2.871</v>
      </c>
      <c r="BP17" s="3">
        <v>898319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45923.75372685185</v>
      </c>
      <c r="D18">
        <v>253</v>
      </c>
      <c r="E18" t="s">
        <v>13</v>
      </c>
      <c r="F18">
        <v>0</v>
      </c>
      <c r="G18">
        <v>6.048</v>
      </c>
      <c r="H18" s="3">
        <v>25998</v>
      </c>
      <c r="I18">
        <v>5.8999999999999997E-2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45923.75372685185</v>
      </c>
      <c r="R18">
        <v>253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45923.75372685185</v>
      </c>
      <c r="AF18">
        <v>253</v>
      </c>
      <c r="AG18" t="s">
        <v>13</v>
      </c>
      <c r="AH18">
        <v>0</v>
      </c>
      <c r="AI18">
        <v>12.07</v>
      </c>
      <c r="AJ18" s="3">
        <v>241224</v>
      </c>
      <c r="AK18">
        <v>51.929000000000002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0"/>
        <v>72.727875350947997</v>
      </c>
      <c r="AU18" s="17">
        <f t="shared" si="1"/>
        <v>51763.425426970884</v>
      </c>
      <c r="AW18" s="6">
        <f t="shared" si="2"/>
        <v>58.518867335837832</v>
      </c>
      <c r="AX18" s="7">
        <f t="shared" si="3"/>
        <v>48272.317056148488</v>
      </c>
      <c r="AZ18" s="11">
        <f t="shared" si="4"/>
        <v>67.626026001691997</v>
      </c>
      <c r="BA18" s="12">
        <f t="shared" si="5"/>
        <v>55594.253956601606</v>
      </c>
      <c r="BC18" s="13">
        <f t="shared" si="6"/>
        <v>70.852003234044801</v>
      </c>
      <c r="BD18" s="14">
        <f t="shared" si="7"/>
        <v>47815.529093230725</v>
      </c>
      <c r="BF18" s="16">
        <f t="shared" si="8"/>
        <v>72.727875350947997</v>
      </c>
      <c r="BG18" s="17">
        <f t="shared" si="9"/>
        <v>51763.425426970884</v>
      </c>
      <c r="BI18">
        <v>54</v>
      </c>
      <c r="BJ18" t="s">
        <v>44</v>
      </c>
      <c r="BK18" s="2">
        <v>45923.75372685185</v>
      </c>
      <c r="BL18">
        <v>253</v>
      </c>
      <c r="BM18" t="s">
        <v>13</v>
      </c>
      <c r="BN18">
        <v>0</v>
      </c>
      <c r="BO18">
        <v>2.8519999999999999</v>
      </c>
      <c r="BP18" s="3">
        <v>1245036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45923.774942129632</v>
      </c>
      <c r="D19">
        <v>346</v>
      </c>
      <c r="E19" t="s">
        <v>13</v>
      </c>
      <c r="F19">
        <v>0</v>
      </c>
      <c r="G19">
        <v>6.0990000000000002</v>
      </c>
      <c r="H19" s="3">
        <v>944</v>
      </c>
      <c r="I19">
        <v>3.0000000000000001E-3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45923.774942129632</v>
      </c>
      <c r="R19">
        <v>346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45923.774942129632</v>
      </c>
      <c r="AF19">
        <v>346</v>
      </c>
      <c r="AG19" t="s">
        <v>13</v>
      </c>
      <c r="AH19">
        <v>0</v>
      </c>
      <c r="AI19">
        <v>12.053000000000001</v>
      </c>
      <c r="AJ19" s="3">
        <v>250213</v>
      </c>
      <c r="AK19">
        <v>53.834000000000003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ref="AT19:AT29" si="10">IF(H19&lt;10000,((H19^2*0.000000008493)+(H19*0.003482)+(-3.269)),(IF(H19&lt;200000,((H19^2*-0.000000000263)+(H19*0.002682)+(3.179)),(IF(H19&lt;8000000,((H19^2*-0.000000000005099)+(H19*0.002054)+(174.8)),((V19^2*-0.00000001014)+(V19*0.2415)+(1123)))))))</f>
        <v>2.5576418047999372E-2</v>
      </c>
      <c r="AU19" s="17">
        <f t="shared" ref="AU19:AU29" si="11">IF(AJ19&lt;45000,((-0.00000004907*AJ19^2)+(0.2277*AJ19)+(-134)),((-0.00000001062*AJ19^2)+(0.2147*AJ19)+(590.6)))</f>
        <v>53646.449588181218</v>
      </c>
      <c r="AW19" s="6">
        <f t="shared" ref="AW19:AW29" si="12">IF(H19&lt;10000,((0.0000001453*H19^2)+(0.0008349*H19)+(-1.805)),(IF(H19&lt;700000,((-0.00000000008054*H19^2)+(0.002348*H19)+(-2.47)), ((-0.00000001938*V19^2)+(0.2471*V19)+(226.8)))))</f>
        <v>-0.88737233919999992</v>
      </c>
      <c r="AX19" s="7">
        <f t="shared" ref="AX19:AX29" si="13">(-0.00000002552*AJ19^2)+(0.2067*AJ19)+(-103.7)</f>
        <v>50017.608062183121</v>
      </c>
      <c r="AZ19" s="11">
        <f t="shared" ref="AZ19:AZ29" si="14">IF(H19&lt;10000,((H19^2*0.00000054)+(H19*-0.004765)+(12.72)),(IF(H19&lt;200000,((H19^2*-0.000000001577)+(H19*0.003043)+(-10.42)),(IF(H19&lt;8000000,((H19^2*-0.0000000000186)+(H19*0.00194)+(154.1)),((V19^2*-0.00000002)+(V19*0.2565)+(-1032)))))))</f>
        <v>8.7030534400000015</v>
      </c>
      <c r="BA19" s="12">
        <f t="shared" ref="BA19:BA29" si="15">IF(AJ19&lt;45000,((-0.0000004561*AJ19^2)+(0.244*AJ19)+(-21.72)),((-0.0000000409*AJ19^2)+(0.2477*AJ19)+(-1777)))</f>
        <v>57640.152394407902</v>
      </c>
      <c r="BC19" s="13">
        <f t="shared" ref="BC19:BC29" si="16">IF(H19&lt;10000,((H19^2*0.00000005714)+(H19*0.002453)+(-3.811)),(IF(H19&lt;200000,((H19^2*-0.0000000002888)+(H19*0.002899)+(-4.321)),(IF(H19&lt;8000000,((H19^2*-0.0000000000062)+(H19*0.002143)+(157)),((V19^2*-0.000000031)+(V19*0.2771)+(-709.5)))))))</f>
        <v>-1.44444848896</v>
      </c>
      <c r="BD19" s="14">
        <f t="shared" ref="BD19:BD29" si="17">IF(AJ19&lt;45000,((-0.0000000598*AJ19^2)+(0.205*AJ19)+(34.1)),((-0.00000002403*AJ19^2)+(0.2063*AJ19)+(-550.7)))</f>
        <v>49563.806614782938</v>
      </c>
      <c r="BF19" s="16">
        <f t="shared" ref="BF19:BF29" si="18">IF(H19&lt;10000,((H19^2*0.000000008493)+(H19*0.003482)+(-3.269)),(IF(H19&lt;200000,((H19^2*-0.000000000263)+(H19*0.002682)+(3.179)),(IF(H19&lt;8000000,((H19^2*-0.000000000005099)+(H19*0.002054)+(174.8)),((V19^2*-0.00000001014)+(V19*0.2415)+(1123)))))))</f>
        <v>2.5576418047999372E-2</v>
      </c>
      <c r="BG19" s="17">
        <f t="shared" ref="BG19:BG29" si="19">IF(AJ19&lt;45000,((-0.00000004907*AJ19^2)+(0.2277*AJ19)+(-134)),((-0.00000001062*AJ19^2)+(0.2147*AJ19)+(590.6)))</f>
        <v>53646.449588181218</v>
      </c>
      <c r="BI19">
        <v>55</v>
      </c>
      <c r="BJ19" t="s">
        <v>45</v>
      </c>
      <c r="BK19" s="2">
        <v>45923.774942129632</v>
      </c>
      <c r="BL19">
        <v>346</v>
      </c>
      <c r="BM19" t="s">
        <v>13</v>
      </c>
      <c r="BN19">
        <v>0</v>
      </c>
      <c r="BO19">
        <v>2.8719999999999999</v>
      </c>
      <c r="BP19" s="3">
        <v>889166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45923.796157407407</v>
      </c>
      <c r="D20">
        <v>386</v>
      </c>
      <c r="E20" t="s">
        <v>13</v>
      </c>
      <c r="F20">
        <v>0</v>
      </c>
      <c r="G20">
        <v>6.0709999999999997</v>
      </c>
      <c r="H20" s="3">
        <v>2626</v>
      </c>
      <c r="I20">
        <v>6.0000000000000001E-3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45923.796157407407</v>
      </c>
      <c r="R20">
        <v>386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45923.796157407407</v>
      </c>
      <c r="AF20">
        <v>386</v>
      </c>
      <c r="AG20" t="s">
        <v>13</v>
      </c>
      <c r="AH20">
        <v>0</v>
      </c>
      <c r="AI20">
        <v>12.058999999999999</v>
      </c>
      <c r="AJ20" s="3">
        <v>248726</v>
      </c>
      <c r="AK20">
        <v>53.518999999999998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5.9332986748680003</v>
      </c>
      <c r="AU20" s="17">
        <f t="shared" si="11"/>
        <v>53335.069902932883</v>
      </c>
      <c r="AW20" s="6">
        <f t="shared" si="12"/>
        <v>1.3894181827999998</v>
      </c>
      <c r="AX20" s="7">
        <f t="shared" si="13"/>
        <v>49729.179019100484</v>
      </c>
      <c r="AZ20" s="11">
        <f t="shared" si="14"/>
        <v>3.9308830399999994</v>
      </c>
      <c r="BA20" s="12">
        <f t="shared" si="15"/>
        <v>57302.167116191602</v>
      </c>
      <c r="BC20" s="13">
        <f t="shared" si="16"/>
        <v>3.0246083546399998</v>
      </c>
      <c r="BD20" s="14">
        <f t="shared" si="17"/>
        <v>49274.866907483723</v>
      </c>
      <c r="BF20" s="16">
        <f t="shared" si="18"/>
        <v>5.9332986748680003</v>
      </c>
      <c r="BG20" s="17">
        <f t="shared" si="19"/>
        <v>53335.069902932883</v>
      </c>
      <c r="BI20">
        <v>56</v>
      </c>
      <c r="BJ20" t="s">
        <v>46</v>
      </c>
      <c r="BK20" s="2">
        <v>45923.796157407407</v>
      </c>
      <c r="BL20">
        <v>386</v>
      </c>
      <c r="BM20" t="s">
        <v>13</v>
      </c>
      <c r="BN20">
        <v>0</v>
      </c>
      <c r="BO20">
        <v>2.8719999999999999</v>
      </c>
      <c r="BP20" s="3">
        <v>888034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45923.817372685182</v>
      </c>
      <c r="D21">
        <v>44</v>
      </c>
      <c r="E21" t="s">
        <v>13</v>
      </c>
      <c r="F21">
        <v>0</v>
      </c>
      <c r="G21">
        <v>6.048</v>
      </c>
      <c r="H21" s="3">
        <v>26477</v>
      </c>
      <c r="I21">
        <v>0.06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45923.817372685182</v>
      </c>
      <c r="R21">
        <v>44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45923.817372685182</v>
      </c>
      <c r="AF21">
        <v>44</v>
      </c>
      <c r="AG21" t="s">
        <v>13</v>
      </c>
      <c r="AH21">
        <v>0</v>
      </c>
      <c r="AI21">
        <v>12.131</v>
      </c>
      <c r="AJ21" s="3">
        <v>155566</v>
      </c>
      <c r="AK21">
        <v>33.661000000000001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74.005942707873004</v>
      </c>
      <c r="AU21" s="17">
        <f t="shared" si="11"/>
        <v>33733.607912619278</v>
      </c>
      <c r="AW21" s="6">
        <f t="shared" si="12"/>
        <v>59.641534920654337</v>
      </c>
      <c r="AX21" s="7">
        <f t="shared" si="13"/>
        <v>31434.188285314878</v>
      </c>
      <c r="AZ21" s="11">
        <f t="shared" si="14"/>
        <v>69.043984278766999</v>
      </c>
      <c r="BA21" s="12">
        <f t="shared" si="15"/>
        <v>35766.886283439599</v>
      </c>
      <c r="BC21" s="13">
        <f t="shared" si="16"/>
        <v>72.233365094424798</v>
      </c>
      <c r="BD21" s="14">
        <f t="shared" si="17"/>
        <v>30961.021048045321</v>
      </c>
      <c r="BF21" s="16">
        <f t="shared" si="18"/>
        <v>74.005942707873004</v>
      </c>
      <c r="BG21" s="17">
        <f t="shared" si="19"/>
        <v>33733.607912619278</v>
      </c>
      <c r="BI21">
        <v>57</v>
      </c>
      <c r="BJ21" t="s">
        <v>47</v>
      </c>
      <c r="BK21" s="2">
        <v>45923.817372685182</v>
      </c>
      <c r="BL21">
        <v>44</v>
      </c>
      <c r="BM21" t="s">
        <v>13</v>
      </c>
      <c r="BN21">
        <v>0</v>
      </c>
      <c r="BO21">
        <v>2.8740000000000001</v>
      </c>
      <c r="BP21" s="3">
        <v>831020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45923.838587962964</v>
      </c>
      <c r="D22">
        <v>351</v>
      </c>
      <c r="E22" t="s">
        <v>13</v>
      </c>
      <c r="F22">
        <v>0</v>
      </c>
      <c r="G22">
        <v>6.0469999999999997</v>
      </c>
      <c r="H22" s="3">
        <v>99176</v>
      </c>
      <c r="I22">
        <v>0.224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45923.838587962964</v>
      </c>
      <c r="R22">
        <v>351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45923.838587962964</v>
      </c>
      <c r="AF22">
        <v>351</v>
      </c>
      <c r="AG22" t="s">
        <v>13</v>
      </c>
      <c r="AH22">
        <v>0</v>
      </c>
      <c r="AI22">
        <v>12.318</v>
      </c>
      <c r="AJ22">
        <v>471</v>
      </c>
      <c r="AK22">
        <v>7.0000000000000001E-3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266.58219582931196</v>
      </c>
      <c r="AU22" s="17">
        <f t="shared" si="11"/>
        <v>-26.764185737869994</v>
      </c>
      <c r="AW22" s="6">
        <f t="shared" si="12"/>
        <v>229.60306630727294</v>
      </c>
      <c r="AX22" s="7">
        <f t="shared" si="13"/>
        <v>-6.3499613823200036</v>
      </c>
      <c r="AZ22" s="11">
        <f t="shared" si="14"/>
        <v>275.86138685484798</v>
      </c>
      <c r="BA22" s="12">
        <f t="shared" si="15"/>
        <v>93.102818319899995</v>
      </c>
      <c r="BC22" s="13">
        <f t="shared" si="16"/>
        <v>280.34962215173118</v>
      </c>
      <c r="BD22" s="14">
        <f t="shared" si="17"/>
        <v>130.6417339082</v>
      </c>
      <c r="BF22" s="16">
        <f t="shared" si="18"/>
        <v>266.58219582931196</v>
      </c>
      <c r="BG22" s="17">
        <f t="shared" si="19"/>
        <v>-26.764185737869994</v>
      </c>
      <c r="BI22">
        <v>58</v>
      </c>
      <c r="BJ22" t="s">
        <v>48</v>
      </c>
      <c r="BK22" s="2">
        <v>45923.838587962964</v>
      </c>
      <c r="BL22">
        <v>351</v>
      </c>
      <c r="BM22" t="s">
        <v>13</v>
      </c>
      <c r="BN22">
        <v>0</v>
      </c>
      <c r="BO22">
        <v>2.859</v>
      </c>
      <c r="BP22" s="3">
        <v>1162278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45923.859849537039</v>
      </c>
      <c r="D23">
        <v>373</v>
      </c>
      <c r="E23" t="s">
        <v>13</v>
      </c>
      <c r="F23">
        <v>0</v>
      </c>
      <c r="G23">
        <v>6.0469999999999997</v>
      </c>
      <c r="H23" s="3">
        <v>39669</v>
      </c>
      <c r="I23">
        <v>0.09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45923.859849537039</v>
      </c>
      <c r="R23">
        <v>373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45923.859849537039</v>
      </c>
      <c r="AF23">
        <v>373</v>
      </c>
      <c r="AG23" t="s">
        <v>13</v>
      </c>
      <c r="AH23">
        <v>0</v>
      </c>
      <c r="AI23">
        <v>12.138</v>
      </c>
      <c r="AJ23" s="3">
        <v>150986</v>
      </c>
      <c r="AK23">
        <v>32.677999999999997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109.157393425457</v>
      </c>
      <c r="AU23" s="17">
        <f t="shared" si="11"/>
        <v>32765.192479278481</v>
      </c>
      <c r="AW23" s="6">
        <f t="shared" si="12"/>
        <v>90.546071875157054</v>
      </c>
      <c r="AX23" s="7">
        <f t="shared" si="13"/>
        <v>30523.332573558077</v>
      </c>
      <c r="AZ23" s="11">
        <f t="shared" si="14"/>
        <v>107.811153182303</v>
      </c>
      <c r="BA23" s="12">
        <f t="shared" si="15"/>
        <v>34689.8442171836</v>
      </c>
      <c r="BC23" s="13">
        <f t="shared" si="16"/>
        <v>110.22496678278321</v>
      </c>
      <c r="BD23" s="14">
        <f t="shared" si="17"/>
        <v>30049.905364130122</v>
      </c>
      <c r="BF23" s="16">
        <f t="shared" si="18"/>
        <v>109.157393425457</v>
      </c>
      <c r="BG23" s="17">
        <f t="shared" si="19"/>
        <v>32765.192479278481</v>
      </c>
      <c r="BI23">
        <v>59</v>
      </c>
      <c r="BJ23" t="s">
        <v>49</v>
      </c>
      <c r="BK23" s="2">
        <v>45923.859849537039</v>
      </c>
      <c r="BL23">
        <v>373</v>
      </c>
      <c r="BM23" t="s">
        <v>13</v>
      </c>
      <c r="BN23">
        <v>0</v>
      </c>
      <c r="BO23">
        <v>2.8719999999999999</v>
      </c>
      <c r="BP23" s="3">
        <v>865121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45923.881064814814</v>
      </c>
      <c r="D24">
        <v>68</v>
      </c>
      <c r="E24" t="s">
        <v>13</v>
      </c>
      <c r="F24">
        <v>0</v>
      </c>
      <c r="G24">
        <v>6.0490000000000004</v>
      </c>
      <c r="H24" s="3">
        <v>21963</v>
      </c>
      <c r="I24">
        <v>0.05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45923.881064814814</v>
      </c>
      <c r="R24">
        <v>68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45923.881064814814</v>
      </c>
      <c r="AF24">
        <v>68</v>
      </c>
      <c r="AG24" t="s">
        <v>13</v>
      </c>
      <c r="AH24">
        <v>0</v>
      </c>
      <c r="AI24">
        <v>12.32</v>
      </c>
      <c r="AJ24" s="3">
        <v>396</v>
      </c>
      <c r="AK24">
        <v>-0.01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61.956901803952995</v>
      </c>
      <c r="AU24" s="17">
        <f t="shared" si="11"/>
        <v>-43.838494961119991</v>
      </c>
      <c r="AW24" s="6">
        <f t="shared" si="12"/>
        <v>49.060273648860736</v>
      </c>
      <c r="AX24" s="7">
        <f t="shared" si="13"/>
        <v>-21.850801944319997</v>
      </c>
      <c r="AZ24" s="11">
        <f t="shared" si="14"/>
        <v>55.652706197086999</v>
      </c>
      <c r="BA24" s="12">
        <f t="shared" si="15"/>
        <v>74.83247622239999</v>
      </c>
      <c r="BC24" s="13">
        <f t="shared" si="16"/>
        <v>59.210427571032803</v>
      </c>
      <c r="BD24" s="14">
        <f t="shared" si="17"/>
        <v>115.27062240320001</v>
      </c>
      <c r="BF24" s="16">
        <f t="shared" si="18"/>
        <v>61.956901803952995</v>
      </c>
      <c r="BG24" s="17">
        <f t="shared" si="19"/>
        <v>-43.838494961119991</v>
      </c>
      <c r="BI24">
        <v>60</v>
      </c>
      <c r="BJ24" t="s">
        <v>50</v>
      </c>
      <c r="BK24" s="2">
        <v>45923.881064814814</v>
      </c>
      <c r="BL24">
        <v>68</v>
      </c>
      <c r="BM24" t="s">
        <v>13</v>
      </c>
      <c r="BN24">
        <v>0</v>
      </c>
      <c r="BO24">
        <v>2.8660000000000001</v>
      </c>
      <c r="BP24" s="3">
        <v>1035411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45923.902291666665</v>
      </c>
      <c r="D25">
        <v>181</v>
      </c>
      <c r="E25" t="s">
        <v>13</v>
      </c>
      <c r="F25">
        <v>0</v>
      </c>
      <c r="G25">
        <v>6.09</v>
      </c>
      <c r="H25" s="3">
        <v>1828</v>
      </c>
      <c r="I25">
        <v>5.0000000000000001E-3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45923.902291666665</v>
      </c>
      <c r="R25">
        <v>181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45923.902291666665</v>
      </c>
      <c r="AF25">
        <v>181</v>
      </c>
      <c r="AG25" t="s">
        <v>13</v>
      </c>
      <c r="AH25">
        <v>0</v>
      </c>
      <c r="AI25">
        <v>12.061</v>
      </c>
      <c r="AJ25" s="3">
        <v>242722</v>
      </c>
      <c r="AK25">
        <v>52.247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3.1244760729119996</v>
      </c>
      <c r="AU25" s="17">
        <f t="shared" si="11"/>
        <v>52077.347046203919</v>
      </c>
      <c r="AW25" s="6">
        <f t="shared" si="12"/>
        <v>0.20672935520000002</v>
      </c>
      <c r="AX25" s="7">
        <f t="shared" si="13"/>
        <v>48563.452903872319</v>
      </c>
      <c r="AZ25" s="11">
        <f t="shared" si="14"/>
        <v>5.8140353600000001</v>
      </c>
      <c r="BA25" s="12">
        <f t="shared" si="15"/>
        <v>55935.658056284396</v>
      </c>
      <c r="BC25" s="13">
        <f t="shared" si="16"/>
        <v>0.86402210976000049</v>
      </c>
      <c r="BD25" s="14">
        <f t="shared" si="17"/>
        <v>48107.145918105482</v>
      </c>
      <c r="BF25" s="16">
        <f t="shared" si="18"/>
        <v>3.1244760729119996</v>
      </c>
      <c r="BG25" s="17">
        <f t="shared" si="19"/>
        <v>52077.347046203919</v>
      </c>
      <c r="BI25">
        <v>61</v>
      </c>
      <c r="BJ25" t="s">
        <v>51</v>
      </c>
      <c r="BK25" s="2">
        <v>45923.902291666665</v>
      </c>
      <c r="BL25">
        <v>181</v>
      </c>
      <c r="BM25" t="s">
        <v>13</v>
      </c>
      <c r="BN25">
        <v>0</v>
      </c>
      <c r="BO25">
        <v>2.8690000000000002</v>
      </c>
      <c r="BP25" s="3">
        <v>934906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45923.923518518517</v>
      </c>
      <c r="D26">
        <v>29</v>
      </c>
      <c r="E26" t="s">
        <v>13</v>
      </c>
      <c r="F26">
        <v>0</v>
      </c>
      <c r="G26">
        <v>6.0469999999999997</v>
      </c>
      <c r="H26" s="3">
        <v>79361</v>
      </c>
      <c r="I26">
        <v>0.17899999999999999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45923.923518518517</v>
      </c>
      <c r="R26">
        <v>29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45923.923518518517</v>
      </c>
      <c r="AF26">
        <v>29</v>
      </c>
      <c r="AG26" t="s">
        <v>13</v>
      </c>
      <c r="AH26">
        <v>0</v>
      </c>
      <c r="AI26">
        <v>12.308</v>
      </c>
      <c r="AJ26" s="3">
        <v>238</v>
      </c>
      <c r="AK26">
        <v>-4.3999999999999997E-2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214.368783731577</v>
      </c>
      <c r="AU26" s="17">
        <f t="shared" si="11"/>
        <v>-79.810179521079988</v>
      </c>
      <c r="AW26" s="6">
        <f t="shared" si="12"/>
        <v>183.36237352342664</v>
      </c>
      <c r="AX26" s="7">
        <f t="shared" si="13"/>
        <v>-54.506845554880002</v>
      </c>
      <c r="AZ26" s="11">
        <f t="shared" si="14"/>
        <v>221.14331155778302</v>
      </c>
      <c r="BA26" s="12">
        <f t="shared" si="15"/>
        <v>36.326164671599997</v>
      </c>
      <c r="BC26" s="13">
        <f t="shared" si="16"/>
        <v>223.92762798889521</v>
      </c>
      <c r="BD26" s="14">
        <f t="shared" si="17"/>
        <v>82.8866126888</v>
      </c>
      <c r="BF26" s="16">
        <f t="shared" si="18"/>
        <v>214.368783731577</v>
      </c>
      <c r="BG26" s="17">
        <f t="shared" si="19"/>
        <v>-79.810179521079988</v>
      </c>
      <c r="BI26">
        <v>62</v>
      </c>
      <c r="BJ26" t="s">
        <v>52</v>
      </c>
      <c r="BK26" s="2">
        <v>45923.923518518517</v>
      </c>
      <c r="BL26">
        <v>29</v>
      </c>
      <c r="BM26" t="s">
        <v>13</v>
      </c>
      <c r="BN26">
        <v>0</v>
      </c>
      <c r="BO26">
        <v>2.87</v>
      </c>
      <c r="BP26" s="3">
        <v>943896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45923.944756944446</v>
      </c>
      <c r="D27">
        <v>315</v>
      </c>
      <c r="E27" t="s">
        <v>13</v>
      </c>
      <c r="F27">
        <v>0</v>
      </c>
      <c r="G27">
        <v>6.0460000000000003</v>
      </c>
      <c r="H27" s="3">
        <v>46470</v>
      </c>
      <c r="I27">
        <v>0.105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45923.944756944446</v>
      </c>
      <c r="R27">
        <v>315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45923.944756944446</v>
      </c>
      <c r="AF27">
        <v>315</v>
      </c>
      <c r="AG27" t="s">
        <v>13</v>
      </c>
      <c r="AH27">
        <v>0</v>
      </c>
      <c r="AI27">
        <v>12.154</v>
      </c>
      <c r="AJ27" s="3">
        <v>61</v>
      </c>
      <c r="AK27">
        <v>-8.3000000000000004E-2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10"/>
        <v>127.24360178329999</v>
      </c>
      <c r="AU27" s="17">
        <f t="shared" si="11"/>
        <v>-120.11048258947</v>
      </c>
      <c r="AW27" s="6">
        <f t="shared" si="12"/>
        <v>106.46763701911399</v>
      </c>
      <c r="AX27" s="7">
        <f t="shared" si="13"/>
        <v>-91.091394959920009</v>
      </c>
      <c r="AZ27" s="11">
        <f t="shared" si="14"/>
        <v>127.5827401607</v>
      </c>
      <c r="BA27" s="12">
        <f t="shared" si="15"/>
        <v>-6.8376971480999984</v>
      </c>
      <c r="BC27" s="13">
        <f t="shared" si="16"/>
        <v>129.77187769208001</v>
      </c>
      <c r="BD27" s="14">
        <f t="shared" si="17"/>
        <v>46.6047774842</v>
      </c>
      <c r="BF27" s="16">
        <f t="shared" si="18"/>
        <v>127.24360178329999</v>
      </c>
      <c r="BG27" s="17">
        <f t="shared" si="19"/>
        <v>-120.11048258947</v>
      </c>
      <c r="BI27">
        <v>63</v>
      </c>
      <c r="BJ27" t="s">
        <v>53</v>
      </c>
      <c r="BK27" s="2">
        <v>45923.944756944446</v>
      </c>
      <c r="BL27">
        <v>315</v>
      </c>
      <c r="BM27" t="s">
        <v>13</v>
      </c>
      <c r="BN27">
        <v>0</v>
      </c>
      <c r="BO27">
        <v>2.8679999999999999</v>
      </c>
      <c r="BP27" s="3">
        <v>989962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45923.965983796297</v>
      </c>
      <c r="D28">
        <v>234</v>
      </c>
      <c r="E28" t="s">
        <v>13</v>
      </c>
      <c r="F28">
        <v>0</v>
      </c>
      <c r="G28">
        <v>6.048</v>
      </c>
      <c r="H28" s="3">
        <v>34835</v>
      </c>
      <c r="I28">
        <v>7.9000000000000001E-2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45923.965983796297</v>
      </c>
      <c r="R28">
        <v>234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45923.965983796297</v>
      </c>
      <c r="AF28">
        <v>234</v>
      </c>
      <c r="AG28" t="s">
        <v>13</v>
      </c>
      <c r="AH28">
        <v>0</v>
      </c>
      <c r="AI28">
        <v>12.321</v>
      </c>
      <c r="AJ28" s="3">
        <v>288</v>
      </c>
      <c r="AK28">
        <v>-3.3000000000000002E-2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96.287325489825008</v>
      </c>
      <c r="AU28" s="17">
        <f t="shared" si="11"/>
        <v>-68.42647006208</v>
      </c>
      <c r="AW28" s="6">
        <f t="shared" si="12"/>
        <v>79.224846544298501</v>
      </c>
      <c r="AX28" s="7">
        <f t="shared" si="13"/>
        <v>-44.172516730879998</v>
      </c>
      <c r="AZ28" s="11">
        <f t="shared" si="14"/>
        <v>93.669251416175001</v>
      </c>
      <c r="BA28" s="12">
        <f t="shared" si="15"/>
        <v>48.514169241599987</v>
      </c>
      <c r="BC28" s="13">
        <f t="shared" si="16"/>
        <v>96.315212777420001</v>
      </c>
      <c r="BD28" s="14">
        <f t="shared" si="17"/>
        <v>93.135039948799999</v>
      </c>
      <c r="BF28" s="16">
        <f t="shared" si="18"/>
        <v>96.287325489825008</v>
      </c>
      <c r="BG28" s="17">
        <f t="shared" si="19"/>
        <v>-68.42647006208</v>
      </c>
      <c r="BI28">
        <v>64</v>
      </c>
      <c r="BJ28" t="s">
        <v>54</v>
      </c>
      <c r="BK28" s="2">
        <v>45923.965983796297</v>
      </c>
      <c r="BL28">
        <v>234</v>
      </c>
      <c r="BM28" t="s">
        <v>13</v>
      </c>
      <c r="BN28">
        <v>0</v>
      </c>
      <c r="BO28">
        <v>2.86</v>
      </c>
      <c r="BP28" s="3">
        <v>1140848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45923.987210648149</v>
      </c>
      <c r="D29">
        <v>154</v>
      </c>
      <c r="E29" t="s">
        <v>13</v>
      </c>
      <c r="F29">
        <v>0</v>
      </c>
      <c r="G29">
        <v>6.056</v>
      </c>
      <c r="H29" s="3">
        <v>5693</v>
      </c>
      <c r="I29">
        <v>1.2999999999999999E-2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45923.987210648149</v>
      </c>
      <c r="R29">
        <v>154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45923.987210648149</v>
      </c>
      <c r="AF29">
        <v>154</v>
      </c>
      <c r="AG29" t="s">
        <v>13</v>
      </c>
      <c r="AH29">
        <v>0</v>
      </c>
      <c r="AI29">
        <v>12.286</v>
      </c>
      <c r="AJ29" s="3">
        <v>6151</v>
      </c>
      <c r="AK29" s="15">
        <v>1.2529999999999999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16.829286244757</v>
      </c>
      <c r="AU29" s="17">
        <f t="shared" si="11"/>
        <v>1264.7261463149302</v>
      </c>
      <c r="AW29" s="6">
        <f t="shared" si="12"/>
        <v>7.6572948797000002</v>
      </c>
      <c r="AX29" s="7">
        <f t="shared" si="13"/>
        <v>1166.7461558784798</v>
      </c>
      <c r="AZ29" s="11">
        <f t="shared" si="14"/>
        <v>3.0943894600000004</v>
      </c>
      <c r="BA29" s="12">
        <f t="shared" si="15"/>
        <v>1461.8675472639</v>
      </c>
      <c r="BC29" s="13">
        <f t="shared" si="16"/>
        <v>12.005850627859999</v>
      </c>
      <c r="BD29" s="14">
        <f t="shared" si="17"/>
        <v>1292.7924789001997</v>
      </c>
      <c r="BF29" s="16">
        <f t="shared" si="18"/>
        <v>16.829286244757</v>
      </c>
      <c r="BG29" s="17">
        <f t="shared" si="19"/>
        <v>1264.7261463149302</v>
      </c>
      <c r="BI29">
        <v>65</v>
      </c>
      <c r="BJ29" t="s">
        <v>55</v>
      </c>
      <c r="BK29" s="2">
        <v>45923.987210648149</v>
      </c>
      <c r="BL29">
        <v>154</v>
      </c>
      <c r="BM29" t="s">
        <v>13</v>
      </c>
      <c r="BN29">
        <v>0</v>
      </c>
      <c r="BO29">
        <v>2.8610000000000002</v>
      </c>
      <c r="BP29" s="3">
        <v>1118152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45924.008449074077</v>
      </c>
      <c r="D30">
        <v>293</v>
      </c>
      <c r="E30" t="s">
        <v>13</v>
      </c>
      <c r="F30">
        <v>0</v>
      </c>
      <c r="G30">
        <v>6.0449999999999999</v>
      </c>
      <c r="H30" s="3">
        <v>104064</v>
      </c>
      <c r="I30">
        <v>0.23499999999999999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45924.008449074077</v>
      </c>
      <c r="R30">
        <v>293</v>
      </c>
      <c r="S30" t="s">
        <v>13</v>
      </c>
      <c r="T30">
        <v>0</v>
      </c>
      <c r="U30">
        <v>5.99</v>
      </c>
      <c r="V30">
        <v>699</v>
      </c>
      <c r="W30">
        <v>0.26300000000000001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45924.008449074077</v>
      </c>
      <c r="AF30">
        <v>293</v>
      </c>
      <c r="AG30" t="s">
        <v>13</v>
      </c>
      <c r="AH30">
        <v>0</v>
      </c>
      <c r="AI30">
        <v>12.186</v>
      </c>
      <c r="AJ30" s="3">
        <v>108078</v>
      </c>
      <c r="AK30">
        <v>23.437000000000001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6">
        <f t="shared" ref="AT30:AT38" si="20">IF(H30&lt;10000,((H30^2*0.000000008493)+(H30*0.003482)+(-3.269)),(IF(H30&lt;200000,((H30^2*-0.000000000263)+(H30*0.002682)+(3.179)),(IF(H30&lt;8000000,((H30^2*-0.000000000005099)+(H30*0.002054)+(174.8)),((V30^2*-0.00000001014)+(V30*0.2415)+(1123)))))))</f>
        <v>279.43053786675199</v>
      </c>
      <c r="AU30" s="17">
        <f t="shared" ref="AU30:AU38" si="21">IF(AJ30&lt;45000,((-0.00000004907*AJ30^2)+(0.2277*AJ30)+(-134)),((-0.00000001062*AJ30^2)+(0.2147*AJ30)+(590.6)))</f>
        <v>23670.895929627921</v>
      </c>
      <c r="AW30" s="6">
        <f t="shared" ref="AW30:AW38" si="22">IF(H30&lt;10000,((0.0000001453*H30^2)+(0.0008349*H30)+(-1.805)),(IF(H30&lt;700000,((-0.00000000008054*H30^2)+(0.002348*H30)+(-2.47)), ((-0.00000001938*V30^2)+(0.2471*V30)+(226.8)))))</f>
        <v>241.00007888162813</v>
      </c>
      <c r="AX30" s="7">
        <f t="shared" ref="AX30:AX38" si="23">(-0.00000002552*AJ30^2)+(0.2067*AJ30)+(-103.7)</f>
        <v>21937.927203776318</v>
      </c>
      <c r="AZ30" s="11">
        <f t="shared" ref="AZ30:AZ38" si="24">IF(H30&lt;10000,((H30^2*0.00000054)+(H30*-0.004765)+(12.72)),(IF(H30&lt;200000,((H30^2*-0.000000001577)+(H30*0.003043)+(-10.42)),(IF(H30&lt;8000000,((H30^2*-0.0000000000186)+(H30*0.00194)+(154.1)),((V30^2*-0.00000002)+(V30*0.2565)+(-1032)))))))</f>
        <v>289.16892051660801</v>
      </c>
      <c r="BA30" s="12">
        <f t="shared" ref="BA30:BA38" si="25">IF(AJ30&lt;45000,((-0.0000004561*AJ30^2)+(0.244*AJ30)+(-21.72)),((-0.0000000409*AJ30^2)+(0.2477*AJ30)+(-1777)))</f>
        <v>24516.173667964402</v>
      </c>
      <c r="BC30" s="13">
        <f t="shared" ref="BC30:BC38" si="26">IF(H30&lt;10000,((H30^2*0.00000005714)+(H30*0.002453)+(-3.811)),(IF(H30&lt;200000,((H30^2*-0.0000000002888)+(H30*0.002899)+(-4.321)),(IF(H30&lt;8000000,((H30^2*-0.0000000000062)+(H30*0.002143)+(157)),((V30^2*-0.000000031)+(V30*0.2771)+(-709.5)))))))</f>
        <v>294.23302951147519</v>
      </c>
      <c r="BD30" s="14">
        <f t="shared" ref="BD30:BD38" si="27">IF(AJ30&lt;45000,((-0.0000000598*AJ30^2)+(0.205*AJ30)+(34.1)),((-0.00000002403*AJ30^2)+(0.2063*AJ30)+(-550.7)))</f>
        <v>21465.10047636148</v>
      </c>
      <c r="BF30" s="16">
        <f t="shared" ref="BF30:BF38" si="28">IF(H30&lt;10000,((H30^2*0.000000008493)+(H30*0.003482)+(-3.269)),(IF(H30&lt;200000,((H30^2*-0.000000000263)+(H30*0.002682)+(3.179)),(IF(H30&lt;8000000,((H30^2*-0.000000000005099)+(H30*0.002054)+(174.8)),((V30^2*-0.00000001014)+(V30*0.2415)+(1123)))))))</f>
        <v>279.43053786675199</v>
      </c>
      <c r="BG30" s="17">
        <f t="shared" ref="BG30:BG38" si="29">IF(AJ30&lt;45000,((-0.00000004907*AJ30^2)+(0.2277*AJ30)+(-134)),((-0.00000001062*AJ30^2)+(0.2147*AJ30)+(590.6)))</f>
        <v>23670.895929627921</v>
      </c>
      <c r="BI30">
        <v>66</v>
      </c>
      <c r="BJ30" t="s">
        <v>56</v>
      </c>
      <c r="BK30" s="2">
        <v>45924.008449074077</v>
      </c>
      <c r="BL30">
        <v>293</v>
      </c>
      <c r="BM30" t="s">
        <v>13</v>
      </c>
      <c r="BN30">
        <v>0</v>
      </c>
      <c r="BO30">
        <v>2.8660000000000001</v>
      </c>
      <c r="BP30" s="3">
        <v>990501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45924.029652777775</v>
      </c>
      <c r="D31">
        <v>34</v>
      </c>
      <c r="E31" t="s">
        <v>13</v>
      </c>
      <c r="F31">
        <v>0</v>
      </c>
      <c r="G31">
        <v>6.0449999999999999</v>
      </c>
      <c r="H31" s="3">
        <v>110481</v>
      </c>
      <c r="I31">
        <v>0.249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45924.029652777775</v>
      </c>
      <c r="R31">
        <v>34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45924.029652777775</v>
      </c>
      <c r="AF31">
        <v>34</v>
      </c>
      <c r="AG31" t="s">
        <v>13</v>
      </c>
      <c r="AH31">
        <v>0</v>
      </c>
      <c r="AI31">
        <v>12.259</v>
      </c>
      <c r="AJ31" s="3">
        <v>257</v>
      </c>
      <c r="AK31">
        <v>-0.04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10">
        <v>67</v>
      </c>
      <c r="AT31" s="16">
        <f t="shared" si="20"/>
        <v>296.27885049205696</v>
      </c>
      <c r="AU31" s="17">
        <f t="shared" si="21"/>
        <v>-75.484341024429995</v>
      </c>
      <c r="AW31" s="6">
        <f t="shared" si="22"/>
        <v>255.95631262338506</v>
      </c>
      <c r="AX31" s="7">
        <f t="shared" si="23"/>
        <v>-50.579785570480006</v>
      </c>
      <c r="AZ31" s="11">
        <f t="shared" si="24"/>
        <v>306.52474000370302</v>
      </c>
      <c r="BA31" s="12">
        <f t="shared" si="25"/>
        <v>40.957875051099997</v>
      </c>
      <c r="BC31" s="13">
        <f t="shared" si="26"/>
        <v>312.4383113669432</v>
      </c>
      <c r="BD31" s="14">
        <f t="shared" si="27"/>
        <v>86.781050269800005</v>
      </c>
      <c r="BF31" s="16">
        <f t="shared" si="28"/>
        <v>296.27885049205696</v>
      </c>
      <c r="BG31" s="17">
        <f t="shared" si="29"/>
        <v>-75.484341024429995</v>
      </c>
      <c r="BI31">
        <v>67</v>
      </c>
      <c r="BJ31" t="s">
        <v>57</v>
      </c>
      <c r="BK31" s="2">
        <v>45924.029652777775</v>
      </c>
      <c r="BL31">
        <v>34</v>
      </c>
      <c r="BM31" t="s">
        <v>13</v>
      </c>
      <c r="BN31">
        <v>0</v>
      </c>
      <c r="BO31">
        <v>2.867</v>
      </c>
      <c r="BP31" s="3">
        <v>1005616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45924.050868055558</v>
      </c>
      <c r="D32">
        <v>395</v>
      </c>
      <c r="E32" t="s">
        <v>13</v>
      </c>
      <c r="F32">
        <v>0</v>
      </c>
      <c r="G32">
        <v>6.0469999999999997</v>
      </c>
      <c r="H32" s="3">
        <v>42348</v>
      </c>
      <c r="I32">
        <v>9.6000000000000002E-2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45924.050868055558</v>
      </c>
      <c r="R32">
        <v>395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45924.050868055558</v>
      </c>
      <c r="AF32">
        <v>395</v>
      </c>
      <c r="AG32" t="s">
        <v>13</v>
      </c>
      <c r="AH32">
        <v>0</v>
      </c>
      <c r="AI32">
        <v>12.250999999999999</v>
      </c>
      <c r="AJ32" s="3">
        <v>130</v>
      </c>
      <c r="AK32">
        <v>-6.8000000000000005E-2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10">
        <v>68</v>
      </c>
      <c r="AT32" s="16">
        <f t="shared" si="20"/>
        <v>116.284684133648</v>
      </c>
      <c r="AU32" s="17">
        <f t="shared" si="21"/>
        <v>-104.399829283</v>
      </c>
      <c r="AW32" s="6">
        <f t="shared" si="22"/>
        <v>96.818667341003831</v>
      </c>
      <c r="AX32" s="7">
        <f t="shared" si="23"/>
        <v>-76.829431288000009</v>
      </c>
      <c r="AZ32" s="11">
        <f t="shared" si="24"/>
        <v>115.61684615499202</v>
      </c>
      <c r="BA32" s="12">
        <f t="shared" si="25"/>
        <v>9.9922919099999987</v>
      </c>
      <c r="BC32" s="13">
        <f t="shared" si="26"/>
        <v>117.9279316235648</v>
      </c>
      <c r="BD32" s="14">
        <f t="shared" si="27"/>
        <v>60.748989379999998</v>
      </c>
      <c r="BF32" s="16">
        <f t="shared" si="28"/>
        <v>116.284684133648</v>
      </c>
      <c r="BG32" s="17">
        <f t="shared" si="29"/>
        <v>-104.399829283</v>
      </c>
      <c r="BI32">
        <v>68</v>
      </c>
      <c r="BJ32" t="s">
        <v>58</v>
      </c>
      <c r="BK32" s="2">
        <v>45924.050868055558</v>
      </c>
      <c r="BL32">
        <v>395</v>
      </c>
      <c r="BM32" t="s">
        <v>13</v>
      </c>
      <c r="BN32">
        <v>0</v>
      </c>
      <c r="BO32">
        <v>2.8650000000000002</v>
      </c>
      <c r="BP32" s="3">
        <v>1031551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45924.072060185186</v>
      </c>
      <c r="D33">
        <v>389</v>
      </c>
      <c r="E33" t="s">
        <v>13</v>
      </c>
      <c r="F33">
        <v>0</v>
      </c>
      <c r="G33">
        <v>6.056</v>
      </c>
      <c r="H33" s="3">
        <v>5675</v>
      </c>
      <c r="I33">
        <v>1.2999999999999999E-2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45924.072060185186</v>
      </c>
      <c r="R33">
        <v>389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45924.072060185186</v>
      </c>
      <c r="AF33">
        <v>389</v>
      </c>
      <c r="AG33" t="s">
        <v>13</v>
      </c>
      <c r="AH33">
        <v>0</v>
      </c>
      <c r="AI33" t="s">
        <v>14</v>
      </c>
      <c r="AJ33" s="3" t="s">
        <v>14</v>
      </c>
      <c r="AK33" t="s">
        <v>14</v>
      </c>
      <c r="AL33" t="s">
        <v>14</v>
      </c>
      <c r="AM33" t="s">
        <v>14</v>
      </c>
      <c r="AN33" t="s">
        <v>14</v>
      </c>
      <c r="AO33" t="s">
        <v>14</v>
      </c>
      <c r="AQ33">
        <v>2</v>
      </c>
      <c r="AR33" t="s">
        <v>66</v>
      </c>
      <c r="AS33" s="10">
        <v>69</v>
      </c>
      <c r="AT33" s="16">
        <f t="shared" si="20"/>
        <v>16.764872373125002</v>
      </c>
      <c r="AU33" s="17" t="e">
        <f t="shared" si="21"/>
        <v>#VALUE!</v>
      </c>
      <c r="AW33" s="6">
        <f t="shared" si="22"/>
        <v>7.6125348125000016</v>
      </c>
      <c r="AX33" s="7" t="e">
        <f t="shared" si="23"/>
        <v>#VALUE!</v>
      </c>
      <c r="AZ33" s="11">
        <f t="shared" si="24"/>
        <v>3.069662499999998</v>
      </c>
      <c r="BA33" s="12" t="e">
        <f t="shared" si="25"/>
        <v>#VALUE!</v>
      </c>
      <c r="BC33" s="13">
        <f t="shared" si="26"/>
        <v>11.950004412499998</v>
      </c>
      <c r="BD33" s="14" t="e">
        <f t="shared" si="27"/>
        <v>#VALUE!</v>
      </c>
      <c r="BF33" s="16">
        <f t="shared" si="28"/>
        <v>16.764872373125002</v>
      </c>
      <c r="BG33" s="17" t="e">
        <f t="shared" si="29"/>
        <v>#VALUE!</v>
      </c>
      <c r="BI33">
        <v>69</v>
      </c>
      <c r="BJ33" t="s">
        <v>59</v>
      </c>
      <c r="BK33" s="2">
        <v>45924.072060185186</v>
      </c>
      <c r="BL33">
        <v>389</v>
      </c>
      <c r="BM33" t="s">
        <v>13</v>
      </c>
      <c r="BN33">
        <v>0</v>
      </c>
      <c r="BO33">
        <v>2.8719999999999999</v>
      </c>
      <c r="BP33" s="3">
        <v>890507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45924.093287037038</v>
      </c>
      <c r="D34">
        <v>298</v>
      </c>
      <c r="E34" t="s">
        <v>13</v>
      </c>
      <c r="F34">
        <v>0</v>
      </c>
      <c r="G34">
        <v>6.0439999999999996</v>
      </c>
      <c r="H34" s="3">
        <v>95303</v>
      </c>
      <c r="I34">
        <v>0.215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45924.093287037038</v>
      </c>
      <c r="R34">
        <v>298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45924.093287037038</v>
      </c>
      <c r="AF34">
        <v>298</v>
      </c>
      <c r="AG34" t="s">
        <v>13</v>
      </c>
      <c r="AH34">
        <v>0</v>
      </c>
      <c r="AI34">
        <v>12.103999999999999</v>
      </c>
      <c r="AJ34" s="3">
        <v>94985</v>
      </c>
      <c r="AK34">
        <v>20.605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10">
        <v>70</v>
      </c>
      <c r="AT34" s="16">
        <f t="shared" si="20"/>
        <v>256.39290594423301</v>
      </c>
      <c r="AU34" s="17">
        <f t="shared" si="21"/>
        <v>20888.064264610501</v>
      </c>
      <c r="AW34" s="6">
        <f t="shared" si="22"/>
        <v>220.5699264179031</v>
      </c>
      <c r="AX34" s="7">
        <f t="shared" si="23"/>
        <v>19299.454226258</v>
      </c>
      <c r="AZ34" s="11">
        <f t="shared" si="24"/>
        <v>265.26367132720696</v>
      </c>
      <c r="BA34" s="12">
        <f t="shared" si="25"/>
        <v>21381.7785557975</v>
      </c>
      <c r="BC34" s="13">
        <f t="shared" si="26"/>
        <v>269.33932426956079</v>
      </c>
      <c r="BD34" s="14">
        <f t="shared" si="27"/>
        <v>18827.903230093249</v>
      </c>
      <c r="BF34" s="16">
        <f t="shared" si="28"/>
        <v>256.39290594423301</v>
      </c>
      <c r="BG34" s="17">
        <f t="shared" si="29"/>
        <v>20888.064264610501</v>
      </c>
      <c r="BI34">
        <v>70</v>
      </c>
      <c r="BJ34" t="s">
        <v>60</v>
      </c>
      <c r="BK34" s="2">
        <v>45924.093287037038</v>
      </c>
      <c r="BL34">
        <v>298</v>
      </c>
      <c r="BM34" t="s">
        <v>13</v>
      </c>
      <c r="BN34">
        <v>0</v>
      </c>
      <c r="BO34">
        <v>2.87</v>
      </c>
      <c r="BP34" s="3">
        <v>909698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45924.114490740743</v>
      </c>
      <c r="D35">
        <v>41</v>
      </c>
      <c r="E35" t="s">
        <v>13</v>
      </c>
      <c r="F35">
        <v>0</v>
      </c>
      <c r="G35">
        <v>6.0439999999999996</v>
      </c>
      <c r="H35" s="3">
        <v>118593</v>
      </c>
      <c r="I35">
        <v>0.26800000000000002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45924.114490740743</v>
      </c>
      <c r="R35">
        <v>41</v>
      </c>
      <c r="S35" t="s">
        <v>13</v>
      </c>
      <c r="T35">
        <v>0</v>
      </c>
      <c r="U35">
        <v>6.0019999999999998</v>
      </c>
      <c r="V35">
        <v>954</v>
      </c>
      <c r="W35">
        <v>0.32600000000000001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45924.114490740743</v>
      </c>
      <c r="AF35">
        <v>41</v>
      </c>
      <c r="AG35" t="s">
        <v>13</v>
      </c>
      <c r="AH35">
        <v>0</v>
      </c>
      <c r="AI35">
        <v>12.151999999999999</v>
      </c>
      <c r="AJ35">
        <v>128</v>
      </c>
      <c r="AK35">
        <v>-6.8000000000000005E-2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10">
        <v>71</v>
      </c>
      <c r="AT35" s="16">
        <f t="shared" si="20"/>
        <v>317.54651519231294</v>
      </c>
      <c r="AU35" s="17">
        <f t="shared" si="21"/>
        <v>-104.85520396288</v>
      </c>
      <c r="AW35" s="6">
        <f t="shared" si="22"/>
        <v>274.85362530626952</v>
      </c>
      <c r="AX35" s="7">
        <f t="shared" si="23"/>
        <v>-77.24281811968001</v>
      </c>
      <c r="AZ35" s="11">
        <f t="shared" si="24"/>
        <v>328.27909845352701</v>
      </c>
      <c r="BA35" s="12">
        <f t="shared" si="25"/>
        <v>9.5045272575999995</v>
      </c>
      <c r="BC35" s="13">
        <f t="shared" si="26"/>
        <v>335.41833726136878</v>
      </c>
      <c r="BD35" s="14">
        <f t="shared" si="27"/>
        <v>60.339020236799996</v>
      </c>
      <c r="BF35" s="16">
        <f t="shared" si="28"/>
        <v>317.54651519231294</v>
      </c>
      <c r="BG35" s="17">
        <f t="shared" si="29"/>
        <v>-104.85520396288</v>
      </c>
      <c r="BI35">
        <v>71</v>
      </c>
      <c r="BJ35" t="s">
        <v>61</v>
      </c>
      <c r="BK35" s="2">
        <v>45924.114490740743</v>
      </c>
      <c r="BL35">
        <v>41</v>
      </c>
      <c r="BM35" t="s">
        <v>13</v>
      </c>
      <c r="BN35">
        <v>0</v>
      </c>
      <c r="BO35">
        <v>2.8679999999999999</v>
      </c>
      <c r="BP35" s="3">
        <v>969747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45924.135717592595</v>
      </c>
      <c r="D36">
        <v>299</v>
      </c>
      <c r="E36" t="s">
        <v>13</v>
      </c>
      <c r="F36">
        <v>0</v>
      </c>
      <c r="G36">
        <v>6.0449999999999999</v>
      </c>
      <c r="H36" s="3">
        <v>168556</v>
      </c>
      <c r="I36">
        <v>0.38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45924.135717592595</v>
      </c>
      <c r="R36">
        <v>299</v>
      </c>
      <c r="S36" t="s">
        <v>13</v>
      </c>
      <c r="T36">
        <v>0</v>
      </c>
      <c r="U36">
        <v>5.9889999999999999</v>
      </c>
      <c r="V36" s="3">
        <v>1699</v>
      </c>
      <c r="W36">
        <v>0.51100000000000001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45924.135717592595</v>
      </c>
      <c r="AF36">
        <v>299</v>
      </c>
      <c r="AG36" t="s">
        <v>13</v>
      </c>
      <c r="AH36">
        <v>0</v>
      </c>
      <c r="AI36">
        <v>12.215999999999999</v>
      </c>
      <c r="AJ36" s="3">
        <v>1766</v>
      </c>
      <c r="AK36">
        <v>0.29099999999999998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10">
        <v>72</v>
      </c>
      <c r="AT36" s="16">
        <f t="shared" si="20"/>
        <v>447.77406608923195</v>
      </c>
      <c r="AU36" s="17">
        <f t="shared" si="21"/>
        <v>267.96516264308002</v>
      </c>
      <c r="AW36" s="6">
        <f t="shared" si="22"/>
        <v>391.01125598154653</v>
      </c>
      <c r="AX36" s="7">
        <f t="shared" si="23"/>
        <v>261.25260934687998</v>
      </c>
      <c r="AZ36" s="11">
        <f t="shared" si="24"/>
        <v>457.69156366052806</v>
      </c>
      <c r="BA36" s="12">
        <f t="shared" si="25"/>
        <v>407.76153538840003</v>
      </c>
      <c r="BC36" s="13">
        <f t="shared" si="26"/>
        <v>476.1177110607232</v>
      </c>
      <c r="BD36" s="14">
        <f t="shared" si="27"/>
        <v>395.94349839120002</v>
      </c>
      <c r="BF36" s="16">
        <f t="shared" si="28"/>
        <v>447.77406608923195</v>
      </c>
      <c r="BG36" s="17">
        <f t="shared" si="29"/>
        <v>267.96516264308002</v>
      </c>
      <c r="BI36">
        <v>72</v>
      </c>
      <c r="BJ36" t="s">
        <v>62</v>
      </c>
      <c r="BK36" s="2">
        <v>45924.135717592595</v>
      </c>
      <c r="BL36">
        <v>299</v>
      </c>
      <c r="BM36" t="s">
        <v>13</v>
      </c>
      <c r="BN36">
        <v>0</v>
      </c>
      <c r="BO36">
        <v>2.8580000000000001</v>
      </c>
      <c r="BP36" s="3">
        <v>1172628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45924.156956018516</v>
      </c>
      <c r="D37">
        <v>336</v>
      </c>
      <c r="E37" t="s">
        <v>13</v>
      </c>
      <c r="F37">
        <v>0</v>
      </c>
      <c r="G37">
        <v>5.9539999999999997</v>
      </c>
      <c r="H37" s="3">
        <v>35187414</v>
      </c>
      <c r="I37">
        <v>87.555000000000007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45924.156956018516</v>
      </c>
      <c r="R37">
        <v>336</v>
      </c>
      <c r="S37" t="s">
        <v>13</v>
      </c>
      <c r="T37">
        <v>0</v>
      </c>
      <c r="U37">
        <v>5.9160000000000004</v>
      </c>
      <c r="V37" s="3">
        <v>284757</v>
      </c>
      <c r="W37">
        <v>69.331999999999994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45924.156956018516</v>
      </c>
      <c r="AF37">
        <v>336</v>
      </c>
      <c r="AG37" t="s">
        <v>13</v>
      </c>
      <c r="AH37">
        <v>0</v>
      </c>
      <c r="AI37">
        <v>12.31</v>
      </c>
      <c r="AJ37" s="3">
        <v>1376</v>
      </c>
      <c r="AK37">
        <v>0.20499999999999999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10">
        <v>73</v>
      </c>
      <c r="AT37" s="16">
        <f t="shared" si="20"/>
        <v>69069.597892643142</v>
      </c>
      <c r="AU37" s="17">
        <f t="shared" si="21"/>
        <v>179.22229203967999</v>
      </c>
      <c r="AW37" s="6">
        <f t="shared" si="22"/>
        <v>69018.797379430383</v>
      </c>
      <c r="AX37" s="7">
        <f t="shared" si="23"/>
        <v>180.67088104447998</v>
      </c>
      <c r="AZ37" s="11">
        <f t="shared" si="24"/>
        <v>70386.439519020001</v>
      </c>
      <c r="BA37" s="12">
        <f t="shared" si="25"/>
        <v>313.16043120639995</v>
      </c>
      <c r="BC37" s="13">
        <f t="shared" si="26"/>
        <v>75682.981679481003</v>
      </c>
      <c r="BD37" s="14">
        <f t="shared" si="27"/>
        <v>316.06677611520001</v>
      </c>
      <c r="BF37" s="16">
        <f t="shared" si="28"/>
        <v>69069.597892643142</v>
      </c>
      <c r="BG37" s="17">
        <f t="shared" si="29"/>
        <v>179.22229203967999</v>
      </c>
      <c r="BI37">
        <v>73</v>
      </c>
      <c r="BJ37" t="s">
        <v>63</v>
      </c>
      <c r="BK37" s="2">
        <v>45924.156956018516</v>
      </c>
      <c r="BL37">
        <v>336</v>
      </c>
      <c r="BM37" t="s">
        <v>13</v>
      </c>
      <c r="BN37">
        <v>0</v>
      </c>
      <c r="BO37">
        <v>2.7389999999999999</v>
      </c>
      <c r="BP37" s="3">
        <v>4548121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74</v>
      </c>
      <c r="B38" t="s">
        <v>64</v>
      </c>
      <c r="C38" s="2">
        <v>45924.43818287037</v>
      </c>
      <c r="D38" t="s">
        <v>65</v>
      </c>
      <c r="E38" t="s">
        <v>13</v>
      </c>
      <c r="F38">
        <v>0</v>
      </c>
      <c r="G38">
        <v>6.0679999999999996</v>
      </c>
      <c r="H38" s="3">
        <v>5074</v>
      </c>
      <c r="I38">
        <v>1.2E-2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64</v>
      </c>
      <c r="Q38" s="2">
        <v>45924.43818287037</v>
      </c>
      <c r="R38" t="s">
        <v>65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64</v>
      </c>
      <c r="AE38" s="2">
        <v>45924.43818287037</v>
      </c>
      <c r="AF38" t="s">
        <v>65</v>
      </c>
      <c r="AG38" t="s">
        <v>13</v>
      </c>
      <c r="AH38">
        <v>0</v>
      </c>
      <c r="AI38">
        <v>12.315</v>
      </c>
      <c r="AJ38" s="3">
        <v>5930</v>
      </c>
      <c r="AK38">
        <v>1.204</v>
      </c>
      <c r="AL38" t="s">
        <v>14</v>
      </c>
      <c r="AM38" t="s">
        <v>14</v>
      </c>
      <c r="AN38" t="s">
        <v>14</v>
      </c>
      <c r="AO38" t="s">
        <v>14</v>
      </c>
      <c r="AQ38">
        <v>2</v>
      </c>
      <c r="AR38" t="s">
        <v>67</v>
      </c>
      <c r="AS38" s="10">
        <v>74</v>
      </c>
      <c r="AT38" s="16">
        <f t="shared" si="20"/>
        <v>14.617324327667999</v>
      </c>
      <c r="AU38" s="17">
        <f t="shared" si="21"/>
        <v>1214.5354583569999</v>
      </c>
      <c r="AW38" s="6">
        <f t="shared" si="22"/>
        <v>6.1721002628000008</v>
      </c>
      <c r="AX38" s="7">
        <f t="shared" si="23"/>
        <v>1121.133591752</v>
      </c>
      <c r="AZ38" s="11">
        <f t="shared" si="24"/>
        <v>2.4449470399999989</v>
      </c>
      <c r="BA38" s="12">
        <f t="shared" si="25"/>
        <v>1409.1612891100001</v>
      </c>
      <c r="BC38" s="13">
        <f t="shared" si="26"/>
        <v>10.10661849864</v>
      </c>
      <c r="BD38" s="14">
        <f t="shared" si="27"/>
        <v>1247.6471389799997</v>
      </c>
      <c r="BF38" s="16">
        <f t="shared" si="28"/>
        <v>14.617324327667999</v>
      </c>
      <c r="BG38" s="17">
        <f t="shared" si="29"/>
        <v>1214.5354583569999</v>
      </c>
      <c r="BI38">
        <v>74</v>
      </c>
      <c r="BJ38" t="s">
        <v>64</v>
      </c>
      <c r="BK38" s="2">
        <v>45924.43818287037</v>
      </c>
      <c r="BL38" t="s">
        <v>65</v>
      </c>
      <c r="BM38" t="s">
        <v>13</v>
      </c>
      <c r="BN38">
        <v>0</v>
      </c>
      <c r="BO38">
        <v>2.8330000000000002</v>
      </c>
      <c r="BP38" s="3">
        <v>1727299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1:73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1:73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1:73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1:73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2025-09-24T15:45:02Z</dcterms:modified>
</cp:coreProperties>
</file>