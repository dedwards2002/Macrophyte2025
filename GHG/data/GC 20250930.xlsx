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Shared drives\StreamTeam Analytical Lab\Projects\Carey Misc\2025 season misc analyses\GC 2025\"/>
    </mc:Choice>
  </mc:AlternateContent>
  <xr:revisionPtr revIDLastSave="0" documentId="8_{E38CE390-5A0B-4CA0-9E38-E692DFCEEE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rum CH4 C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15" i="1" l="1"/>
  <c r="AU15" i="1"/>
  <c r="AW15" i="1"/>
  <c r="AX15" i="1"/>
  <c r="AZ15" i="1"/>
  <c r="BA15" i="1"/>
  <c r="BC15" i="1"/>
  <c r="BD15" i="1"/>
  <c r="BF15" i="1"/>
  <c r="BG15" i="1"/>
  <c r="AT16" i="1"/>
  <c r="AU16" i="1"/>
  <c r="AW16" i="1"/>
  <c r="AX16" i="1"/>
  <c r="AZ16" i="1"/>
  <c r="BA16" i="1"/>
  <c r="BC16" i="1"/>
  <c r="BD16" i="1"/>
  <c r="BF16" i="1"/>
  <c r="BG16" i="1"/>
  <c r="AT17" i="1"/>
  <c r="AU17" i="1"/>
  <c r="AW17" i="1"/>
  <c r="AX17" i="1"/>
  <c r="AZ17" i="1"/>
  <c r="BA17" i="1"/>
  <c r="BC17" i="1"/>
  <c r="BD17" i="1"/>
  <c r="BF17" i="1"/>
  <c r="BG17" i="1"/>
  <c r="AT18" i="1"/>
  <c r="AU18" i="1"/>
  <c r="AW18" i="1"/>
  <c r="AX18" i="1"/>
  <c r="AZ18" i="1"/>
  <c r="BA18" i="1"/>
  <c r="BC18" i="1"/>
  <c r="BD18" i="1"/>
  <c r="BF18" i="1"/>
  <c r="BG18" i="1"/>
  <c r="AT19" i="1"/>
  <c r="AU19" i="1"/>
  <c r="AW19" i="1"/>
  <c r="AX19" i="1"/>
  <c r="AZ19" i="1"/>
  <c r="BA19" i="1"/>
  <c r="BC19" i="1"/>
  <c r="BD19" i="1"/>
  <c r="BF19" i="1"/>
  <c r="BG19" i="1"/>
  <c r="AT20" i="1"/>
  <c r="AU20" i="1"/>
  <c r="AW20" i="1"/>
  <c r="AX20" i="1"/>
  <c r="AZ20" i="1"/>
  <c r="BA20" i="1"/>
  <c r="BC20" i="1"/>
  <c r="BD20" i="1"/>
  <c r="BF20" i="1"/>
  <c r="BG20" i="1"/>
  <c r="AT21" i="1"/>
  <c r="AU21" i="1"/>
  <c r="AW21" i="1"/>
  <c r="AX21" i="1"/>
  <c r="AZ21" i="1"/>
  <c r="BA21" i="1"/>
  <c r="BC21" i="1"/>
  <c r="BD21" i="1"/>
  <c r="BF21" i="1"/>
  <c r="BG21" i="1"/>
  <c r="AT22" i="1"/>
  <c r="AU22" i="1"/>
  <c r="AW22" i="1"/>
  <c r="AX22" i="1"/>
  <c r="AZ22" i="1"/>
  <c r="BA22" i="1"/>
  <c r="BC22" i="1"/>
  <c r="BD22" i="1"/>
  <c r="BF22" i="1"/>
  <c r="BG22" i="1"/>
  <c r="AT23" i="1"/>
  <c r="AU23" i="1"/>
  <c r="AW23" i="1"/>
  <c r="AX23" i="1"/>
  <c r="AZ23" i="1"/>
  <c r="BA23" i="1"/>
  <c r="BC23" i="1"/>
  <c r="BD23" i="1"/>
  <c r="BF23" i="1"/>
  <c r="BG23" i="1"/>
  <c r="AT24" i="1"/>
  <c r="AU24" i="1"/>
  <c r="AW24" i="1"/>
  <c r="AX24" i="1"/>
  <c r="AZ24" i="1"/>
  <c r="BA24" i="1"/>
  <c r="BC24" i="1"/>
  <c r="BD24" i="1"/>
  <c r="BF24" i="1"/>
  <c r="BG24" i="1"/>
  <c r="AT25" i="1"/>
  <c r="AU25" i="1"/>
  <c r="AW25" i="1"/>
  <c r="AX25" i="1"/>
  <c r="AZ25" i="1"/>
  <c r="BA25" i="1"/>
  <c r="BC25" i="1"/>
  <c r="BD25" i="1"/>
  <c r="BF25" i="1"/>
  <c r="BG25" i="1"/>
  <c r="AT26" i="1"/>
  <c r="AU26" i="1"/>
  <c r="AW26" i="1"/>
  <c r="AX26" i="1"/>
  <c r="AZ26" i="1"/>
  <c r="BA26" i="1"/>
  <c r="BC26" i="1"/>
  <c r="BD26" i="1"/>
  <c r="BF26" i="1"/>
  <c r="BG26" i="1"/>
  <c r="AT27" i="1"/>
  <c r="AU27" i="1"/>
  <c r="AW27" i="1"/>
  <c r="AX27" i="1"/>
  <c r="AZ27" i="1"/>
  <c r="BA27" i="1"/>
  <c r="BC27" i="1"/>
  <c r="BD27" i="1"/>
  <c r="BF27" i="1"/>
  <c r="BG27" i="1"/>
  <c r="AT28" i="1"/>
  <c r="AU28" i="1"/>
  <c r="AW28" i="1"/>
  <c r="AX28" i="1"/>
  <c r="AZ28" i="1"/>
  <c r="BA28" i="1"/>
  <c r="BC28" i="1"/>
  <c r="BD28" i="1"/>
  <c r="BF28" i="1"/>
  <c r="BG28" i="1"/>
  <c r="AT29" i="1"/>
  <c r="AU29" i="1"/>
  <c r="AW29" i="1"/>
  <c r="AX29" i="1"/>
  <c r="AZ29" i="1"/>
  <c r="BA29" i="1"/>
  <c r="BC29" i="1"/>
  <c r="BD29" i="1"/>
  <c r="BF29" i="1"/>
  <c r="BG29" i="1"/>
  <c r="AT30" i="1"/>
  <c r="AU30" i="1"/>
  <c r="AW30" i="1"/>
  <c r="AX30" i="1"/>
  <c r="AZ30" i="1"/>
  <c r="BA30" i="1"/>
  <c r="BC30" i="1"/>
  <c r="BD30" i="1"/>
  <c r="BF30" i="1"/>
  <c r="BG30" i="1"/>
  <c r="AT31" i="1"/>
  <c r="AU31" i="1"/>
  <c r="AW31" i="1"/>
  <c r="AX31" i="1"/>
  <c r="AZ31" i="1"/>
  <c r="BA31" i="1"/>
  <c r="BC31" i="1"/>
  <c r="BD31" i="1"/>
  <c r="BF31" i="1"/>
  <c r="BG31" i="1"/>
  <c r="AT32" i="1"/>
  <c r="AU32" i="1"/>
  <c r="AW32" i="1"/>
  <c r="AX32" i="1"/>
  <c r="AZ32" i="1"/>
  <c r="BA32" i="1"/>
  <c r="BC32" i="1"/>
  <c r="BD32" i="1"/>
  <c r="BF32" i="1"/>
  <c r="BG32" i="1"/>
  <c r="AT33" i="1"/>
  <c r="AU33" i="1"/>
  <c r="AW33" i="1"/>
  <c r="AX33" i="1"/>
  <c r="AZ33" i="1"/>
  <c r="BA33" i="1"/>
  <c r="BC33" i="1"/>
  <c r="BD33" i="1"/>
  <c r="BF33" i="1"/>
  <c r="BG33" i="1"/>
  <c r="AT34" i="1"/>
  <c r="AU34" i="1"/>
  <c r="AW34" i="1"/>
  <c r="AX34" i="1"/>
  <c r="AZ34" i="1"/>
  <c r="BA34" i="1"/>
  <c r="BC34" i="1"/>
  <c r="BD34" i="1"/>
  <c r="BF34" i="1"/>
  <c r="BG34" i="1"/>
  <c r="AT35" i="1"/>
  <c r="AU35" i="1"/>
  <c r="AW35" i="1"/>
  <c r="AX35" i="1"/>
  <c r="AZ35" i="1"/>
  <c r="BA35" i="1"/>
  <c r="BC35" i="1"/>
  <c r="BD35" i="1"/>
  <c r="BF35" i="1"/>
  <c r="BG35" i="1"/>
  <c r="AT36" i="1"/>
  <c r="AU36" i="1"/>
  <c r="AW36" i="1"/>
  <c r="AX36" i="1"/>
  <c r="AZ36" i="1"/>
  <c r="BA36" i="1"/>
  <c r="BC36" i="1"/>
  <c r="BD36" i="1"/>
  <c r="BF36" i="1"/>
  <c r="BG36" i="1"/>
  <c r="AT37" i="1"/>
  <c r="AU37" i="1"/>
  <c r="AW37" i="1"/>
  <c r="AX37" i="1"/>
  <c r="AZ37" i="1"/>
  <c r="BA37" i="1"/>
  <c r="BC37" i="1"/>
  <c r="BD37" i="1"/>
  <c r="BF37" i="1"/>
  <c r="BG37" i="1"/>
  <c r="AT38" i="1"/>
  <c r="AU38" i="1"/>
  <c r="AW38" i="1"/>
  <c r="AX38" i="1"/>
  <c r="AZ38" i="1"/>
  <c r="BA38" i="1"/>
  <c r="BC38" i="1"/>
  <c r="BD38" i="1"/>
  <c r="BF38" i="1"/>
  <c r="BG38" i="1"/>
  <c r="AT39" i="1"/>
  <c r="AU39" i="1"/>
  <c r="AW39" i="1"/>
  <c r="AX39" i="1"/>
  <c r="AZ39" i="1"/>
  <c r="BA39" i="1"/>
  <c r="BC39" i="1"/>
  <c r="BD39" i="1"/>
  <c r="BF39" i="1"/>
  <c r="BG39" i="1"/>
  <c r="AT40" i="1"/>
  <c r="AU40" i="1"/>
  <c r="AW40" i="1"/>
  <c r="AX40" i="1"/>
  <c r="AZ40" i="1"/>
  <c r="BA40" i="1"/>
  <c r="BC40" i="1"/>
  <c r="BD40" i="1"/>
  <c r="BF40" i="1"/>
  <c r="BG40" i="1"/>
  <c r="AT41" i="1"/>
  <c r="AU41" i="1"/>
  <c r="AW41" i="1"/>
  <c r="AX41" i="1"/>
  <c r="AZ41" i="1"/>
  <c r="BA41" i="1"/>
  <c r="BC41" i="1"/>
  <c r="BD41" i="1"/>
  <c r="BF41" i="1"/>
  <c r="BG41" i="1"/>
  <c r="AT42" i="1"/>
  <c r="AU42" i="1"/>
  <c r="AW42" i="1"/>
  <c r="AX42" i="1"/>
  <c r="AZ42" i="1"/>
  <c r="BA42" i="1"/>
  <c r="BC42" i="1"/>
  <c r="BD42" i="1"/>
  <c r="BF42" i="1"/>
  <c r="BG42" i="1"/>
  <c r="AT43" i="1"/>
  <c r="AU43" i="1"/>
  <c r="AW43" i="1"/>
  <c r="AX43" i="1"/>
  <c r="AZ43" i="1"/>
  <c r="BA43" i="1"/>
  <c r="BC43" i="1"/>
  <c r="BD43" i="1"/>
  <c r="BF43" i="1"/>
  <c r="BG43" i="1"/>
  <c r="AT44" i="1"/>
  <c r="AU44" i="1"/>
  <c r="AW44" i="1"/>
  <c r="AX44" i="1"/>
  <c r="AZ44" i="1"/>
  <c r="BA44" i="1"/>
  <c r="BC44" i="1"/>
  <c r="BD44" i="1"/>
  <c r="BF44" i="1"/>
  <c r="BG44" i="1"/>
  <c r="AT45" i="1"/>
  <c r="AU45" i="1"/>
  <c r="AW45" i="1"/>
  <c r="AX45" i="1"/>
  <c r="AZ45" i="1"/>
  <c r="BA45" i="1"/>
  <c r="BC45" i="1"/>
  <c r="BD45" i="1"/>
  <c r="BF45" i="1"/>
  <c r="BG45" i="1"/>
  <c r="AT46" i="1"/>
  <c r="AU46" i="1"/>
  <c r="AW46" i="1"/>
  <c r="AX46" i="1"/>
  <c r="AZ46" i="1"/>
  <c r="BA46" i="1"/>
  <c r="BC46" i="1"/>
  <c r="BD46" i="1"/>
  <c r="BF46" i="1"/>
  <c r="BG46" i="1"/>
  <c r="AT9" i="1" l="1"/>
  <c r="AU9" i="1"/>
  <c r="AW9" i="1"/>
  <c r="AX9" i="1"/>
  <c r="AZ9" i="1"/>
  <c r="BA9" i="1"/>
  <c r="BC9" i="1"/>
  <c r="BD9" i="1"/>
  <c r="BF9" i="1"/>
  <c r="BG9" i="1"/>
  <c r="AT10" i="1"/>
  <c r="AU10" i="1"/>
  <c r="AW10" i="1"/>
  <c r="AX10" i="1"/>
  <c r="AZ10" i="1"/>
  <c r="BA10" i="1"/>
  <c r="BC10" i="1"/>
  <c r="BD10" i="1"/>
  <c r="BF10" i="1"/>
  <c r="BG10" i="1"/>
  <c r="AT11" i="1"/>
  <c r="AU11" i="1"/>
  <c r="AW11" i="1"/>
  <c r="AX11" i="1"/>
  <c r="AZ11" i="1"/>
  <c r="BA11" i="1"/>
  <c r="BC11" i="1"/>
  <c r="BD11" i="1"/>
  <c r="BF11" i="1"/>
  <c r="BG11" i="1"/>
  <c r="AT12" i="1"/>
  <c r="AU12" i="1"/>
  <c r="AW12" i="1"/>
  <c r="AX12" i="1"/>
  <c r="AZ12" i="1"/>
  <c r="BA12" i="1"/>
  <c r="BC12" i="1"/>
  <c r="BD12" i="1"/>
  <c r="BF12" i="1"/>
  <c r="BG12" i="1"/>
  <c r="AT13" i="1"/>
  <c r="AU13" i="1"/>
  <c r="AW13" i="1"/>
  <c r="AX13" i="1"/>
  <c r="AZ13" i="1"/>
  <c r="BA13" i="1"/>
  <c r="BC13" i="1"/>
  <c r="BD13" i="1"/>
  <c r="BF13" i="1"/>
  <c r="BG13" i="1"/>
  <c r="AT14" i="1"/>
  <c r="AU14" i="1"/>
  <c r="AW14" i="1"/>
  <c r="AX14" i="1"/>
  <c r="AZ14" i="1"/>
  <c r="BA14" i="1"/>
  <c r="BC14" i="1"/>
  <c r="BD14" i="1"/>
  <c r="BF14" i="1"/>
  <c r="BG14" i="1"/>
</calcChain>
</file>

<file path=xl/sharedStrings.xml><?xml version="1.0" encoding="utf-8"?>
<sst xmlns="http://schemas.openxmlformats.org/spreadsheetml/2006/main" count="1101" uniqueCount="80">
  <si>
    <t>Data#</t>
  </si>
  <si>
    <t>Data Filename</t>
  </si>
  <si>
    <t>Date Acquired</t>
  </si>
  <si>
    <t>Sample Name</t>
  </si>
  <si>
    <t>Sample Type</t>
  </si>
  <si>
    <t>Level#</t>
  </si>
  <si>
    <t>Ret. Time</t>
  </si>
  <si>
    <t>Area</t>
  </si>
  <si>
    <t>Conc. (ppt)</t>
  </si>
  <si>
    <t>Std. Conc.</t>
  </si>
  <si>
    <t>Cal. Point</t>
  </si>
  <si>
    <t>Accuracy[%]</t>
  </si>
  <si>
    <t>Deviation</t>
  </si>
  <si>
    <t>Unknown</t>
  </si>
  <si>
    <t>-----</t>
  </si>
  <si>
    <t>CH4 by FID</t>
  </si>
  <si>
    <t>CH4 by TCD</t>
  </si>
  <si>
    <t>CO2 by TCD</t>
  </si>
  <si>
    <t>Note</t>
  </si>
  <si>
    <t>Order</t>
  </si>
  <si>
    <t>Season specific CAL Measured headspace CO2 in ppm from GC in ppm</t>
  </si>
  <si>
    <t>AIR</t>
  </si>
  <si>
    <t>2023 ranged CAL Measured headspace CH4  in ppm from GC in ppm</t>
  </si>
  <si>
    <t>2023 CAL Measured headspace CO2 in ppm from GC in ppm</t>
  </si>
  <si>
    <t>Season specific ranged CAL Measured headspace CH4  in ppm from GC in ppm</t>
  </si>
  <si>
    <t>2022 ranged CAL Measured headspace CH4  in ppm from GC in ppm</t>
  </si>
  <si>
    <t>2022 CAL Measured headspace CO2 in ppm from GC in ppm</t>
  </si>
  <si>
    <t>2024 ranged CAL Measured headspace CH4  in ppm from GC in ppm</t>
  </si>
  <si>
    <t>QC reference tank</t>
  </si>
  <si>
    <t>Analyst Data Quality Code (1=no problems, 2=note, 3=fatal flaws)</t>
  </si>
  <si>
    <t>2025 ranged CAL Measured headspace CH4  in ppm from GC in ppm</t>
  </si>
  <si>
    <t>2025 CAL Measured headspace CO2 in ppm from GC in ppm</t>
  </si>
  <si>
    <t>2024 CAL Measured headspace CO2 in ppm from GC in ppm</t>
  </si>
  <si>
    <t>QC outside air</t>
  </si>
  <si>
    <t>QC spiked air</t>
  </si>
  <si>
    <t>FMI20250930_001.gcd</t>
  </si>
  <si>
    <t>FMI20250930_002.gcd</t>
  </si>
  <si>
    <t>FMI20250930_003.gcd</t>
  </si>
  <si>
    <t>FMI20250930_004.gcd</t>
  </si>
  <si>
    <t>FMI20250930_005.gcd</t>
  </si>
  <si>
    <t>FMI20250930_006.gcd</t>
  </si>
  <si>
    <t>FMI20250930_007.gcd</t>
  </si>
  <si>
    <t>FMI20250930_008.gcd</t>
  </si>
  <si>
    <t>FMI20250930_009.gcd</t>
  </si>
  <si>
    <t>FMI20250930_010.gcd</t>
  </si>
  <si>
    <t>FMI20250930_011.gcd</t>
  </si>
  <si>
    <t>FMI20250930_012.gcd</t>
  </si>
  <si>
    <t>FMI20250930_013.gcd</t>
  </si>
  <si>
    <t>FMI20250930_014.gcd</t>
  </si>
  <si>
    <t>FMI20250930_015.gcd</t>
  </si>
  <si>
    <t>FMI20250930_016.gcd</t>
  </si>
  <si>
    <t>FMI20250930_017.gcd</t>
  </si>
  <si>
    <t>FMI20250930_018.gcd</t>
  </si>
  <si>
    <t>FMI20250930_019.gcd</t>
  </si>
  <si>
    <t>FMI20250930_020.gcd</t>
  </si>
  <si>
    <t>FMI20250930_021.gcd</t>
  </si>
  <si>
    <t>FMI20250930_022.gcd</t>
  </si>
  <si>
    <t>FMI20250930_023.gcd</t>
  </si>
  <si>
    <t>FMI20250930_024.gcd</t>
  </si>
  <si>
    <t>FMI20250930_025.gcd</t>
  </si>
  <si>
    <t>FMI20250930_026.gcd</t>
  </si>
  <si>
    <t>FMI20250930_027.gcd</t>
  </si>
  <si>
    <t>FMI20250930_028.gcd</t>
  </si>
  <si>
    <t>FMI20250930_029.gcd</t>
  </si>
  <si>
    <t>FMI20250930_030.gcd</t>
  </si>
  <si>
    <t>FMI20250930_031.gcd</t>
  </si>
  <si>
    <t>FMI20250930_032.gcd</t>
  </si>
  <si>
    <t>FMI20250930_033.gcd</t>
  </si>
  <si>
    <t>FMI20250930_034.gcd</t>
  </si>
  <si>
    <t>FMI20250930_035.gcd</t>
  </si>
  <si>
    <t>FMI20250930_036.gcd</t>
  </si>
  <si>
    <t>FMI20250930_037.gcd</t>
  </si>
  <si>
    <t>131 rerun</t>
  </si>
  <si>
    <t>FMI20250930_038.gcd</t>
  </si>
  <si>
    <t>180 rerun</t>
  </si>
  <si>
    <t>resampled due to AOC error</t>
  </si>
  <si>
    <t>Interference. Do not use CO2. Use CH4.</t>
  </si>
  <si>
    <t>Bad rerun. Do not use.</t>
  </si>
  <si>
    <t>Leaked during headspace creation- tried to estimate volume. If dups don't match, discard this one.</t>
  </si>
  <si>
    <t>Tried to reintegrate. If dups don't match discard this 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</si>
</sst>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2" fontId="0" fillId="33" borderId="0" xfId="0" applyNumberFormat="1" applyFill="1"/>
    <xf numFmtId="1" fontId="0" fillId="33" borderId="0" xfId="0" applyNumberFormat="1" applyFill="1"/>
    <xf numFmtId="0" fontId="18" fillId="0" borderId="0" xfId="0" applyFont="1" applyFill="1" applyAlignment="1">
      <alignment wrapText="1"/>
    </xf>
    <xf numFmtId="0" fontId="0" fillId="0" borderId="0" xfId="0" applyFill="1"/>
    <xf numFmtId="0" fontId="0" fillId="0" borderId="0" xfId="0" applyAlignment="1"/>
    <xf numFmtId="2" fontId="0" fillId="34" borderId="0" xfId="0" applyNumberFormat="1" applyFill="1"/>
    <xf numFmtId="3" fontId="0" fillId="34" borderId="0" xfId="0" applyNumberFormat="1" applyFill="1"/>
    <xf numFmtId="2" fontId="0" fillId="35" borderId="0" xfId="0" applyNumberFormat="1" applyFill="1"/>
    <xf numFmtId="3" fontId="0" fillId="35" borderId="0" xfId="0" applyNumberFormat="1" applyFill="1"/>
    <xf numFmtId="4" fontId="0" fillId="0" borderId="0" xfId="0" applyNumberFormat="1"/>
    <xf numFmtId="2" fontId="0" fillId="36" borderId="0" xfId="0" applyNumberFormat="1" applyFill="1"/>
    <xf numFmtId="3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FF99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BU46"/>
  <sheetViews>
    <sheetView tabSelected="1" topLeftCell="AA9" workbookViewId="0">
      <selection activeCell="AQ33" sqref="AQ33"/>
    </sheetView>
  </sheetViews>
  <sheetFormatPr defaultRowHeight="15" x14ac:dyDescent="0.25"/>
  <cols>
    <col min="2" max="2" width="23.5703125" customWidth="1"/>
    <col min="3" max="3" width="17.85546875" customWidth="1"/>
    <col min="31" max="31" width="21.42578125" customWidth="1"/>
    <col min="43" max="43" width="9.140625" customWidth="1"/>
    <col min="46" max="46" width="9.85546875" customWidth="1"/>
    <col min="47" max="47" width="10" customWidth="1"/>
    <col min="49" max="49" width="9.7109375" customWidth="1"/>
    <col min="50" max="50" width="10" customWidth="1"/>
    <col min="52" max="53" width="9.5703125" customWidth="1"/>
    <col min="55" max="56" width="9.5703125" customWidth="1"/>
    <col min="57" max="57" width="8.7109375" style="9"/>
    <col min="58" max="59" width="9.85546875" customWidth="1"/>
  </cols>
  <sheetData>
    <row r="7" spans="1:73" x14ac:dyDescent="0.25">
      <c r="A7" t="s">
        <v>15</v>
      </c>
      <c r="O7" t="s">
        <v>16</v>
      </c>
      <c r="AC7" t="s">
        <v>17</v>
      </c>
      <c r="BI7" t="s">
        <v>21</v>
      </c>
    </row>
    <row r="8" spans="1:73" ht="150" x14ac:dyDescent="0.25">
      <c r="A8" s="1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O8" s="2" t="s">
        <v>0</v>
      </c>
      <c r="P8" t="s">
        <v>1</v>
      </c>
      <c r="Q8" t="s">
        <v>2</v>
      </c>
      <c r="R8" t="s">
        <v>3</v>
      </c>
      <c r="S8" t="s">
        <v>4</v>
      </c>
      <c r="T8" t="s">
        <v>5</v>
      </c>
      <c r="U8" t="s">
        <v>6</v>
      </c>
      <c r="V8" t="s">
        <v>7</v>
      </c>
      <c r="W8" t="s">
        <v>8</v>
      </c>
      <c r="X8" t="s">
        <v>9</v>
      </c>
      <c r="Y8" t="s">
        <v>10</v>
      </c>
      <c r="Z8" t="s">
        <v>11</v>
      </c>
      <c r="AA8" t="s">
        <v>12</v>
      </c>
      <c r="AC8" t="s">
        <v>0</v>
      </c>
      <c r="AD8" t="s">
        <v>1</v>
      </c>
      <c r="AE8" t="s">
        <v>2</v>
      </c>
      <c r="AF8" t="s">
        <v>3</v>
      </c>
      <c r="AG8" t="s">
        <v>4</v>
      </c>
      <c r="AH8" t="s">
        <v>5</v>
      </c>
      <c r="AI8" t="s">
        <v>6</v>
      </c>
      <c r="AJ8" t="s">
        <v>7</v>
      </c>
      <c r="AK8" t="s">
        <v>8</v>
      </c>
      <c r="AL8" t="s">
        <v>9</v>
      </c>
      <c r="AM8" t="s">
        <v>10</v>
      </c>
      <c r="AN8" t="s">
        <v>11</v>
      </c>
      <c r="AO8" t="s">
        <v>12</v>
      </c>
      <c r="AQ8" s="4" t="s">
        <v>29</v>
      </c>
      <c r="AR8" s="4" t="s">
        <v>18</v>
      </c>
      <c r="AS8" t="s">
        <v>19</v>
      </c>
      <c r="AT8" s="5" t="s">
        <v>24</v>
      </c>
      <c r="AU8" s="5" t="s">
        <v>20</v>
      </c>
      <c r="AV8" s="5"/>
      <c r="AW8" s="5" t="s">
        <v>25</v>
      </c>
      <c r="AX8" s="5" t="s">
        <v>26</v>
      </c>
      <c r="AZ8" s="5" t="s">
        <v>22</v>
      </c>
      <c r="BA8" s="5" t="s">
        <v>23</v>
      </c>
      <c r="BC8" s="5" t="s">
        <v>27</v>
      </c>
      <c r="BD8" s="5" t="s">
        <v>32</v>
      </c>
      <c r="BE8" s="8"/>
      <c r="BF8" s="5" t="s">
        <v>30</v>
      </c>
      <c r="BG8" s="5" t="s">
        <v>31</v>
      </c>
      <c r="BH8" s="5"/>
      <c r="BI8" s="8" t="s">
        <v>0</v>
      </c>
      <c r="BJ8" t="s">
        <v>1</v>
      </c>
      <c r="BK8" t="s">
        <v>2</v>
      </c>
      <c r="BL8" t="s">
        <v>3</v>
      </c>
      <c r="BM8" t="s">
        <v>4</v>
      </c>
      <c r="BN8" t="s">
        <v>5</v>
      </c>
      <c r="BO8" t="s">
        <v>6</v>
      </c>
      <c r="BP8" t="s">
        <v>7</v>
      </c>
      <c r="BQ8" t="s">
        <v>8</v>
      </c>
      <c r="BR8" t="s">
        <v>9</v>
      </c>
      <c r="BS8" t="s">
        <v>10</v>
      </c>
      <c r="BT8" t="s">
        <v>11</v>
      </c>
      <c r="BU8" t="s">
        <v>12</v>
      </c>
    </row>
    <row r="9" spans="1:73" x14ac:dyDescent="0.25">
      <c r="A9">
        <v>45</v>
      </c>
      <c r="B9" t="s">
        <v>35</v>
      </c>
      <c r="C9" s="2">
        <v>45930.524895833332</v>
      </c>
      <c r="D9" t="s">
        <v>33</v>
      </c>
      <c r="E9" t="s">
        <v>13</v>
      </c>
      <c r="F9">
        <v>0</v>
      </c>
      <c r="G9">
        <v>6.1120000000000001</v>
      </c>
      <c r="H9" s="3">
        <v>1585</v>
      </c>
      <c r="I9">
        <v>4.0000000000000001E-3</v>
      </c>
      <c r="J9" t="s">
        <v>14</v>
      </c>
      <c r="K9" t="s">
        <v>14</v>
      </c>
      <c r="L9" t="s">
        <v>14</v>
      </c>
      <c r="M9" t="s">
        <v>14</v>
      </c>
      <c r="O9">
        <v>45</v>
      </c>
      <c r="P9" t="s">
        <v>35</v>
      </c>
      <c r="Q9" s="2">
        <v>45930.524895833332</v>
      </c>
      <c r="R9" t="s">
        <v>33</v>
      </c>
      <c r="S9" t="s">
        <v>13</v>
      </c>
      <c r="T9">
        <v>0</v>
      </c>
      <c r="U9" t="s">
        <v>14</v>
      </c>
      <c r="V9" t="s">
        <v>14</v>
      </c>
      <c r="W9" t="s">
        <v>14</v>
      </c>
      <c r="X9" t="s">
        <v>14</v>
      </c>
      <c r="Y9" t="s">
        <v>14</v>
      </c>
      <c r="Z9" t="s">
        <v>14</v>
      </c>
      <c r="AA9" t="s">
        <v>14</v>
      </c>
      <c r="AC9">
        <v>45</v>
      </c>
      <c r="AD9" t="s">
        <v>35</v>
      </c>
      <c r="AE9" s="2">
        <v>45930.524895833332</v>
      </c>
      <c r="AF9" t="s">
        <v>33</v>
      </c>
      <c r="AG9" t="s">
        <v>13</v>
      </c>
      <c r="AH9">
        <v>0</v>
      </c>
      <c r="AI9">
        <v>12.381</v>
      </c>
      <c r="AJ9" s="3">
        <v>2081</v>
      </c>
      <c r="AK9">
        <v>0.36</v>
      </c>
      <c r="AL9" t="s">
        <v>14</v>
      </c>
      <c r="AM9" t="s">
        <v>14</v>
      </c>
      <c r="AN9" t="s">
        <v>14</v>
      </c>
      <c r="AO9" t="s">
        <v>14</v>
      </c>
      <c r="AQ9">
        <v>1</v>
      </c>
      <c r="AS9" s="10">
        <v>45</v>
      </c>
      <c r="AT9" s="16">
        <f t="shared" ref="AT9:AT14" si="0">IF(H9&lt;10000,((H9^2*0.000000008493)+(H9*0.003482)+(-3.269)),(IF(H9&lt;200000,((H9^2*-0.000000000263)+(H9*0.002682)+(3.179)),(IF(H9&lt;8000000,((H9^2*-0.000000000005099)+(H9*0.002054)+(174.8)),((V9^2*-0.00000001014)+(V9*0.2415)+(1123)))))))</f>
        <v>2.2713063269249991</v>
      </c>
      <c r="AU9" s="17">
        <f t="shared" ref="AU9:AU14" si="1">IF(AJ9&lt;45000,((-0.00000004907*AJ9^2)+(0.2277*AJ9)+(-134)),((-0.00000001062*AJ9^2)+(0.2147*AJ9)+(590.6)))</f>
        <v>339.63119937173002</v>
      </c>
      <c r="AW9" s="6">
        <f t="shared" ref="AW9:AW14" si="2">IF(H9&lt;10000,((0.0000001453*H9^2)+(0.0008349*H9)+(-1.805)),(IF(H9&lt;700000,((-0.00000000008054*H9^2)+(0.002348*H9)+(-2.47)), ((-0.00000001938*V9^2)+(0.2471*V9)+(226.8)))))</f>
        <v>-0.11665720749999986</v>
      </c>
      <c r="AX9" s="7">
        <f t="shared" ref="AX9:AX14" si="3">(-0.00000002552*AJ9^2)+(0.2067*AJ9)+(-103.7)</f>
        <v>326.33218408328003</v>
      </c>
      <c r="AZ9" s="11">
        <f t="shared" ref="AZ9:AZ14" si="4">IF(H9&lt;10000,((H9^2*0.00000054)+(H9*-0.004765)+(12.72)),(IF(H9&lt;200000,((H9^2*-0.000000001577)+(H9*0.003043)+(-10.42)),(IF(H9&lt;8000000,((H9^2*-0.0000000000186)+(H9*0.00194)+(154.1)),((V9^2*-0.00000002)+(V9*0.2565)+(-1032)))))))</f>
        <v>6.5240765000000005</v>
      </c>
      <c r="BA9" s="12">
        <f t="shared" ref="BA9:BA14" si="5">IF(AJ9&lt;45000,((-0.0000004561*AJ9^2)+(0.244*AJ9)+(-21.72)),((-0.0000000409*AJ9^2)+(0.2477*AJ9)+(-1777)))</f>
        <v>484.06883112790001</v>
      </c>
      <c r="BC9" s="13">
        <f t="shared" ref="BC9:BC14" si="6">IF(H9&lt;10000,((H9^2*0.00000005714)+(H9*0.002453)+(-3.811)),(IF(H9&lt;200000,((H9^2*-0.0000000002888)+(H9*0.002899)+(-4.321)),(IF(H9&lt;8000000,((H9^2*-0.0000000000062)+(H9*0.002143)+(157)),((V9^2*-0.000000031)+(V9*0.2771)+(-709.5)))))))</f>
        <v>0.22055353649999976</v>
      </c>
      <c r="BD9" s="14">
        <f t="shared" ref="BD9:BD14" si="7">IF(AJ9&lt;45000,((-0.0000000598*AJ9^2)+(0.205*AJ9)+(34.1)),((-0.00000002403*AJ9^2)+(0.2063*AJ9)+(-550.7)))</f>
        <v>460.44603245219997</v>
      </c>
      <c r="BF9" s="16">
        <f t="shared" ref="BF9:BF14" si="8">IF(H9&lt;10000,((H9^2*0.000000008493)+(H9*0.003482)+(-3.269)),(IF(H9&lt;200000,((H9^2*-0.000000000263)+(H9*0.002682)+(3.179)),(IF(H9&lt;8000000,((H9^2*-0.000000000005099)+(H9*0.002054)+(174.8)),((V9^2*-0.00000001014)+(V9*0.2415)+(1123)))))))</f>
        <v>2.2713063269249991</v>
      </c>
      <c r="BG9" s="17">
        <f t="shared" ref="BG9:BG14" si="9">IF(AJ9&lt;45000,((-0.00000004907*AJ9^2)+(0.2277*AJ9)+(-134)),((-0.00000001062*AJ9^2)+(0.2147*AJ9)+(590.6)))</f>
        <v>339.63119937173002</v>
      </c>
      <c r="BI9">
        <v>45</v>
      </c>
      <c r="BJ9" t="s">
        <v>35</v>
      </c>
      <c r="BK9" s="2">
        <v>45930.524895833332</v>
      </c>
      <c r="BL9" t="s">
        <v>33</v>
      </c>
      <c r="BM9" t="s">
        <v>13</v>
      </c>
      <c r="BN9">
        <v>0</v>
      </c>
      <c r="BO9">
        <v>2.7269999999999999</v>
      </c>
      <c r="BP9" s="3">
        <v>5044698</v>
      </c>
      <c r="BQ9">
        <v>0</v>
      </c>
      <c r="BR9" t="s">
        <v>14</v>
      </c>
      <c r="BS9" t="s">
        <v>14</v>
      </c>
      <c r="BT9" t="s">
        <v>14</v>
      </c>
      <c r="BU9" t="s">
        <v>14</v>
      </c>
    </row>
    <row r="10" spans="1:73" x14ac:dyDescent="0.25">
      <c r="A10">
        <v>46</v>
      </c>
      <c r="B10" t="s">
        <v>36</v>
      </c>
      <c r="C10" s="2">
        <v>45930.59584490741</v>
      </c>
      <c r="D10" t="s">
        <v>34</v>
      </c>
      <c r="E10" t="s">
        <v>13</v>
      </c>
      <c r="F10">
        <v>0</v>
      </c>
      <c r="G10">
        <v>6.0620000000000003</v>
      </c>
      <c r="H10" s="3">
        <v>992601</v>
      </c>
      <c r="I10">
        <v>2.242</v>
      </c>
      <c r="J10" t="s">
        <v>14</v>
      </c>
      <c r="K10" t="s">
        <v>14</v>
      </c>
      <c r="L10" t="s">
        <v>14</v>
      </c>
      <c r="M10" t="s">
        <v>14</v>
      </c>
      <c r="O10">
        <v>46</v>
      </c>
      <c r="P10" t="s">
        <v>36</v>
      </c>
      <c r="Q10" s="2">
        <v>45930.59584490741</v>
      </c>
      <c r="R10" t="s">
        <v>34</v>
      </c>
      <c r="S10" t="s">
        <v>13</v>
      </c>
      <c r="T10">
        <v>0</v>
      </c>
      <c r="U10">
        <v>6.0170000000000003</v>
      </c>
      <c r="V10" s="3">
        <v>8022</v>
      </c>
      <c r="W10">
        <v>2.0750000000000002</v>
      </c>
      <c r="X10" t="s">
        <v>14</v>
      </c>
      <c r="Y10" t="s">
        <v>14</v>
      </c>
      <c r="Z10" t="s">
        <v>14</v>
      </c>
      <c r="AA10" t="s">
        <v>14</v>
      </c>
      <c r="AC10">
        <v>46</v>
      </c>
      <c r="AD10" t="s">
        <v>36</v>
      </c>
      <c r="AE10" s="2">
        <v>45930.59584490741</v>
      </c>
      <c r="AF10" t="s">
        <v>34</v>
      </c>
      <c r="AG10" t="s">
        <v>13</v>
      </c>
      <c r="AH10">
        <v>0</v>
      </c>
      <c r="AI10">
        <v>12.36</v>
      </c>
      <c r="AJ10" s="3">
        <v>9756</v>
      </c>
      <c r="AK10">
        <v>2.0430000000000001</v>
      </c>
      <c r="AL10" t="s">
        <v>14</v>
      </c>
      <c r="AM10" t="s">
        <v>14</v>
      </c>
      <c r="AN10" t="s">
        <v>14</v>
      </c>
      <c r="AO10" t="s">
        <v>14</v>
      </c>
      <c r="AQ10">
        <v>2</v>
      </c>
      <c r="AR10" t="s">
        <v>75</v>
      </c>
      <c r="AS10" s="10">
        <v>46</v>
      </c>
      <c r="AT10" s="16">
        <f t="shared" si="0"/>
        <v>2208.5786298562202</v>
      </c>
      <c r="AU10" s="17">
        <f t="shared" si="1"/>
        <v>2082.7707401684802</v>
      </c>
      <c r="AW10" s="6">
        <f t="shared" si="2"/>
        <v>2207.7890488600797</v>
      </c>
      <c r="AX10" s="7">
        <f t="shared" si="3"/>
        <v>1910.4362182412799</v>
      </c>
      <c r="AZ10" s="11">
        <f t="shared" si="4"/>
        <v>2061.4201645392614</v>
      </c>
      <c r="BA10" s="12">
        <f t="shared" si="5"/>
        <v>2315.3326136303999</v>
      </c>
      <c r="BC10" s="13">
        <f t="shared" si="6"/>
        <v>2278.0353511797539</v>
      </c>
      <c r="BD10" s="14">
        <f t="shared" si="7"/>
        <v>2028.3882637471997</v>
      </c>
      <c r="BF10" s="16">
        <f t="shared" si="8"/>
        <v>2208.5786298562202</v>
      </c>
      <c r="BG10" s="17">
        <f t="shared" si="9"/>
        <v>2082.7707401684802</v>
      </c>
      <c r="BI10">
        <v>46</v>
      </c>
      <c r="BJ10" t="s">
        <v>36</v>
      </c>
      <c r="BK10" s="2">
        <v>45930.59584490741</v>
      </c>
      <c r="BL10" t="s">
        <v>34</v>
      </c>
      <c r="BM10" t="s">
        <v>13</v>
      </c>
      <c r="BN10">
        <v>0</v>
      </c>
      <c r="BO10">
        <v>2.7269999999999999</v>
      </c>
      <c r="BP10" s="3">
        <v>4904957</v>
      </c>
      <c r="BQ10">
        <v>0</v>
      </c>
      <c r="BR10" t="s">
        <v>14</v>
      </c>
      <c r="BS10" t="s">
        <v>14</v>
      </c>
      <c r="BT10" t="s">
        <v>14</v>
      </c>
      <c r="BU10" t="s">
        <v>14</v>
      </c>
    </row>
    <row r="11" spans="1:73" x14ac:dyDescent="0.25">
      <c r="A11">
        <v>47</v>
      </c>
      <c r="B11" t="s">
        <v>37</v>
      </c>
      <c r="C11" s="2">
        <v>45930.617013888892</v>
      </c>
      <c r="D11" t="s">
        <v>28</v>
      </c>
      <c r="E11" t="s">
        <v>13</v>
      </c>
      <c r="F11">
        <v>0</v>
      </c>
      <c r="G11">
        <v>6.0709999999999997</v>
      </c>
      <c r="H11" s="3">
        <v>2657</v>
      </c>
      <c r="I11">
        <v>6.0000000000000001E-3</v>
      </c>
      <c r="J11" t="s">
        <v>14</v>
      </c>
      <c r="K11" t="s">
        <v>14</v>
      </c>
      <c r="L11" t="s">
        <v>14</v>
      </c>
      <c r="M11" t="s">
        <v>14</v>
      </c>
      <c r="O11">
        <v>47</v>
      </c>
      <c r="P11" t="s">
        <v>37</v>
      </c>
      <c r="Q11" s="2">
        <v>45930.617013888892</v>
      </c>
      <c r="R11" t="s">
        <v>28</v>
      </c>
      <c r="S11" t="s">
        <v>13</v>
      </c>
      <c r="T11">
        <v>0</v>
      </c>
      <c r="U11" t="s">
        <v>14</v>
      </c>
      <c r="V11" t="s">
        <v>14</v>
      </c>
      <c r="W11" t="s">
        <v>14</v>
      </c>
      <c r="X11" t="s">
        <v>14</v>
      </c>
      <c r="Y11" t="s">
        <v>14</v>
      </c>
      <c r="Z11" t="s">
        <v>14</v>
      </c>
      <c r="AA11" t="s">
        <v>14</v>
      </c>
      <c r="AC11">
        <v>47</v>
      </c>
      <c r="AD11" t="s">
        <v>37</v>
      </c>
      <c r="AE11" s="2">
        <v>45930.617013888892</v>
      </c>
      <c r="AF11" t="s">
        <v>28</v>
      </c>
      <c r="AG11" t="s">
        <v>13</v>
      </c>
      <c r="AH11">
        <v>0</v>
      </c>
      <c r="AI11">
        <v>12.365</v>
      </c>
      <c r="AJ11" s="3">
        <v>1955</v>
      </c>
      <c r="AK11">
        <v>0.33300000000000002</v>
      </c>
      <c r="AL11" t="s">
        <v>14</v>
      </c>
      <c r="AM11" t="s">
        <v>14</v>
      </c>
      <c r="AN11" t="s">
        <v>14</v>
      </c>
      <c r="AO11" t="s">
        <v>14</v>
      </c>
      <c r="AQ11">
        <v>1</v>
      </c>
      <c r="AS11" s="10">
        <v>47</v>
      </c>
      <c r="AT11" s="16">
        <f t="shared" si="0"/>
        <v>6.0426315989569996</v>
      </c>
      <c r="AU11" s="17">
        <f t="shared" si="1"/>
        <v>310.96595323324999</v>
      </c>
      <c r="AW11" s="6">
        <f t="shared" si="2"/>
        <v>1.4390962996999999</v>
      </c>
      <c r="AX11" s="7">
        <f t="shared" si="3"/>
        <v>300.300961922</v>
      </c>
      <c r="AZ11" s="11">
        <f t="shared" si="4"/>
        <v>3.8716054599999996</v>
      </c>
      <c r="BA11" s="12">
        <f t="shared" si="5"/>
        <v>453.55677439750002</v>
      </c>
      <c r="BC11" s="13">
        <f t="shared" si="6"/>
        <v>3.1100093438599998</v>
      </c>
      <c r="BD11" s="14">
        <f t="shared" si="7"/>
        <v>434.64644290500001</v>
      </c>
      <c r="BF11" s="16">
        <f t="shared" si="8"/>
        <v>6.0426315989569996</v>
      </c>
      <c r="BG11" s="17">
        <f t="shared" si="9"/>
        <v>310.96595323324999</v>
      </c>
      <c r="BI11">
        <v>47</v>
      </c>
      <c r="BJ11" t="s">
        <v>37</v>
      </c>
      <c r="BK11" s="2">
        <v>45930.617013888892</v>
      </c>
      <c r="BL11" t="s">
        <v>28</v>
      </c>
      <c r="BM11" t="s">
        <v>13</v>
      </c>
      <c r="BN11">
        <v>0</v>
      </c>
      <c r="BO11">
        <v>2.722</v>
      </c>
      <c r="BP11" s="3">
        <v>5128942</v>
      </c>
      <c r="BQ11">
        <v>0</v>
      </c>
      <c r="BR11" t="s">
        <v>14</v>
      </c>
      <c r="BS11" t="s">
        <v>14</v>
      </c>
      <c r="BT11" t="s">
        <v>14</v>
      </c>
      <c r="BU11" t="s">
        <v>14</v>
      </c>
    </row>
    <row r="12" spans="1:73" x14ac:dyDescent="0.25">
      <c r="A12">
        <v>48</v>
      </c>
      <c r="B12" t="s">
        <v>38</v>
      </c>
      <c r="C12" s="2">
        <v>45930.63821759259</v>
      </c>
      <c r="D12">
        <v>153</v>
      </c>
      <c r="E12" t="s">
        <v>13</v>
      </c>
      <c r="F12">
        <v>0</v>
      </c>
      <c r="G12">
        <v>6.0570000000000004</v>
      </c>
      <c r="H12" s="3">
        <v>10585</v>
      </c>
      <c r="I12">
        <v>2.4E-2</v>
      </c>
      <c r="J12" t="s">
        <v>14</v>
      </c>
      <c r="K12" t="s">
        <v>14</v>
      </c>
      <c r="L12" t="s">
        <v>14</v>
      </c>
      <c r="M12" t="s">
        <v>14</v>
      </c>
      <c r="O12">
        <v>48</v>
      </c>
      <c r="P12" t="s">
        <v>38</v>
      </c>
      <c r="Q12" s="2">
        <v>45930.63821759259</v>
      </c>
      <c r="R12">
        <v>153</v>
      </c>
      <c r="S12" t="s">
        <v>13</v>
      </c>
      <c r="T12">
        <v>0</v>
      </c>
      <c r="U12" t="s">
        <v>14</v>
      </c>
      <c r="V12" s="3" t="s">
        <v>14</v>
      </c>
      <c r="W12" t="s">
        <v>14</v>
      </c>
      <c r="X12" t="s">
        <v>14</v>
      </c>
      <c r="Y12" t="s">
        <v>14</v>
      </c>
      <c r="Z12" t="s">
        <v>14</v>
      </c>
      <c r="AA12" t="s">
        <v>14</v>
      </c>
      <c r="AC12">
        <v>48</v>
      </c>
      <c r="AD12" t="s">
        <v>38</v>
      </c>
      <c r="AE12" s="2">
        <v>45930.63821759259</v>
      </c>
      <c r="AF12">
        <v>153</v>
      </c>
      <c r="AG12" t="s">
        <v>13</v>
      </c>
      <c r="AH12">
        <v>0</v>
      </c>
      <c r="AI12">
        <v>12.256</v>
      </c>
      <c r="AJ12" s="3">
        <v>39066</v>
      </c>
      <c r="AK12">
        <v>8.4529999999999994</v>
      </c>
      <c r="AL12" t="s">
        <v>14</v>
      </c>
      <c r="AM12" t="s">
        <v>14</v>
      </c>
      <c r="AN12" t="s">
        <v>14</v>
      </c>
      <c r="AO12" t="s">
        <v>14</v>
      </c>
      <c r="AQ12">
        <v>1</v>
      </c>
      <c r="AS12" s="10">
        <v>48</v>
      </c>
      <c r="AT12" s="16">
        <f t="shared" si="0"/>
        <v>31.538502894824997</v>
      </c>
      <c r="AU12" s="17">
        <f t="shared" si="1"/>
        <v>8686.4399038910797</v>
      </c>
      <c r="AW12" s="6">
        <f t="shared" si="2"/>
        <v>22.374556119198498</v>
      </c>
      <c r="AX12" s="7">
        <f t="shared" si="3"/>
        <v>7932.2947918748796</v>
      </c>
      <c r="AZ12" s="11">
        <f t="shared" si="4"/>
        <v>21.613464411175002</v>
      </c>
      <c r="BA12" s="12">
        <f t="shared" si="5"/>
        <v>8814.3059104284002</v>
      </c>
      <c r="BC12" s="13">
        <f t="shared" si="6"/>
        <v>26.332557205420002</v>
      </c>
      <c r="BD12" s="14">
        <f t="shared" si="7"/>
        <v>7951.3660891112004</v>
      </c>
      <c r="BF12" s="16">
        <f t="shared" si="8"/>
        <v>31.538502894824997</v>
      </c>
      <c r="BG12" s="17">
        <f t="shared" si="9"/>
        <v>8686.4399038910797</v>
      </c>
      <c r="BI12">
        <v>48</v>
      </c>
      <c r="BJ12" t="s">
        <v>38</v>
      </c>
      <c r="BK12" s="2">
        <v>45930.63821759259</v>
      </c>
      <c r="BL12">
        <v>153</v>
      </c>
      <c r="BM12" t="s">
        <v>13</v>
      </c>
      <c r="BN12">
        <v>0</v>
      </c>
      <c r="BO12">
        <v>2.8730000000000002</v>
      </c>
      <c r="BP12" s="3">
        <v>904752</v>
      </c>
      <c r="BQ12">
        <v>0</v>
      </c>
      <c r="BR12" t="s">
        <v>14</v>
      </c>
      <c r="BS12" t="s">
        <v>14</v>
      </c>
      <c r="BT12" t="s">
        <v>14</v>
      </c>
      <c r="BU12" t="s">
        <v>14</v>
      </c>
    </row>
    <row r="13" spans="1:73" x14ac:dyDescent="0.25">
      <c r="A13">
        <v>49</v>
      </c>
      <c r="B13" t="s">
        <v>39</v>
      </c>
      <c r="C13" s="2">
        <v>45930.659409722219</v>
      </c>
      <c r="D13">
        <v>241</v>
      </c>
      <c r="E13" t="s">
        <v>13</v>
      </c>
      <c r="F13">
        <v>0</v>
      </c>
      <c r="G13">
        <v>6.0529999999999999</v>
      </c>
      <c r="H13" s="3">
        <v>24245</v>
      </c>
      <c r="I13">
        <v>5.5E-2</v>
      </c>
      <c r="J13" t="s">
        <v>14</v>
      </c>
      <c r="K13" t="s">
        <v>14</v>
      </c>
      <c r="L13" t="s">
        <v>14</v>
      </c>
      <c r="M13" t="s">
        <v>14</v>
      </c>
      <c r="O13">
        <v>49</v>
      </c>
      <c r="P13" t="s">
        <v>39</v>
      </c>
      <c r="Q13" s="2">
        <v>45930.659409722219</v>
      </c>
      <c r="R13">
        <v>241</v>
      </c>
      <c r="S13" t="s">
        <v>13</v>
      </c>
      <c r="T13">
        <v>0</v>
      </c>
      <c r="U13" t="s">
        <v>14</v>
      </c>
      <c r="V13" s="3" t="s">
        <v>14</v>
      </c>
      <c r="W13" t="s">
        <v>14</v>
      </c>
      <c r="X13" t="s">
        <v>14</v>
      </c>
      <c r="Y13" t="s">
        <v>14</v>
      </c>
      <c r="Z13" t="s">
        <v>14</v>
      </c>
      <c r="AA13" t="s">
        <v>14</v>
      </c>
      <c r="AC13">
        <v>49</v>
      </c>
      <c r="AD13" t="s">
        <v>39</v>
      </c>
      <c r="AE13" s="2">
        <v>45930.659409722219</v>
      </c>
      <c r="AF13">
        <v>241</v>
      </c>
      <c r="AG13" t="s">
        <v>13</v>
      </c>
      <c r="AH13">
        <v>0</v>
      </c>
      <c r="AI13">
        <v>12.074999999999999</v>
      </c>
      <c r="AJ13" s="3">
        <v>235546</v>
      </c>
      <c r="AK13">
        <v>50.725000000000001</v>
      </c>
      <c r="AL13" t="s">
        <v>14</v>
      </c>
      <c r="AM13" t="s">
        <v>14</v>
      </c>
      <c r="AN13" t="s">
        <v>14</v>
      </c>
      <c r="AO13" t="s">
        <v>14</v>
      </c>
      <c r="AQ13">
        <v>1</v>
      </c>
      <c r="AS13" s="10">
        <v>49</v>
      </c>
      <c r="AT13" s="16">
        <f t="shared" si="0"/>
        <v>68.049493333424991</v>
      </c>
      <c r="AU13" s="17">
        <f t="shared" si="1"/>
        <v>50573.108229608079</v>
      </c>
      <c r="AW13" s="6">
        <f t="shared" si="2"/>
        <v>54.409916975186498</v>
      </c>
      <c r="AX13" s="7">
        <f t="shared" si="3"/>
        <v>47167.759649679683</v>
      </c>
      <c r="AZ13" s="11">
        <f t="shared" si="4"/>
        <v>62.430542820574999</v>
      </c>
      <c r="BA13" s="12">
        <f t="shared" si="5"/>
        <v>54298.533749055598</v>
      </c>
      <c r="BC13" s="13">
        <f t="shared" si="6"/>
        <v>65.795492576779992</v>
      </c>
      <c r="BD13" s="14">
        <f t="shared" si="7"/>
        <v>46709.209307672529</v>
      </c>
      <c r="BF13" s="16">
        <f t="shared" si="8"/>
        <v>68.049493333424991</v>
      </c>
      <c r="BG13" s="17">
        <f t="shared" si="9"/>
        <v>50573.108229608079</v>
      </c>
      <c r="BI13">
        <v>49</v>
      </c>
      <c r="BJ13" t="s">
        <v>39</v>
      </c>
      <c r="BK13" s="2">
        <v>45930.659409722219</v>
      </c>
      <c r="BL13">
        <v>241</v>
      </c>
      <c r="BM13" t="s">
        <v>13</v>
      </c>
      <c r="BN13">
        <v>0</v>
      </c>
      <c r="BO13">
        <v>2.8849999999999998</v>
      </c>
      <c r="BP13" s="3">
        <v>694069</v>
      </c>
      <c r="BQ13">
        <v>0</v>
      </c>
      <c r="BR13" t="s">
        <v>14</v>
      </c>
      <c r="BS13" t="s">
        <v>14</v>
      </c>
      <c r="BT13" t="s">
        <v>14</v>
      </c>
      <c r="BU13" t="s">
        <v>14</v>
      </c>
    </row>
    <row r="14" spans="1:73" x14ac:dyDescent="0.25">
      <c r="A14">
        <v>50</v>
      </c>
      <c r="B14" t="s">
        <v>40</v>
      </c>
      <c r="C14" s="2">
        <v>45930.680648148147</v>
      </c>
      <c r="D14">
        <v>225</v>
      </c>
      <c r="E14" t="s">
        <v>13</v>
      </c>
      <c r="F14">
        <v>0</v>
      </c>
      <c r="G14">
        <v>6.0439999999999996</v>
      </c>
      <c r="H14" s="3">
        <v>2349562</v>
      </c>
      <c r="I14">
        <v>5.3250000000000002</v>
      </c>
      <c r="J14" t="s">
        <v>14</v>
      </c>
      <c r="K14" t="s">
        <v>14</v>
      </c>
      <c r="L14" t="s">
        <v>14</v>
      </c>
      <c r="M14" t="s">
        <v>14</v>
      </c>
      <c r="O14">
        <v>50</v>
      </c>
      <c r="P14" t="s">
        <v>40</v>
      </c>
      <c r="Q14" s="2">
        <v>45930.680648148147</v>
      </c>
      <c r="R14">
        <v>225</v>
      </c>
      <c r="S14" t="s">
        <v>13</v>
      </c>
      <c r="T14">
        <v>0</v>
      </c>
      <c r="U14">
        <v>5.9960000000000004</v>
      </c>
      <c r="V14" s="3">
        <v>18111</v>
      </c>
      <c r="W14">
        <v>4.5670000000000002</v>
      </c>
      <c r="X14" t="s">
        <v>14</v>
      </c>
      <c r="Y14" t="s">
        <v>14</v>
      </c>
      <c r="Z14" t="s">
        <v>14</v>
      </c>
      <c r="AA14" t="s">
        <v>14</v>
      </c>
      <c r="AC14">
        <v>50</v>
      </c>
      <c r="AD14" t="s">
        <v>40</v>
      </c>
      <c r="AE14" s="2">
        <v>45930.680648148147</v>
      </c>
      <c r="AF14">
        <v>225</v>
      </c>
      <c r="AG14" t="s">
        <v>13</v>
      </c>
      <c r="AH14">
        <v>0</v>
      </c>
      <c r="AI14">
        <v>12.127000000000001</v>
      </c>
      <c r="AJ14" s="3">
        <v>170403</v>
      </c>
      <c r="AK14">
        <v>36.841000000000001</v>
      </c>
      <c r="AL14" t="s">
        <v>14</v>
      </c>
      <c r="AM14" t="s">
        <v>14</v>
      </c>
      <c r="AN14" t="s">
        <v>14</v>
      </c>
      <c r="AO14" t="s">
        <v>14</v>
      </c>
      <c r="AQ14">
        <v>1</v>
      </c>
      <c r="AS14" s="10">
        <v>50</v>
      </c>
      <c r="AT14" s="16">
        <f t="shared" si="0"/>
        <v>4972.6516163231872</v>
      </c>
      <c r="AU14" s="17">
        <f t="shared" si="1"/>
        <v>36867.749222816419</v>
      </c>
      <c r="AW14" s="6">
        <f t="shared" si="2"/>
        <v>4695.6712987390192</v>
      </c>
      <c r="AX14" s="7">
        <f t="shared" si="3"/>
        <v>34377.571204922322</v>
      </c>
      <c r="AZ14" s="11">
        <f t="shared" si="4"/>
        <v>4609.5700663917014</v>
      </c>
      <c r="BA14" s="12">
        <f t="shared" si="5"/>
        <v>39244.2023394719</v>
      </c>
      <c r="BC14" s="13">
        <f t="shared" si="6"/>
        <v>5157.8846281305669</v>
      </c>
      <c r="BD14" s="14">
        <f t="shared" si="7"/>
        <v>33905.675406711736</v>
      </c>
      <c r="BF14" s="16">
        <f t="shared" si="8"/>
        <v>4972.6516163231872</v>
      </c>
      <c r="BG14" s="17">
        <f t="shared" si="9"/>
        <v>36867.749222816419</v>
      </c>
      <c r="BI14">
        <v>50</v>
      </c>
      <c r="BJ14" t="s">
        <v>40</v>
      </c>
      <c r="BK14" s="2">
        <v>45930.680648148147</v>
      </c>
      <c r="BL14">
        <v>225</v>
      </c>
      <c r="BM14" t="s">
        <v>13</v>
      </c>
      <c r="BN14">
        <v>0</v>
      </c>
      <c r="BO14">
        <v>2.88</v>
      </c>
      <c r="BP14" s="3">
        <v>751746</v>
      </c>
      <c r="BQ14">
        <v>0</v>
      </c>
      <c r="BR14" t="s">
        <v>14</v>
      </c>
      <c r="BS14" t="s">
        <v>14</v>
      </c>
      <c r="BT14" t="s">
        <v>14</v>
      </c>
      <c r="BU14" t="s">
        <v>14</v>
      </c>
    </row>
    <row r="15" spans="1:73" x14ac:dyDescent="0.25">
      <c r="A15">
        <v>51</v>
      </c>
      <c r="B15" t="s">
        <v>41</v>
      </c>
      <c r="C15" s="2">
        <v>45930.701840277776</v>
      </c>
      <c r="D15">
        <v>76</v>
      </c>
      <c r="E15" t="s">
        <v>13</v>
      </c>
      <c r="F15">
        <v>0</v>
      </c>
      <c r="G15">
        <v>6.056</v>
      </c>
      <c r="H15" s="3">
        <v>88017</v>
      </c>
      <c r="I15">
        <v>0.19900000000000001</v>
      </c>
      <c r="J15" t="s">
        <v>14</v>
      </c>
      <c r="K15" t="s">
        <v>14</v>
      </c>
      <c r="L15" t="s">
        <v>14</v>
      </c>
      <c r="M15" t="s">
        <v>14</v>
      </c>
      <c r="O15">
        <v>51</v>
      </c>
      <c r="P15" t="s">
        <v>41</v>
      </c>
      <c r="Q15" s="2">
        <v>45930.701840277776</v>
      </c>
      <c r="R15">
        <v>76</v>
      </c>
      <c r="S15" t="s">
        <v>13</v>
      </c>
      <c r="T15">
        <v>0</v>
      </c>
      <c r="U15" t="s">
        <v>14</v>
      </c>
      <c r="V15" s="3" t="s">
        <v>14</v>
      </c>
      <c r="W15" t="s">
        <v>14</v>
      </c>
      <c r="X15" t="s">
        <v>14</v>
      </c>
      <c r="Y15" t="s">
        <v>14</v>
      </c>
      <c r="Z15" t="s">
        <v>14</v>
      </c>
      <c r="AA15" t="s">
        <v>14</v>
      </c>
      <c r="AC15">
        <v>51</v>
      </c>
      <c r="AD15" t="s">
        <v>41</v>
      </c>
      <c r="AE15" s="2">
        <v>45930.701840277776</v>
      </c>
      <c r="AF15">
        <v>76</v>
      </c>
      <c r="AG15" t="s">
        <v>13</v>
      </c>
      <c r="AH15">
        <v>0</v>
      </c>
      <c r="AI15">
        <v>12.205</v>
      </c>
      <c r="AJ15" s="3">
        <v>96962</v>
      </c>
      <c r="AK15">
        <v>21.033000000000001</v>
      </c>
      <c r="AL15" t="s">
        <v>14</v>
      </c>
      <c r="AM15" t="s">
        <v>14</v>
      </c>
      <c r="AN15" t="s">
        <v>14</v>
      </c>
      <c r="AO15" t="s">
        <v>14</v>
      </c>
      <c r="AQ15">
        <v>1</v>
      </c>
      <c r="AS15" s="10">
        <v>51</v>
      </c>
      <c r="AT15" s="16">
        <f t="shared" ref="AT15:AT46" si="10">IF(H15&lt;10000,((H15^2*0.000000008493)+(H15*0.003482)+(-3.269)),(IF(H15&lt;200000,((H15^2*-0.000000000263)+(H15*0.002682)+(3.179)),(IF(H15&lt;8000000,((H15^2*-0.000000000005099)+(H15*0.002054)+(174.8)),((V15^2*-0.00000001014)+(V15*0.2415)+(1123)))))))</f>
        <v>237.203135027993</v>
      </c>
      <c r="AU15" s="17">
        <f t="shared" ref="AU15:AU46" si="11">IF(AJ15&lt;45000,((-0.00000004907*AJ15^2)+(0.2277*AJ15)+(-134)),((-0.00000001062*AJ15^2)+(0.2147*AJ15)+(590.6)))</f>
        <v>21308.496095304716</v>
      </c>
      <c r="AW15" s="6">
        <f t="shared" ref="AW15:AW46" si="12">IF(H15&lt;10000,((0.0000001453*H15^2)+(0.0008349*H15)+(-1.805)),(IF(H15&lt;700000,((-0.00000000008054*H15^2)+(0.002348*H15)+(-2.47)), ((-0.00000001938*V15^2)+(0.2471*V15)+(226.8)))))</f>
        <v>203.56997324104393</v>
      </c>
      <c r="AX15" s="7">
        <f t="shared" ref="AX15:AX46" si="13">(-0.00000002552*AJ15^2)+(0.2067*AJ15)+(-103.7)</f>
        <v>19698.415816589117</v>
      </c>
      <c r="AZ15" s="11">
        <f t="shared" ref="AZ15:AZ46" si="14">IF(H15&lt;10000,((H15^2*0.00000054)+(H15*-0.004765)+(12.72)),(IF(H15&lt;200000,((H15^2*-0.000000001577)+(H15*0.003043)+(-10.42)),(IF(H15&lt;8000000,((H15^2*-0.0000000000186)+(H15*0.00194)+(154.1)),((V15^2*-0.00000002)+(V15*0.2565)+(-1032)))))))</f>
        <v>245.19872416024702</v>
      </c>
      <c r="BA15" s="12">
        <f t="shared" ref="BA15:BA46" si="15">IF(AJ15&lt;45000,((-0.0000004561*AJ15^2)+(0.244*AJ15)+(-21.72)),((-0.0000000409*AJ15^2)+(0.2477*AJ15)+(-1777)))</f>
        <v>21855.960755740402</v>
      </c>
      <c r="BC15" s="13">
        <f t="shared" ref="BC15:BC46" si="16">IF(H15&lt;10000,((H15^2*0.00000005714)+(H15*0.002453)+(-3.811)),(IF(H15&lt;200000,((H15^2*-0.0000000002888)+(H15*0.002899)+(-4.321)),(IF(H15&lt;8000000,((H15^2*-0.0000000000062)+(H15*0.002143)+(157)),((V15^2*-0.000000031)+(V15*0.2771)+(-709.5)))))))</f>
        <v>248.6029516269368</v>
      </c>
      <c r="BD15" s="14">
        <f t="shared" ref="BD15:BD46" si="17">IF(AJ15&lt;45000,((-0.0000000598*AJ15^2)+(0.205*AJ15)+(34.1)),((-0.00000002403*AJ15^2)+(0.2063*AJ15)+(-550.7)))</f>
        <v>19226.639444460681</v>
      </c>
      <c r="BF15" s="16">
        <f t="shared" ref="BF15:BF46" si="18">IF(H15&lt;10000,((H15^2*0.000000008493)+(H15*0.003482)+(-3.269)),(IF(H15&lt;200000,((H15^2*-0.000000000263)+(H15*0.002682)+(3.179)),(IF(H15&lt;8000000,((H15^2*-0.000000000005099)+(H15*0.002054)+(174.8)),((V15^2*-0.00000001014)+(V15*0.2415)+(1123)))))))</f>
        <v>237.203135027993</v>
      </c>
      <c r="BG15" s="17">
        <f t="shared" ref="BG15:BG46" si="19">IF(AJ15&lt;45000,((-0.00000004907*AJ15^2)+(0.2277*AJ15)+(-134)),((-0.00000001062*AJ15^2)+(0.2147*AJ15)+(590.6)))</f>
        <v>21308.496095304716</v>
      </c>
      <c r="BI15">
        <v>51</v>
      </c>
      <c r="BJ15" t="s">
        <v>41</v>
      </c>
      <c r="BK15" s="2">
        <v>45930.701840277776</v>
      </c>
      <c r="BL15">
        <v>76</v>
      </c>
      <c r="BM15" t="s">
        <v>13</v>
      </c>
      <c r="BN15">
        <v>0</v>
      </c>
      <c r="BO15">
        <v>2.883</v>
      </c>
      <c r="BP15" s="3">
        <v>840090</v>
      </c>
      <c r="BQ15">
        <v>0</v>
      </c>
      <c r="BR15" t="s">
        <v>14</v>
      </c>
      <c r="BS15" t="s">
        <v>14</v>
      </c>
      <c r="BT15" t="s">
        <v>14</v>
      </c>
      <c r="BU15" t="s">
        <v>14</v>
      </c>
    </row>
    <row r="16" spans="1:73" x14ac:dyDescent="0.25">
      <c r="A16">
        <v>52</v>
      </c>
      <c r="B16" t="s">
        <v>42</v>
      </c>
      <c r="C16" s="2">
        <v>45930.723020833335</v>
      </c>
      <c r="D16">
        <v>120</v>
      </c>
      <c r="E16" t="s">
        <v>13</v>
      </c>
      <c r="F16">
        <v>0</v>
      </c>
      <c r="G16">
        <v>6.09</v>
      </c>
      <c r="H16" s="3">
        <v>1335</v>
      </c>
      <c r="I16">
        <v>3.0000000000000001E-3</v>
      </c>
      <c r="J16" t="s">
        <v>14</v>
      </c>
      <c r="K16" t="s">
        <v>14</v>
      </c>
      <c r="L16" t="s">
        <v>14</v>
      </c>
      <c r="M16" t="s">
        <v>14</v>
      </c>
      <c r="O16">
        <v>52</v>
      </c>
      <c r="P16" t="s">
        <v>42</v>
      </c>
      <c r="Q16" s="2">
        <v>45930.723020833335</v>
      </c>
      <c r="R16">
        <v>120</v>
      </c>
      <c r="S16" t="s">
        <v>13</v>
      </c>
      <c r="T16">
        <v>0</v>
      </c>
      <c r="U16" t="s">
        <v>14</v>
      </c>
      <c r="V16" s="3" t="s">
        <v>14</v>
      </c>
      <c r="W16" t="s">
        <v>14</v>
      </c>
      <c r="X16" t="s">
        <v>14</v>
      </c>
      <c r="Y16" t="s">
        <v>14</v>
      </c>
      <c r="Z16" t="s">
        <v>14</v>
      </c>
      <c r="AA16" t="s">
        <v>14</v>
      </c>
      <c r="AC16">
        <v>52</v>
      </c>
      <c r="AD16" t="s">
        <v>42</v>
      </c>
      <c r="AE16" s="2">
        <v>45930.723020833335</v>
      </c>
      <c r="AF16">
        <v>120</v>
      </c>
      <c r="AG16" t="s">
        <v>13</v>
      </c>
      <c r="AH16">
        <v>0</v>
      </c>
      <c r="AI16">
        <v>12.055999999999999</v>
      </c>
      <c r="AJ16" s="3">
        <v>266979</v>
      </c>
      <c r="AK16">
        <v>57.378999999999998</v>
      </c>
      <c r="AL16" t="s">
        <v>14</v>
      </c>
      <c r="AM16" t="s">
        <v>14</v>
      </c>
      <c r="AN16" t="s">
        <v>14</v>
      </c>
      <c r="AO16" t="s">
        <v>14</v>
      </c>
      <c r="AQ16">
        <v>1</v>
      </c>
      <c r="AS16" s="10">
        <v>52</v>
      </c>
      <c r="AT16" s="16">
        <f t="shared" si="10"/>
        <v>1.3946064369249997</v>
      </c>
      <c r="AU16" s="17">
        <f t="shared" si="11"/>
        <v>57154.021207996579</v>
      </c>
      <c r="AW16" s="6">
        <f t="shared" si="12"/>
        <v>-0.4314512075000001</v>
      </c>
      <c r="AX16" s="7">
        <f t="shared" si="13"/>
        <v>53261.850190025682</v>
      </c>
      <c r="AZ16" s="11">
        <f t="shared" si="14"/>
        <v>7.321126500000001</v>
      </c>
      <c r="BA16" s="12">
        <f t="shared" si="15"/>
        <v>61438.436834563101</v>
      </c>
      <c r="BC16" s="13">
        <f t="shared" si="16"/>
        <v>-0.43440866350000018</v>
      </c>
      <c r="BD16" s="14">
        <f t="shared" si="17"/>
        <v>52814.262491822774</v>
      </c>
      <c r="BF16" s="16">
        <f t="shared" si="18"/>
        <v>1.3946064369249997</v>
      </c>
      <c r="BG16" s="17">
        <f t="shared" si="19"/>
        <v>57154.021207996579</v>
      </c>
      <c r="BI16">
        <v>52</v>
      </c>
      <c r="BJ16" t="s">
        <v>42</v>
      </c>
      <c r="BK16" s="2">
        <v>45930.723020833335</v>
      </c>
      <c r="BL16">
        <v>120</v>
      </c>
      <c r="BM16" t="s">
        <v>13</v>
      </c>
      <c r="BN16">
        <v>0</v>
      </c>
      <c r="BO16">
        <v>2.879</v>
      </c>
      <c r="BP16" s="3">
        <v>802697</v>
      </c>
      <c r="BQ16">
        <v>0</v>
      </c>
      <c r="BR16" t="s">
        <v>14</v>
      </c>
      <c r="BS16" t="s">
        <v>14</v>
      </c>
      <c r="BT16" t="s">
        <v>14</v>
      </c>
      <c r="BU16" t="s">
        <v>14</v>
      </c>
    </row>
    <row r="17" spans="1:73" x14ac:dyDescent="0.25">
      <c r="A17">
        <v>53</v>
      </c>
      <c r="B17" t="s">
        <v>43</v>
      </c>
      <c r="C17" s="2">
        <v>45930.744212962964</v>
      </c>
      <c r="D17">
        <v>223</v>
      </c>
      <c r="E17" t="s">
        <v>13</v>
      </c>
      <c r="F17">
        <v>0</v>
      </c>
      <c r="G17">
        <v>6.0579999999999998</v>
      </c>
      <c r="H17" s="3">
        <v>8842</v>
      </c>
      <c r="I17">
        <v>0.02</v>
      </c>
      <c r="J17" t="s">
        <v>14</v>
      </c>
      <c r="K17" t="s">
        <v>14</v>
      </c>
      <c r="L17" t="s">
        <v>14</v>
      </c>
      <c r="M17" t="s">
        <v>14</v>
      </c>
      <c r="O17">
        <v>53</v>
      </c>
      <c r="P17" t="s">
        <v>43</v>
      </c>
      <c r="Q17" s="2">
        <v>45930.744212962964</v>
      </c>
      <c r="R17">
        <v>223</v>
      </c>
      <c r="S17" t="s">
        <v>13</v>
      </c>
      <c r="T17">
        <v>0</v>
      </c>
      <c r="U17" t="s">
        <v>14</v>
      </c>
      <c r="V17" s="3" t="s">
        <v>14</v>
      </c>
      <c r="W17" t="s">
        <v>14</v>
      </c>
      <c r="X17" t="s">
        <v>14</v>
      </c>
      <c r="Y17" t="s">
        <v>14</v>
      </c>
      <c r="Z17" t="s">
        <v>14</v>
      </c>
      <c r="AA17" t="s">
        <v>14</v>
      </c>
      <c r="AC17">
        <v>53</v>
      </c>
      <c r="AD17" t="s">
        <v>43</v>
      </c>
      <c r="AE17" s="2">
        <v>45930.744212962964</v>
      </c>
      <c r="AF17">
        <v>223</v>
      </c>
      <c r="AG17" t="s">
        <v>13</v>
      </c>
      <c r="AH17">
        <v>0</v>
      </c>
      <c r="AI17">
        <v>12.263</v>
      </c>
      <c r="AJ17" s="3">
        <v>38671</v>
      </c>
      <c r="AK17">
        <v>8.3670000000000009</v>
      </c>
      <c r="AL17" t="s">
        <v>14</v>
      </c>
      <c r="AM17" t="s">
        <v>14</v>
      </c>
      <c r="AN17" t="s">
        <v>14</v>
      </c>
      <c r="AO17" t="s">
        <v>14</v>
      </c>
      <c r="AQ17">
        <v>1</v>
      </c>
      <c r="AS17" s="10">
        <v>53</v>
      </c>
      <c r="AT17" s="16">
        <f t="shared" si="10"/>
        <v>28.182834927252003</v>
      </c>
      <c r="AU17" s="17">
        <f t="shared" si="11"/>
        <v>8598.0051529541306</v>
      </c>
      <c r="AW17" s="6">
        <f t="shared" si="12"/>
        <v>16.936879869200002</v>
      </c>
      <c r="AX17" s="7">
        <f t="shared" si="13"/>
        <v>7851.4319119296797</v>
      </c>
      <c r="AZ17" s="11">
        <f t="shared" si="14"/>
        <v>12.805590560000001</v>
      </c>
      <c r="BA17" s="12">
        <f t="shared" si="15"/>
        <v>8731.9309694799013</v>
      </c>
      <c r="BC17" s="13">
        <f t="shared" si="16"/>
        <v>22.345686282959996</v>
      </c>
      <c r="BD17" s="14">
        <f t="shared" si="17"/>
        <v>7872.2273147881997</v>
      </c>
      <c r="BF17" s="16">
        <f t="shared" si="18"/>
        <v>28.182834927252003</v>
      </c>
      <c r="BG17" s="17">
        <f t="shared" si="19"/>
        <v>8598.0051529541306</v>
      </c>
      <c r="BI17">
        <v>53</v>
      </c>
      <c r="BJ17" t="s">
        <v>43</v>
      </c>
      <c r="BK17" s="2">
        <v>45930.744212962964</v>
      </c>
      <c r="BL17">
        <v>223</v>
      </c>
      <c r="BM17" t="s">
        <v>13</v>
      </c>
      <c r="BN17">
        <v>0</v>
      </c>
      <c r="BO17">
        <v>2.8719999999999999</v>
      </c>
      <c r="BP17" s="3">
        <v>932490</v>
      </c>
      <c r="BQ17">
        <v>0</v>
      </c>
      <c r="BR17" t="s">
        <v>14</v>
      </c>
      <c r="BS17" t="s">
        <v>14</v>
      </c>
      <c r="BT17" t="s">
        <v>14</v>
      </c>
      <c r="BU17" t="s">
        <v>14</v>
      </c>
    </row>
    <row r="18" spans="1:73" x14ac:dyDescent="0.25">
      <c r="A18">
        <v>54</v>
      </c>
      <c r="B18" t="s">
        <v>44</v>
      </c>
      <c r="C18" s="2">
        <v>45930.765416666669</v>
      </c>
      <c r="D18">
        <v>321</v>
      </c>
      <c r="E18" t="s">
        <v>13</v>
      </c>
      <c r="F18">
        <v>0</v>
      </c>
      <c r="G18">
        <v>6.0519999999999996</v>
      </c>
      <c r="H18" s="3">
        <v>56143</v>
      </c>
      <c r="I18">
        <v>0.127</v>
      </c>
      <c r="J18" t="s">
        <v>14</v>
      </c>
      <c r="K18" t="s">
        <v>14</v>
      </c>
      <c r="L18" t="s">
        <v>14</v>
      </c>
      <c r="M18" t="s">
        <v>14</v>
      </c>
      <c r="O18">
        <v>54</v>
      </c>
      <c r="P18" t="s">
        <v>44</v>
      </c>
      <c r="Q18" s="2">
        <v>45930.765416666669</v>
      </c>
      <c r="R18">
        <v>321</v>
      </c>
      <c r="S18" t="s">
        <v>13</v>
      </c>
      <c r="T18">
        <v>0</v>
      </c>
      <c r="U18">
        <v>5.9960000000000004</v>
      </c>
      <c r="V18" s="3">
        <v>662</v>
      </c>
      <c r="W18">
        <v>0.254</v>
      </c>
      <c r="X18" t="s">
        <v>14</v>
      </c>
      <c r="Y18" t="s">
        <v>14</v>
      </c>
      <c r="Z18" t="s">
        <v>14</v>
      </c>
      <c r="AA18" t="s">
        <v>14</v>
      </c>
      <c r="AC18">
        <v>54</v>
      </c>
      <c r="AD18" t="s">
        <v>44</v>
      </c>
      <c r="AE18" s="2">
        <v>45930.765416666669</v>
      </c>
      <c r="AF18">
        <v>321</v>
      </c>
      <c r="AG18" t="s">
        <v>13</v>
      </c>
      <c r="AH18">
        <v>0</v>
      </c>
      <c r="AI18">
        <v>12.06</v>
      </c>
      <c r="AJ18" s="3">
        <v>57</v>
      </c>
      <c r="AK18">
        <v>-8.4000000000000005E-2</v>
      </c>
      <c r="AL18" t="s">
        <v>14</v>
      </c>
      <c r="AM18" t="s">
        <v>14</v>
      </c>
      <c r="AN18" t="s">
        <v>14</v>
      </c>
      <c r="AO18" t="s">
        <v>14</v>
      </c>
      <c r="AQ18">
        <v>1</v>
      </c>
      <c r="AS18" s="10">
        <v>54</v>
      </c>
      <c r="AT18" s="16">
        <f t="shared" si="10"/>
        <v>152.92554041391301</v>
      </c>
      <c r="AU18" s="17">
        <f t="shared" si="11"/>
        <v>-121.02125942843</v>
      </c>
      <c r="AW18" s="6">
        <f t="shared" si="12"/>
        <v>129.09989898439753</v>
      </c>
      <c r="AX18" s="7">
        <f t="shared" si="13"/>
        <v>-91.918182914479999</v>
      </c>
      <c r="AZ18" s="11">
        <f t="shared" si="14"/>
        <v>155.45238751992702</v>
      </c>
      <c r="BA18" s="12">
        <f t="shared" si="15"/>
        <v>-7.8134818688999985</v>
      </c>
      <c r="BC18" s="13">
        <f t="shared" si="16"/>
        <v>157.52724887352881</v>
      </c>
      <c r="BD18" s="14">
        <f t="shared" si="17"/>
        <v>45.784805709799997</v>
      </c>
      <c r="BF18" s="16">
        <f t="shared" si="18"/>
        <v>152.92554041391301</v>
      </c>
      <c r="BG18" s="17">
        <f t="shared" si="19"/>
        <v>-121.02125942843</v>
      </c>
      <c r="BI18">
        <v>54</v>
      </c>
      <c r="BJ18" t="s">
        <v>44</v>
      </c>
      <c r="BK18" s="2">
        <v>45930.765416666669</v>
      </c>
      <c r="BL18">
        <v>321</v>
      </c>
      <c r="BM18" t="s">
        <v>13</v>
      </c>
      <c r="BN18">
        <v>0</v>
      </c>
      <c r="BO18">
        <v>2.8719999999999999</v>
      </c>
      <c r="BP18" s="3">
        <v>955601</v>
      </c>
      <c r="BQ18">
        <v>0</v>
      </c>
      <c r="BR18" t="s">
        <v>14</v>
      </c>
      <c r="BS18" t="s">
        <v>14</v>
      </c>
      <c r="BT18" t="s">
        <v>14</v>
      </c>
      <c r="BU18" t="s">
        <v>14</v>
      </c>
    </row>
    <row r="19" spans="1:73" x14ac:dyDescent="0.25">
      <c r="A19">
        <v>55</v>
      </c>
      <c r="B19" t="s">
        <v>45</v>
      </c>
      <c r="C19" s="2">
        <v>45930.786620370367</v>
      </c>
      <c r="D19">
        <v>131</v>
      </c>
      <c r="E19" t="s">
        <v>13</v>
      </c>
      <c r="F19">
        <v>0</v>
      </c>
      <c r="G19">
        <v>6.0780000000000003</v>
      </c>
      <c r="H19" s="3">
        <v>820</v>
      </c>
      <c r="I19">
        <v>2E-3</v>
      </c>
      <c r="J19" t="s">
        <v>14</v>
      </c>
      <c r="K19" t="s">
        <v>14</v>
      </c>
      <c r="L19" t="s">
        <v>14</v>
      </c>
      <c r="M19" t="s">
        <v>14</v>
      </c>
      <c r="O19">
        <v>55</v>
      </c>
      <c r="P19" t="s">
        <v>45</v>
      </c>
      <c r="Q19" s="2">
        <v>45930.786620370367</v>
      </c>
      <c r="R19">
        <v>131</v>
      </c>
      <c r="S19" t="s">
        <v>13</v>
      </c>
      <c r="T19">
        <v>0</v>
      </c>
      <c r="U19" t="s">
        <v>14</v>
      </c>
      <c r="V19" s="3" t="s">
        <v>14</v>
      </c>
      <c r="W19" t="s">
        <v>14</v>
      </c>
      <c r="X19" t="s">
        <v>14</v>
      </c>
      <c r="Y19" t="s">
        <v>14</v>
      </c>
      <c r="Z19" t="s">
        <v>14</v>
      </c>
      <c r="AA19" t="s">
        <v>14</v>
      </c>
      <c r="AC19">
        <v>55</v>
      </c>
      <c r="AD19" t="s">
        <v>45</v>
      </c>
      <c r="AE19" s="2">
        <v>45930.786620370367</v>
      </c>
      <c r="AF19">
        <v>131</v>
      </c>
      <c r="AG19" t="s">
        <v>13</v>
      </c>
      <c r="AH19">
        <v>0</v>
      </c>
      <c r="AI19" t="s">
        <v>14</v>
      </c>
      <c r="AJ19" s="3" t="s">
        <v>14</v>
      </c>
      <c r="AK19" t="s">
        <v>14</v>
      </c>
      <c r="AL19" t="s">
        <v>14</v>
      </c>
      <c r="AM19" t="s">
        <v>14</v>
      </c>
      <c r="AN19" t="s">
        <v>14</v>
      </c>
      <c r="AO19" t="s">
        <v>14</v>
      </c>
      <c r="AQ19">
        <v>2</v>
      </c>
      <c r="AR19" t="s">
        <v>76</v>
      </c>
      <c r="AS19" s="10">
        <v>55</v>
      </c>
      <c r="AT19" s="16">
        <f t="shared" si="10"/>
        <v>-0.40804930680000018</v>
      </c>
      <c r="AU19" s="17" t="e">
        <f t="shared" si="11"/>
        <v>#VALUE!</v>
      </c>
      <c r="AW19" s="6">
        <f t="shared" si="12"/>
        <v>-1.0226822799999999</v>
      </c>
      <c r="AX19" s="7" t="e">
        <f t="shared" si="13"/>
        <v>#VALUE!</v>
      </c>
      <c r="AZ19" s="11">
        <f t="shared" si="14"/>
        <v>9.1757960000000001</v>
      </c>
      <c r="BA19" s="12" t="e">
        <f t="shared" si="15"/>
        <v>#VALUE!</v>
      </c>
      <c r="BC19" s="13">
        <f t="shared" si="16"/>
        <v>-1.7611190639999998</v>
      </c>
      <c r="BD19" s="14" t="e">
        <f t="shared" si="17"/>
        <v>#VALUE!</v>
      </c>
      <c r="BF19" s="16">
        <f t="shared" si="18"/>
        <v>-0.40804930680000018</v>
      </c>
      <c r="BG19" s="17" t="e">
        <f t="shared" si="19"/>
        <v>#VALUE!</v>
      </c>
      <c r="BI19">
        <v>55</v>
      </c>
      <c r="BJ19" t="s">
        <v>45</v>
      </c>
      <c r="BK19" s="2">
        <v>45930.786620370367</v>
      </c>
      <c r="BL19">
        <v>131</v>
      </c>
      <c r="BM19" t="s">
        <v>13</v>
      </c>
      <c r="BN19">
        <v>0</v>
      </c>
      <c r="BO19">
        <v>2.8759999999999999</v>
      </c>
      <c r="BP19" s="3">
        <v>810184</v>
      </c>
      <c r="BQ19">
        <v>0</v>
      </c>
      <c r="BR19" t="s">
        <v>14</v>
      </c>
      <c r="BS19" t="s">
        <v>14</v>
      </c>
      <c r="BT19" t="s">
        <v>14</v>
      </c>
      <c r="BU19" t="s">
        <v>14</v>
      </c>
    </row>
    <row r="20" spans="1:73" x14ac:dyDescent="0.25">
      <c r="A20">
        <v>56</v>
      </c>
      <c r="B20" t="s">
        <v>46</v>
      </c>
      <c r="C20" s="2">
        <v>45930.807824074072</v>
      </c>
      <c r="D20">
        <v>305</v>
      </c>
      <c r="E20" t="s">
        <v>13</v>
      </c>
      <c r="F20">
        <v>0</v>
      </c>
      <c r="G20">
        <v>6.0839999999999996</v>
      </c>
      <c r="H20" s="3">
        <v>1248</v>
      </c>
      <c r="I20">
        <v>3.0000000000000001E-3</v>
      </c>
      <c r="J20" t="s">
        <v>14</v>
      </c>
      <c r="K20" t="s">
        <v>14</v>
      </c>
      <c r="L20" t="s">
        <v>14</v>
      </c>
      <c r="M20" t="s">
        <v>14</v>
      </c>
      <c r="O20">
        <v>56</v>
      </c>
      <c r="P20" t="s">
        <v>46</v>
      </c>
      <c r="Q20" s="2">
        <v>45930.807824074072</v>
      </c>
      <c r="R20">
        <v>305</v>
      </c>
      <c r="S20" t="s">
        <v>13</v>
      </c>
      <c r="T20">
        <v>0</v>
      </c>
      <c r="U20" t="s">
        <v>14</v>
      </c>
      <c r="V20" s="3" t="s">
        <v>14</v>
      </c>
      <c r="W20" t="s">
        <v>14</v>
      </c>
      <c r="X20" t="s">
        <v>14</v>
      </c>
      <c r="Y20" t="s">
        <v>14</v>
      </c>
      <c r="Z20" t="s">
        <v>14</v>
      </c>
      <c r="AA20" t="s">
        <v>14</v>
      </c>
      <c r="AC20">
        <v>56</v>
      </c>
      <c r="AD20" t="s">
        <v>46</v>
      </c>
      <c r="AE20" s="2">
        <v>45930.807824074072</v>
      </c>
      <c r="AF20">
        <v>305</v>
      </c>
      <c r="AG20" t="s">
        <v>13</v>
      </c>
      <c r="AH20">
        <v>0</v>
      </c>
      <c r="AI20">
        <v>11.984</v>
      </c>
      <c r="AJ20" s="3">
        <v>245625</v>
      </c>
      <c r="AK20">
        <v>52.862000000000002</v>
      </c>
      <c r="AL20" t="s">
        <v>14</v>
      </c>
      <c r="AM20" t="s">
        <v>14</v>
      </c>
      <c r="AN20" t="s">
        <v>14</v>
      </c>
      <c r="AO20" t="s">
        <v>14</v>
      </c>
      <c r="AQ20">
        <v>1</v>
      </c>
      <c r="AS20" s="10">
        <v>56</v>
      </c>
      <c r="AT20" s="16">
        <f t="shared" si="10"/>
        <v>1.0897638814719999</v>
      </c>
      <c r="AU20" s="17">
        <f t="shared" si="11"/>
        <v>52685.5654765625</v>
      </c>
      <c r="AW20" s="6">
        <f t="shared" si="12"/>
        <v>-0.53673946880000001</v>
      </c>
      <c r="AX20" s="7">
        <f t="shared" si="13"/>
        <v>49127.324031250006</v>
      </c>
      <c r="AZ20" s="11">
        <f t="shared" si="14"/>
        <v>7.6143321600000009</v>
      </c>
      <c r="BA20" s="12">
        <f t="shared" si="15"/>
        <v>56596.748398437499</v>
      </c>
      <c r="BC20" s="13">
        <f t="shared" si="16"/>
        <v>-0.6606602214399997</v>
      </c>
      <c r="BD20" s="14">
        <f t="shared" si="17"/>
        <v>48671.96817578125</v>
      </c>
      <c r="BF20" s="16">
        <f t="shared" si="18"/>
        <v>1.0897638814719999</v>
      </c>
      <c r="BG20" s="17">
        <f t="shared" si="19"/>
        <v>52685.5654765625</v>
      </c>
      <c r="BI20">
        <v>56</v>
      </c>
      <c r="BJ20" t="s">
        <v>46</v>
      </c>
      <c r="BK20" s="2">
        <v>45930.807824074072</v>
      </c>
      <c r="BL20">
        <v>305</v>
      </c>
      <c r="BM20" t="s">
        <v>13</v>
      </c>
      <c r="BN20">
        <v>0</v>
      </c>
      <c r="BO20">
        <v>2.8769999999999998</v>
      </c>
      <c r="BP20" s="3">
        <v>831838</v>
      </c>
      <c r="BQ20">
        <v>0</v>
      </c>
      <c r="BR20" t="s">
        <v>14</v>
      </c>
      <c r="BS20" t="s">
        <v>14</v>
      </c>
      <c r="BT20" t="s">
        <v>14</v>
      </c>
      <c r="BU20" t="s">
        <v>14</v>
      </c>
    </row>
    <row r="21" spans="1:73" x14ac:dyDescent="0.25">
      <c r="A21">
        <v>57</v>
      </c>
      <c r="B21" t="s">
        <v>47</v>
      </c>
      <c r="C21" s="2">
        <v>45930.829004629632</v>
      </c>
      <c r="D21">
        <v>238</v>
      </c>
      <c r="E21" t="s">
        <v>13</v>
      </c>
      <c r="F21">
        <v>0</v>
      </c>
      <c r="G21">
        <v>6.0540000000000003</v>
      </c>
      <c r="H21" s="3">
        <v>54099</v>
      </c>
      <c r="I21">
        <v>0.122</v>
      </c>
      <c r="J21" t="s">
        <v>14</v>
      </c>
      <c r="K21" t="s">
        <v>14</v>
      </c>
      <c r="L21" t="s">
        <v>14</v>
      </c>
      <c r="M21" t="s">
        <v>14</v>
      </c>
      <c r="O21">
        <v>57</v>
      </c>
      <c r="P21" t="s">
        <v>47</v>
      </c>
      <c r="Q21" s="2">
        <v>45930.829004629632</v>
      </c>
      <c r="R21">
        <v>238</v>
      </c>
      <c r="S21" t="s">
        <v>13</v>
      </c>
      <c r="T21">
        <v>0</v>
      </c>
      <c r="U21" t="s">
        <v>14</v>
      </c>
      <c r="V21" t="s">
        <v>14</v>
      </c>
      <c r="W21" t="s">
        <v>14</v>
      </c>
      <c r="X21" t="s">
        <v>14</v>
      </c>
      <c r="Y21" t="s">
        <v>14</v>
      </c>
      <c r="Z21" t="s">
        <v>14</v>
      </c>
      <c r="AA21" t="s">
        <v>14</v>
      </c>
      <c r="AC21">
        <v>57</v>
      </c>
      <c r="AD21" t="s">
        <v>47</v>
      </c>
      <c r="AE21" s="2">
        <v>45930.829004629632</v>
      </c>
      <c r="AF21">
        <v>238</v>
      </c>
      <c r="AG21" t="s">
        <v>13</v>
      </c>
      <c r="AH21">
        <v>0</v>
      </c>
      <c r="AI21">
        <v>12.067</v>
      </c>
      <c r="AJ21" s="3">
        <v>226329</v>
      </c>
      <c r="AK21">
        <v>48.768000000000001</v>
      </c>
      <c r="AL21" t="s">
        <v>14</v>
      </c>
      <c r="AM21" t="s">
        <v>14</v>
      </c>
      <c r="AN21" t="s">
        <v>14</v>
      </c>
      <c r="AO21" t="s">
        <v>14</v>
      </c>
      <c r="AQ21">
        <v>1</v>
      </c>
      <c r="AS21" s="10">
        <v>57</v>
      </c>
      <c r="AT21" s="16">
        <f t="shared" si="10"/>
        <v>147.502795426337</v>
      </c>
      <c r="AU21" s="17">
        <f t="shared" si="11"/>
        <v>48639.42875152058</v>
      </c>
      <c r="AW21" s="6">
        <f t="shared" si="12"/>
        <v>124.31873543694746</v>
      </c>
      <c r="AX21" s="7">
        <f t="shared" si="13"/>
        <v>45371.246989529682</v>
      </c>
      <c r="AZ21" s="11">
        <f t="shared" si="14"/>
        <v>149.58784825982301</v>
      </c>
      <c r="BA21" s="12">
        <f t="shared" si="15"/>
        <v>52189.598315743096</v>
      </c>
      <c r="BC21" s="13">
        <f t="shared" si="16"/>
        <v>151.6667695198712</v>
      </c>
      <c r="BD21" s="14">
        <f t="shared" si="17"/>
        <v>44910.040365728775</v>
      </c>
      <c r="BF21" s="16">
        <f t="shared" si="18"/>
        <v>147.502795426337</v>
      </c>
      <c r="BG21" s="17">
        <f t="shared" si="19"/>
        <v>48639.42875152058</v>
      </c>
      <c r="BI21">
        <v>57</v>
      </c>
      <c r="BJ21" t="s">
        <v>47</v>
      </c>
      <c r="BK21" s="2">
        <v>45930.829004629632</v>
      </c>
      <c r="BL21">
        <v>238</v>
      </c>
      <c r="BM21" t="s">
        <v>13</v>
      </c>
      <c r="BN21">
        <v>0</v>
      </c>
      <c r="BO21">
        <v>2.8860000000000001</v>
      </c>
      <c r="BP21" s="3">
        <v>744720</v>
      </c>
      <c r="BQ21">
        <v>0</v>
      </c>
      <c r="BR21" t="s">
        <v>14</v>
      </c>
      <c r="BS21" t="s">
        <v>14</v>
      </c>
      <c r="BT21" t="s">
        <v>14</v>
      </c>
      <c r="BU21" t="s">
        <v>14</v>
      </c>
    </row>
    <row r="22" spans="1:73" x14ac:dyDescent="0.25">
      <c r="A22">
        <v>58</v>
      </c>
      <c r="B22" t="s">
        <v>48</v>
      </c>
      <c r="C22" s="2">
        <v>45930.850208333337</v>
      </c>
      <c r="D22">
        <v>119</v>
      </c>
      <c r="E22" t="s">
        <v>13</v>
      </c>
      <c r="F22">
        <v>0</v>
      </c>
      <c r="G22">
        <v>6.0439999999999996</v>
      </c>
      <c r="H22" s="3">
        <v>3206832</v>
      </c>
      <c r="I22">
        <v>7.2830000000000004</v>
      </c>
      <c r="J22" t="s">
        <v>14</v>
      </c>
      <c r="K22" t="s">
        <v>14</v>
      </c>
      <c r="L22" t="s">
        <v>14</v>
      </c>
      <c r="M22" t="s">
        <v>14</v>
      </c>
      <c r="O22">
        <v>58</v>
      </c>
      <c r="P22" t="s">
        <v>48</v>
      </c>
      <c r="Q22" s="2">
        <v>45930.850208333337</v>
      </c>
      <c r="R22">
        <v>119</v>
      </c>
      <c r="S22" t="s">
        <v>13</v>
      </c>
      <c r="T22">
        <v>0</v>
      </c>
      <c r="U22">
        <v>5.9980000000000002</v>
      </c>
      <c r="V22" s="3">
        <v>25930</v>
      </c>
      <c r="W22">
        <v>6.4969999999999999</v>
      </c>
      <c r="X22" t="s">
        <v>14</v>
      </c>
      <c r="Y22" t="s">
        <v>14</v>
      </c>
      <c r="Z22" t="s">
        <v>14</v>
      </c>
      <c r="AA22" t="s">
        <v>14</v>
      </c>
      <c r="AC22">
        <v>58</v>
      </c>
      <c r="AD22" t="s">
        <v>48</v>
      </c>
      <c r="AE22" s="2">
        <v>45930.850208333337</v>
      </c>
      <c r="AF22">
        <v>119</v>
      </c>
      <c r="AG22" t="s">
        <v>13</v>
      </c>
      <c r="AH22">
        <v>0</v>
      </c>
      <c r="AI22">
        <v>12.122999999999999</v>
      </c>
      <c r="AJ22" s="3">
        <v>165640</v>
      </c>
      <c r="AK22">
        <v>35.820999999999998</v>
      </c>
      <c r="AL22" t="s">
        <v>14</v>
      </c>
      <c r="AM22" t="s">
        <v>14</v>
      </c>
      <c r="AN22" t="s">
        <v>14</v>
      </c>
      <c r="AO22" t="s">
        <v>14</v>
      </c>
      <c r="AQ22">
        <v>1</v>
      </c>
      <c r="AS22" s="10">
        <v>58</v>
      </c>
      <c r="AT22" s="16">
        <f t="shared" si="10"/>
        <v>6709.1959772427335</v>
      </c>
      <c r="AU22" s="17">
        <f t="shared" si="11"/>
        <v>35862.131206048005</v>
      </c>
      <c r="AW22" s="6">
        <f t="shared" si="12"/>
        <v>6621.0725682379998</v>
      </c>
      <c r="AX22" s="7">
        <f t="shared" si="13"/>
        <v>33433.905723008007</v>
      </c>
      <c r="AZ22" s="11">
        <f t="shared" si="14"/>
        <v>6184.0759305422343</v>
      </c>
      <c r="BA22" s="12">
        <f t="shared" si="15"/>
        <v>38129.870667359995</v>
      </c>
      <c r="BC22" s="13">
        <f t="shared" si="16"/>
        <v>6965.4815928474109</v>
      </c>
      <c r="BD22" s="14">
        <f t="shared" si="17"/>
        <v>32961.530271312004</v>
      </c>
      <c r="BF22" s="16">
        <f t="shared" si="18"/>
        <v>6709.1959772427335</v>
      </c>
      <c r="BG22" s="17">
        <f t="shared" si="19"/>
        <v>35862.131206048005</v>
      </c>
      <c r="BI22">
        <v>58</v>
      </c>
      <c r="BJ22" t="s">
        <v>48</v>
      </c>
      <c r="BK22" s="2">
        <v>45930.850208333337</v>
      </c>
      <c r="BL22">
        <v>119</v>
      </c>
      <c r="BM22" t="s">
        <v>13</v>
      </c>
      <c r="BN22">
        <v>0</v>
      </c>
      <c r="BO22">
        <v>2.8860000000000001</v>
      </c>
      <c r="BP22" s="3">
        <v>732053</v>
      </c>
      <c r="BQ22">
        <v>0</v>
      </c>
      <c r="BR22" t="s">
        <v>14</v>
      </c>
      <c r="BS22" t="s">
        <v>14</v>
      </c>
      <c r="BT22" t="s">
        <v>14</v>
      </c>
      <c r="BU22" t="s">
        <v>14</v>
      </c>
    </row>
    <row r="23" spans="1:73" x14ac:dyDescent="0.25">
      <c r="A23">
        <v>59</v>
      </c>
      <c r="B23" t="s">
        <v>49</v>
      </c>
      <c r="C23" s="2">
        <v>45930.871388888889</v>
      </c>
      <c r="D23">
        <v>74</v>
      </c>
      <c r="E23" t="s">
        <v>13</v>
      </c>
      <c r="F23">
        <v>0</v>
      </c>
      <c r="G23">
        <v>6.05</v>
      </c>
      <c r="H23" s="3">
        <v>53225</v>
      </c>
      <c r="I23">
        <v>0.12</v>
      </c>
      <c r="J23" t="s">
        <v>14</v>
      </c>
      <c r="K23" t="s">
        <v>14</v>
      </c>
      <c r="L23" t="s">
        <v>14</v>
      </c>
      <c r="M23" t="s">
        <v>14</v>
      </c>
      <c r="O23">
        <v>59</v>
      </c>
      <c r="P23" t="s">
        <v>49</v>
      </c>
      <c r="Q23" s="2">
        <v>45930.871388888889</v>
      </c>
      <c r="R23">
        <v>74</v>
      </c>
      <c r="S23" t="s">
        <v>13</v>
      </c>
      <c r="T23">
        <v>0</v>
      </c>
      <c r="U23" t="s">
        <v>14</v>
      </c>
      <c r="V23" t="s">
        <v>14</v>
      </c>
      <c r="W23" t="s">
        <v>14</v>
      </c>
      <c r="X23" t="s">
        <v>14</v>
      </c>
      <c r="Y23" t="s">
        <v>14</v>
      </c>
      <c r="Z23" t="s">
        <v>14</v>
      </c>
      <c r="AA23" t="s">
        <v>14</v>
      </c>
      <c r="AC23">
        <v>59</v>
      </c>
      <c r="AD23" t="s">
        <v>49</v>
      </c>
      <c r="AE23" s="2">
        <v>45930.871388888889</v>
      </c>
      <c r="AF23">
        <v>74</v>
      </c>
      <c r="AG23" t="s">
        <v>13</v>
      </c>
      <c r="AH23">
        <v>0</v>
      </c>
      <c r="AI23">
        <v>12.272</v>
      </c>
      <c r="AJ23" s="3">
        <v>69</v>
      </c>
      <c r="AK23">
        <v>-8.1000000000000003E-2</v>
      </c>
      <c r="AL23" t="s">
        <v>14</v>
      </c>
      <c r="AM23" t="s">
        <v>14</v>
      </c>
      <c r="AN23" t="s">
        <v>14</v>
      </c>
      <c r="AO23" t="s">
        <v>14</v>
      </c>
      <c r="AQ23">
        <v>1</v>
      </c>
      <c r="AS23" s="10">
        <v>59</v>
      </c>
      <c r="AT23" s="16">
        <f t="shared" si="10"/>
        <v>145.183397135625</v>
      </c>
      <c r="AU23" s="17">
        <f t="shared" si="11"/>
        <v>-118.28893362226999</v>
      </c>
      <c r="AW23" s="6">
        <f t="shared" si="12"/>
        <v>122.27413818366249</v>
      </c>
      <c r="AX23" s="7">
        <f t="shared" si="13"/>
        <v>-89.437821500720005</v>
      </c>
      <c r="AZ23" s="11">
        <f t="shared" si="14"/>
        <v>147.076190714375</v>
      </c>
      <c r="BA23" s="12">
        <f t="shared" si="15"/>
        <v>-4.8861714921000008</v>
      </c>
      <c r="BC23" s="13">
        <f t="shared" si="16"/>
        <v>149.16013329949999</v>
      </c>
      <c r="BD23" s="14">
        <f t="shared" si="17"/>
        <v>48.244715292199999</v>
      </c>
      <c r="BF23" s="16">
        <f t="shared" si="18"/>
        <v>145.183397135625</v>
      </c>
      <c r="BG23" s="17">
        <f t="shared" si="19"/>
        <v>-118.28893362226999</v>
      </c>
      <c r="BI23">
        <v>59</v>
      </c>
      <c r="BJ23" t="s">
        <v>49</v>
      </c>
      <c r="BK23" s="2">
        <v>45930.871388888889</v>
      </c>
      <c r="BL23">
        <v>74</v>
      </c>
      <c r="BM23" t="s">
        <v>13</v>
      </c>
      <c r="BN23">
        <v>0</v>
      </c>
      <c r="BO23">
        <v>2.8719999999999999</v>
      </c>
      <c r="BP23" s="3">
        <v>928705</v>
      </c>
      <c r="BQ23">
        <v>0</v>
      </c>
      <c r="BR23" t="s">
        <v>14</v>
      </c>
      <c r="BS23" t="s">
        <v>14</v>
      </c>
      <c r="BT23" t="s">
        <v>14</v>
      </c>
      <c r="BU23" t="s">
        <v>14</v>
      </c>
    </row>
    <row r="24" spans="1:73" x14ac:dyDescent="0.25">
      <c r="A24">
        <v>60</v>
      </c>
      <c r="B24" t="s">
        <v>50</v>
      </c>
      <c r="C24" s="2">
        <v>45930.892638888887</v>
      </c>
      <c r="D24">
        <v>30</v>
      </c>
      <c r="E24" t="s">
        <v>13</v>
      </c>
      <c r="F24">
        <v>0</v>
      </c>
      <c r="G24">
        <v>6.0430000000000001</v>
      </c>
      <c r="H24" s="3">
        <v>1302260</v>
      </c>
      <c r="I24">
        <v>2.944</v>
      </c>
      <c r="J24" t="s">
        <v>14</v>
      </c>
      <c r="K24" t="s">
        <v>14</v>
      </c>
      <c r="L24" t="s">
        <v>14</v>
      </c>
      <c r="M24" t="s">
        <v>14</v>
      </c>
      <c r="O24">
        <v>60</v>
      </c>
      <c r="P24" t="s">
        <v>50</v>
      </c>
      <c r="Q24" s="2">
        <v>45930.892638888887</v>
      </c>
      <c r="R24">
        <v>30</v>
      </c>
      <c r="S24" t="s">
        <v>13</v>
      </c>
      <c r="T24">
        <v>0</v>
      </c>
      <c r="U24">
        <v>5.9950000000000001</v>
      </c>
      <c r="V24" s="3">
        <v>9706</v>
      </c>
      <c r="W24">
        <v>2.4910000000000001</v>
      </c>
      <c r="X24" t="s">
        <v>14</v>
      </c>
      <c r="Y24" t="s">
        <v>14</v>
      </c>
      <c r="Z24" t="s">
        <v>14</v>
      </c>
      <c r="AA24" t="s">
        <v>14</v>
      </c>
      <c r="AC24">
        <v>60</v>
      </c>
      <c r="AD24" t="s">
        <v>50</v>
      </c>
      <c r="AE24" s="2">
        <v>45930.892638888887</v>
      </c>
      <c r="AF24">
        <v>30</v>
      </c>
      <c r="AG24" t="s">
        <v>13</v>
      </c>
      <c r="AH24">
        <v>0</v>
      </c>
      <c r="AI24">
        <v>12.2</v>
      </c>
      <c r="AJ24" s="3">
        <v>45583</v>
      </c>
      <c r="AK24">
        <v>9.8740000000000006</v>
      </c>
      <c r="AL24" t="s">
        <v>14</v>
      </c>
      <c r="AM24" t="s">
        <v>14</v>
      </c>
      <c r="AN24" t="s">
        <v>14</v>
      </c>
      <c r="AO24" t="s">
        <v>14</v>
      </c>
      <c r="AQ24">
        <v>1</v>
      </c>
      <c r="AS24" s="10">
        <v>60</v>
      </c>
      <c r="AT24" s="16">
        <f t="shared" si="10"/>
        <v>2840.9947422323476</v>
      </c>
      <c r="AU24" s="17">
        <f t="shared" si="11"/>
        <v>10355.20375897882</v>
      </c>
      <c r="AW24" s="6">
        <f t="shared" si="12"/>
        <v>2623.3268792703198</v>
      </c>
      <c r="AX24" s="7">
        <f t="shared" si="13"/>
        <v>9265.2803916327193</v>
      </c>
      <c r="AZ24" s="11">
        <f t="shared" si="14"/>
        <v>2648.9410113986396</v>
      </c>
      <c r="BA24" s="12">
        <f t="shared" si="15"/>
        <v>9428.9266755399003</v>
      </c>
      <c r="BC24" s="13">
        <f t="shared" si="16"/>
        <v>2937.2287171328799</v>
      </c>
      <c r="BD24" s="14">
        <f t="shared" si="17"/>
        <v>8803.1431283673301</v>
      </c>
      <c r="BF24" s="16">
        <f t="shared" si="18"/>
        <v>2840.9947422323476</v>
      </c>
      <c r="BG24" s="17">
        <f t="shared" si="19"/>
        <v>10355.20375897882</v>
      </c>
      <c r="BI24">
        <v>60</v>
      </c>
      <c r="BJ24" t="s">
        <v>50</v>
      </c>
      <c r="BK24" s="2">
        <v>45930.892638888887</v>
      </c>
      <c r="BL24">
        <v>30</v>
      </c>
      <c r="BM24" t="s">
        <v>13</v>
      </c>
      <c r="BN24">
        <v>0</v>
      </c>
      <c r="BO24">
        <v>2.8660000000000001</v>
      </c>
      <c r="BP24" s="3">
        <v>1004182</v>
      </c>
      <c r="BQ24">
        <v>0</v>
      </c>
      <c r="BR24" t="s">
        <v>14</v>
      </c>
      <c r="BS24" t="s">
        <v>14</v>
      </c>
      <c r="BT24" t="s">
        <v>14</v>
      </c>
      <c r="BU24" t="s">
        <v>14</v>
      </c>
    </row>
    <row r="25" spans="1:73" x14ac:dyDescent="0.25">
      <c r="A25">
        <v>61</v>
      </c>
      <c r="B25" t="s">
        <v>51</v>
      </c>
      <c r="C25" s="2">
        <v>45930.913854166669</v>
      </c>
      <c r="D25">
        <v>33</v>
      </c>
      <c r="E25" t="s">
        <v>13</v>
      </c>
      <c r="F25">
        <v>0</v>
      </c>
      <c r="G25">
        <v>6.05</v>
      </c>
      <c r="H25" s="3">
        <v>58946</v>
      </c>
      <c r="I25">
        <v>0.13300000000000001</v>
      </c>
      <c r="J25" t="s">
        <v>14</v>
      </c>
      <c r="K25" t="s">
        <v>14</v>
      </c>
      <c r="L25" t="s">
        <v>14</v>
      </c>
      <c r="M25" t="s">
        <v>14</v>
      </c>
      <c r="O25">
        <v>61</v>
      </c>
      <c r="P25" t="s">
        <v>51</v>
      </c>
      <c r="Q25" s="2">
        <v>45930.913854166669</v>
      </c>
      <c r="R25">
        <v>33</v>
      </c>
      <c r="S25" t="s">
        <v>13</v>
      </c>
      <c r="T25">
        <v>0</v>
      </c>
      <c r="U25" t="s">
        <v>14</v>
      </c>
      <c r="V25" t="s">
        <v>14</v>
      </c>
      <c r="W25" t="s">
        <v>14</v>
      </c>
      <c r="X25" t="s">
        <v>14</v>
      </c>
      <c r="Y25" t="s">
        <v>14</v>
      </c>
      <c r="Z25" t="s">
        <v>14</v>
      </c>
      <c r="AA25" t="s">
        <v>14</v>
      </c>
      <c r="AC25">
        <v>61</v>
      </c>
      <c r="AD25" t="s">
        <v>51</v>
      </c>
      <c r="AE25" s="2">
        <v>45930.913854166669</v>
      </c>
      <c r="AF25">
        <v>33</v>
      </c>
      <c r="AG25" t="s">
        <v>13</v>
      </c>
      <c r="AH25">
        <v>0</v>
      </c>
      <c r="AI25">
        <v>12.407</v>
      </c>
      <c r="AJ25" s="3">
        <v>107</v>
      </c>
      <c r="AK25">
        <v>-7.2999999999999995E-2</v>
      </c>
      <c r="AL25" t="s">
        <v>14</v>
      </c>
      <c r="AM25" t="s">
        <v>14</v>
      </c>
      <c r="AN25" t="s">
        <v>14</v>
      </c>
      <c r="AO25" t="s">
        <v>14</v>
      </c>
      <c r="AQ25">
        <v>1</v>
      </c>
      <c r="AS25" s="10">
        <v>61</v>
      </c>
      <c r="AT25" s="16">
        <f t="shared" si="10"/>
        <v>160.35834406909197</v>
      </c>
      <c r="AU25" s="17">
        <f t="shared" si="11"/>
        <v>-109.63666180243</v>
      </c>
      <c r="AW25" s="6">
        <f t="shared" si="12"/>
        <v>135.65536122602535</v>
      </c>
      <c r="AX25" s="7">
        <f t="shared" si="13"/>
        <v>-81.583392178479997</v>
      </c>
      <c r="AZ25" s="11">
        <f t="shared" si="14"/>
        <v>163.47318504546803</v>
      </c>
      <c r="BA25" s="12">
        <f t="shared" si="15"/>
        <v>4.3827781111000021</v>
      </c>
      <c r="BC25" s="13">
        <f t="shared" si="16"/>
        <v>165.55998059145921</v>
      </c>
      <c r="BD25" s="14">
        <f t="shared" si="17"/>
        <v>56.034315349799996</v>
      </c>
      <c r="BF25" s="16">
        <f t="shared" si="18"/>
        <v>160.35834406909197</v>
      </c>
      <c r="BG25" s="17">
        <f t="shared" si="19"/>
        <v>-109.63666180243</v>
      </c>
      <c r="BI25">
        <v>61</v>
      </c>
      <c r="BJ25" t="s">
        <v>51</v>
      </c>
      <c r="BK25" s="2">
        <v>45930.913854166669</v>
      </c>
      <c r="BL25">
        <v>33</v>
      </c>
      <c r="BM25" t="s">
        <v>13</v>
      </c>
      <c r="BN25">
        <v>0</v>
      </c>
      <c r="BO25">
        <v>2.8690000000000002</v>
      </c>
      <c r="BP25" s="3">
        <v>985178</v>
      </c>
      <c r="BQ25">
        <v>0</v>
      </c>
      <c r="BR25" t="s">
        <v>14</v>
      </c>
      <c r="BS25" t="s">
        <v>14</v>
      </c>
      <c r="BT25" t="s">
        <v>14</v>
      </c>
      <c r="BU25" t="s">
        <v>14</v>
      </c>
    </row>
    <row r="26" spans="1:73" x14ac:dyDescent="0.25">
      <c r="A26">
        <v>62</v>
      </c>
      <c r="B26" t="s">
        <v>52</v>
      </c>
      <c r="C26" s="2">
        <v>45930.935046296298</v>
      </c>
      <c r="D26">
        <v>10</v>
      </c>
      <c r="E26" t="s">
        <v>13</v>
      </c>
      <c r="F26">
        <v>0</v>
      </c>
      <c r="G26">
        <v>6.0490000000000004</v>
      </c>
      <c r="H26" s="3">
        <v>57259</v>
      </c>
      <c r="I26">
        <v>0.129</v>
      </c>
      <c r="J26" t="s">
        <v>14</v>
      </c>
      <c r="K26" t="s">
        <v>14</v>
      </c>
      <c r="L26" t="s">
        <v>14</v>
      </c>
      <c r="M26" t="s">
        <v>14</v>
      </c>
      <c r="O26">
        <v>62</v>
      </c>
      <c r="P26" t="s">
        <v>52</v>
      </c>
      <c r="Q26" s="2">
        <v>45930.935046296298</v>
      </c>
      <c r="R26">
        <v>10</v>
      </c>
      <c r="S26" t="s">
        <v>13</v>
      </c>
      <c r="T26">
        <v>0</v>
      </c>
      <c r="U26" t="s">
        <v>14</v>
      </c>
      <c r="V26" s="3" t="s">
        <v>14</v>
      </c>
      <c r="W26" t="s">
        <v>14</v>
      </c>
      <c r="X26" t="s">
        <v>14</v>
      </c>
      <c r="Y26" t="s">
        <v>14</v>
      </c>
      <c r="Z26" t="s">
        <v>14</v>
      </c>
      <c r="AA26" t="s">
        <v>14</v>
      </c>
      <c r="AC26">
        <v>62</v>
      </c>
      <c r="AD26" t="s">
        <v>52</v>
      </c>
      <c r="AE26" s="2">
        <v>45930.935046296298</v>
      </c>
      <c r="AF26">
        <v>10</v>
      </c>
      <c r="AG26" t="s">
        <v>13</v>
      </c>
      <c r="AH26">
        <v>0</v>
      </c>
      <c r="AI26">
        <v>12.347</v>
      </c>
      <c r="AJ26" s="3">
        <v>159</v>
      </c>
      <c r="AK26">
        <v>-6.2E-2</v>
      </c>
      <c r="AL26" t="s">
        <v>14</v>
      </c>
      <c r="AM26" t="s">
        <v>14</v>
      </c>
      <c r="AN26" t="s">
        <v>14</v>
      </c>
      <c r="AO26" t="s">
        <v>14</v>
      </c>
      <c r="AQ26">
        <v>1</v>
      </c>
      <c r="AS26" s="10">
        <v>62</v>
      </c>
      <c r="AT26" s="16">
        <f t="shared" si="10"/>
        <v>155.88536801969698</v>
      </c>
      <c r="AU26" s="17">
        <f t="shared" si="11"/>
        <v>-97.796940538669986</v>
      </c>
      <c r="AW26" s="6">
        <f t="shared" si="12"/>
        <v>131.71007411325627</v>
      </c>
      <c r="AX26" s="7">
        <f t="shared" si="13"/>
        <v>-70.835345171119997</v>
      </c>
      <c r="AZ26" s="11">
        <f t="shared" si="14"/>
        <v>158.64879571126301</v>
      </c>
      <c r="BA26" s="12">
        <f t="shared" si="15"/>
        <v>17.0644693359</v>
      </c>
      <c r="BC26" s="13">
        <f t="shared" si="16"/>
        <v>160.7259833182072</v>
      </c>
      <c r="BD26" s="14">
        <f t="shared" si="17"/>
        <v>66.693488196200008</v>
      </c>
      <c r="BF26" s="16">
        <f t="shared" si="18"/>
        <v>155.88536801969698</v>
      </c>
      <c r="BG26" s="17">
        <f t="shared" si="19"/>
        <v>-97.796940538669986</v>
      </c>
      <c r="BI26">
        <v>62</v>
      </c>
      <c r="BJ26" t="s">
        <v>52</v>
      </c>
      <c r="BK26" s="2">
        <v>45930.935046296298</v>
      </c>
      <c r="BL26">
        <v>10</v>
      </c>
      <c r="BM26" t="s">
        <v>13</v>
      </c>
      <c r="BN26">
        <v>0</v>
      </c>
      <c r="BO26">
        <v>2.87</v>
      </c>
      <c r="BP26" s="3">
        <v>972212</v>
      </c>
      <c r="BQ26">
        <v>0</v>
      </c>
      <c r="BR26" t="s">
        <v>14</v>
      </c>
      <c r="BS26" t="s">
        <v>14</v>
      </c>
      <c r="BT26" t="s">
        <v>14</v>
      </c>
      <c r="BU26" t="s">
        <v>14</v>
      </c>
    </row>
    <row r="27" spans="1:73" x14ac:dyDescent="0.25">
      <c r="A27">
        <v>63</v>
      </c>
      <c r="B27" t="s">
        <v>53</v>
      </c>
      <c r="C27" s="2">
        <v>45930.956250000003</v>
      </c>
      <c r="D27">
        <v>122</v>
      </c>
      <c r="E27" t="s">
        <v>13</v>
      </c>
      <c r="F27">
        <v>0</v>
      </c>
      <c r="G27">
        <v>6.048</v>
      </c>
      <c r="H27" s="3">
        <v>67652</v>
      </c>
      <c r="I27">
        <v>0.153</v>
      </c>
      <c r="J27" t="s">
        <v>14</v>
      </c>
      <c r="K27" t="s">
        <v>14</v>
      </c>
      <c r="L27" t="s">
        <v>14</v>
      </c>
      <c r="M27" t="s">
        <v>14</v>
      </c>
      <c r="O27">
        <v>63</v>
      </c>
      <c r="P27" t="s">
        <v>53</v>
      </c>
      <c r="Q27" s="2">
        <v>45930.956250000003</v>
      </c>
      <c r="R27">
        <v>122</v>
      </c>
      <c r="S27" t="s">
        <v>13</v>
      </c>
      <c r="T27">
        <v>0</v>
      </c>
      <c r="U27" t="s">
        <v>14</v>
      </c>
      <c r="V27" t="s">
        <v>14</v>
      </c>
      <c r="W27" t="s">
        <v>14</v>
      </c>
      <c r="X27" t="s">
        <v>14</v>
      </c>
      <c r="Y27" t="s">
        <v>14</v>
      </c>
      <c r="Z27" t="s">
        <v>14</v>
      </c>
      <c r="AA27" t="s">
        <v>14</v>
      </c>
      <c r="AC27">
        <v>63</v>
      </c>
      <c r="AD27" t="s">
        <v>53</v>
      </c>
      <c r="AE27" s="2">
        <v>45930.956250000003</v>
      </c>
      <c r="AF27">
        <v>122</v>
      </c>
      <c r="AG27" t="s">
        <v>13</v>
      </c>
      <c r="AH27">
        <v>0</v>
      </c>
      <c r="AI27">
        <v>12.25</v>
      </c>
      <c r="AJ27" s="3">
        <v>8256</v>
      </c>
      <c r="AK27">
        <v>1.714</v>
      </c>
      <c r="AL27" t="s">
        <v>14</v>
      </c>
      <c r="AM27" t="s">
        <v>14</v>
      </c>
      <c r="AN27" t="s">
        <v>14</v>
      </c>
      <c r="AO27" t="s">
        <v>14</v>
      </c>
      <c r="AQ27">
        <v>1</v>
      </c>
      <c r="AS27" s="10">
        <v>63</v>
      </c>
      <c r="AT27" s="16">
        <f t="shared" si="10"/>
        <v>183.417967413648</v>
      </c>
      <c r="AU27" s="17">
        <f t="shared" si="11"/>
        <v>1742.54651342848</v>
      </c>
      <c r="AW27" s="6">
        <f t="shared" si="12"/>
        <v>156.00828108340383</v>
      </c>
      <c r="AX27" s="7">
        <f t="shared" si="13"/>
        <v>1601.0757176012801</v>
      </c>
      <c r="AZ27" s="11">
        <f t="shared" si="14"/>
        <v>188.22743327499202</v>
      </c>
      <c r="BA27" s="12">
        <f t="shared" si="15"/>
        <v>1961.6555234303999</v>
      </c>
      <c r="BC27" s="13">
        <f t="shared" si="16"/>
        <v>190.48037015156481</v>
      </c>
      <c r="BD27" s="14">
        <f t="shared" si="17"/>
        <v>1722.5039401471997</v>
      </c>
      <c r="BF27" s="16">
        <f t="shared" si="18"/>
        <v>183.417967413648</v>
      </c>
      <c r="BG27" s="17">
        <f t="shared" si="19"/>
        <v>1742.54651342848</v>
      </c>
      <c r="BI27">
        <v>63</v>
      </c>
      <c r="BJ27" t="s">
        <v>53</v>
      </c>
      <c r="BK27" s="2">
        <v>45930.956250000003</v>
      </c>
      <c r="BL27">
        <v>122</v>
      </c>
      <c r="BM27" t="s">
        <v>13</v>
      </c>
      <c r="BN27">
        <v>0</v>
      </c>
      <c r="BO27">
        <v>2.8719999999999999</v>
      </c>
      <c r="BP27" s="3">
        <v>910373</v>
      </c>
      <c r="BQ27">
        <v>0</v>
      </c>
      <c r="BR27" t="s">
        <v>14</v>
      </c>
      <c r="BS27" t="s">
        <v>14</v>
      </c>
      <c r="BT27" t="s">
        <v>14</v>
      </c>
      <c r="BU27" t="s">
        <v>14</v>
      </c>
    </row>
    <row r="28" spans="1:73" x14ac:dyDescent="0.25">
      <c r="A28">
        <v>64</v>
      </c>
      <c r="B28" t="s">
        <v>54</v>
      </c>
      <c r="C28" s="2">
        <v>45930.977465277778</v>
      </c>
      <c r="D28">
        <v>180</v>
      </c>
      <c r="E28" t="s">
        <v>13</v>
      </c>
      <c r="F28">
        <v>0</v>
      </c>
      <c r="G28">
        <v>6.0759999999999996</v>
      </c>
      <c r="H28" s="3">
        <v>1763</v>
      </c>
      <c r="I28">
        <v>4.0000000000000001E-3</v>
      </c>
      <c r="J28" t="s">
        <v>14</v>
      </c>
      <c r="K28" t="s">
        <v>14</v>
      </c>
      <c r="L28" t="s">
        <v>14</v>
      </c>
      <c r="M28" t="s">
        <v>14</v>
      </c>
      <c r="O28">
        <v>64</v>
      </c>
      <c r="P28" t="s">
        <v>54</v>
      </c>
      <c r="Q28" s="2">
        <v>45930.977465277778</v>
      </c>
      <c r="R28">
        <v>180</v>
      </c>
      <c r="S28" t="s">
        <v>13</v>
      </c>
      <c r="T28">
        <v>0</v>
      </c>
      <c r="U28" t="s">
        <v>14</v>
      </c>
      <c r="V28" t="s">
        <v>14</v>
      </c>
      <c r="W28" t="s">
        <v>14</v>
      </c>
      <c r="X28" t="s">
        <v>14</v>
      </c>
      <c r="Y28" t="s">
        <v>14</v>
      </c>
      <c r="Z28" t="s">
        <v>14</v>
      </c>
      <c r="AA28" t="s">
        <v>14</v>
      </c>
      <c r="AC28">
        <v>64</v>
      </c>
      <c r="AD28" t="s">
        <v>54</v>
      </c>
      <c r="AE28" s="2">
        <v>45930.977465277778</v>
      </c>
      <c r="AF28">
        <v>180</v>
      </c>
      <c r="AG28" t="s">
        <v>13</v>
      </c>
      <c r="AH28">
        <v>0</v>
      </c>
      <c r="AI28" t="s">
        <v>14</v>
      </c>
      <c r="AJ28" s="3" t="s">
        <v>14</v>
      </c>
      <c r="AK28" t="s">
        <v>14</v>
      </c>
      <c r="AL28" t="s">
        <v>14</v>
      </c>
      <c r="AM28" t="s">
        <v>14</v>
      </c>
      <c r="AN28" t="s">
        <v>14</v>
      </c>
      <c r="AO28" t="s">
        <v>14</v>
      </c>
      <c r="AQ28">
        <v>2</v>
      </c>
      <c r="AR28" t="s">
        <v>76</v>
      </c>
      <c r="AS28" s="10">
        <v>64</v>
      </c>
      <c r="AT28" s="16">
        <f t="shared" si="10"/>
        <v>2.8961636793169996</v>
      </c>
      <c r="AU28" s="17" t="e">
        <f t="shared" si="11"/>
        <v>#VALUE!</v>
      </c>
      <c r="AW28" s="6">
        <f t="shared" si="12"/>
        <v>0.11854565569999997</v>
      </c>
      <c r="AX28" s="7" t="e">
        <f t="shared" si="13"/>
        <v>#VALUE!</v>
      </c>
      <c r="AZ28" s="11">
        <f t="shared" si="14"/>
        <v>5.9977162599999998</v>
      </c>
      <c r="BA28" s="12" t="e">
        <f t="shared" si="15"/>
        <v>#VALUE!</v>
      </c>
      <c r="BC28" s="13">
        <f t="shared" si="16"/>
        <v>0.69123977665999981</v>
      </c>
      <c r="BD28" s="14" t="e">
        <f t="shared" si="17"/>
        <v>#VALUE!</v>
      </c>
      <c r="BF28" s="16">
        <f t="shared" si="18"/>
        <v>2.8961636793169996</v>
      </c>
      <c r="BG28" s="17" t="e">
        <f t="shared" si="19"/>
        <v>#VALUE!</v>
      </c>
      <c r="BI28">
        <v>64</v>
      </c>
      <c r="BJ28" t="s">
        <v>54</v>
      </c>
      <c r="BK28" s="2">
        <v>45930.977465277778</v>
      </c>
      <c r="BL28">
        <v>180</v>
      </c>
      <c r="BM28" t="s">
        <v>13</v>
      </c>
      <c r="BN28">
        <v>0</v>
      </c>
      <c r="BO28">
        <v>2.8639999999999999</v>
      </c>
      <c r="BP28" s="3">
        <v>1004318</v>
      </c>
      <c r="BQ28">
        <v>0</v>
      </c>
      <c r="BR28" t="s">
        <v>14</v>
      </c>
      <c r="BS28" t="s">
        <v>14</v>
      </c>
      <c r="BT28" t="s">
        <v>14</v>
      </c>
      <c r="BU28" t="s">
        <v>14</v>
      </c>
    </row>
    <row r="29" spans="1:73" x14ac:dyDescent="0.25">
      <c r="A29">
        <v>65</v>
      </c>
      <c r="B29" t="s">
        <v>55</v>
      </c>
      <c r="C29" s="2">
        <v>45930.998692129629</v>
      </c>
      <c r="D29">
        <v>185</v>
      </c>
      <c r="E29" t="s">
        <v>13</v>
      </c>
      <c r="F29">
        <v>0</v>
      </c>
      <c r="G29">
        <v>6.0730000000000004</v>
      </c>
      <c r="H29" s="3">
        <v>1533</v>
      </c>
      <c r="I29">
        <v>4.0000000000000001E-3</v>
      </c>
      <c r="J29" t="s">
        <v>14</v>
      </c>
      <c r="K29" t="s">
        <v>14</v>
      </c>
      <c r="L29" t="s">
        <v>14</v>
      </c>
      <c r="M29" t="s">
        <v>14</v>
      </c>
      <c r="O29">
        <v>65</v>
      </c>
      <c r="P29" t="s">
        <v>55</v>
      </c>
      <c r="Q29" s="2">
        <v>45930.998692129629</v>
      </c>
      <c r="R29">
        <v>185</v>
      </c>
      <c r="S29" t="s">
        <v>13</v>
      </c>
      <c r="T29">
        <v>0</v>
      </c>
      <c r="U29" t="s">
        <v>14</v>
      </c>
      <c r="V29" s="3" t="s">
        <v>14</v>
      </c>
      <c r="W29" t="s">
        <v>14</v>
      </c>
      <c r="X29" t="s">
        <v>14</v>
      </c>
      <c r="Y29" t="s">
        <v>14</v>
      </c>
      <c r="Z29" t="s">
        <v>14</v>
      </c>
      <c r="AA29" t="s">
        <v>14</v>
      </c>
      <c r="AC29">
        <v>65</v>
      </c>
      <c r="AD29" t="s">
        <v>55</v>
      </c>
      <c r="AE29" s="2">
        <v>45930.998692129629</v>
      </c>
      <c r="AF29">
        <v>185</v>
      </c>
      <c r="AG29" t="s">
        <v>13</v>
      </c>
      <c r="AH29">
        <v>0</v>
      </c>
      <c r="AI29">
        <v>12.154999999999999</v>
      </c>
      <c r="AJ29" s="3">
        <v>161</v>
      </c>
      <c r="AK29" s="15">
        <v>-6.0999999999999999E-2</v>
      </c>
      <c r="AL29" t="s">
        <v>14</v>
      </c>
      <c r="AM29" t="s">
        <v>14</v>
      </c>
      <c r="AN29" t="s">
        <v>14</v>
      </c>
      <c r="AO29" t="s">
        <v>14</v>
      </c>
      <c r="AQ29">
        <v>1</v>
      </c>
      <c r="AS29" s="10">
        <v>65</v>
      </c>
      <c r="AT29" s="16">
        <f t="shared" si="10"/>
        <v>2.0888653058769995</v>
      </c>
      <c r="AU29" s="17">
        <f t="shared" si="11"/>
        <v>-97.341571943470001</v>
      </c>
      <c r="AW29" s="6">
        <f t="shared" si="12"/>
        <v>-0.18363036830000001</v>
      </c>
      <c r="AX29" s="7">
        <f t="shared" si="13"/>
        <v>-70.421961503920002</v>
      </c>
      <c r="AZ29" s="11">
        <f t="shared" si="14"/>
        <v>6.6843030600000004</v>
      </c>
      <c r="BA29" s="12">
        <f t="shared" si="15"/>
        <v>17.552177431899999</v>
      </c>
      <c r="BC29" s="13">
        <f t="shared" si="16"/>
        <v>8.3733085460000023E-2</v>
      </c>
      <c r="BD29" s="14">
        <f t="shared" si="17"/>
        <v>67.103449924199992</v>
      </c>
      <c r="BF29" s="16">
        <f t="shared" si="18"/>
        <v>2.0888653058769995</v>
      </c>
      <c r="BG29" s="17">
        <f t="shared" si="19"/>
        <v>-97.341571943470001</v>
      </c>
      <c r="BI29">
        <v>65</v>
      </c>
      <c r="BJ29" t="s">
        <v>55</v>
      </c>
      <c r="BK29" s="2">
        <v>45930.998692129629</v>
      </c>
      <c r="BL29">
        <v>185</v>
      </c>
      <c r="BM29" t="s">
        <v>13</v>
      </c>
      <c r="BN29">
        <v>0</v>
      </c>
      <c r="BO29">
        <v>2.8719999999999999</v>
      </c>
      <c r="BP29" s="3">
        <v>920877</v>
      </c>
      <c r="BQ29">
        <v>0</v>
      </c>
      <c r="BR29" t="s">
        <v>14</v>
      </c>
      <c r="BS29" t="s">
        <v>14</v>
      </c>
      <c r="BT29" t="s">
        <v>14</v>
      </c>
      <c r="BU29" t="s">
        <v>14</v>
      </c>
    </row>
    <row r="30" spans="1:73" x14ac:dyDescent="0.25">
      <c r="A30">
        <v>66</v>
      </c>
      <c r="B30" t="s">
        <v>56</v>
      </c>
      <c r="C30" s="2">
        <v>45931.019918981481</v>
      </c>
      <c r="D30">
        <v>285</v>
      </c>
      <c r="E30" t="s">
        <v>13</v>
      </c>
      <c r="F30">
        <v>0</v>
      </c>
      <c r="G30">
        <v>6.0449999999999999</v>
      </c>
      <c r="H30" s="3">
        <v>226325</v>
      </c>
      <c r="I30">
        <v>0.51100000000000001</v>
      </c>
      <c r="J30" t="s">
        <v>14</v>
      </c>
      <c r="K30" t="s">
        <v>14</v>
      </c>
      <c r="L30" t="s">
        <v>14</v>
      </c>
      <c r="M30" t="s">
        <v>14</v>
      </c>
      <c r="O30">
        <v>66</v>
      </c>
      <c r="P30" t="s">
        <v>56</v>
      </c>
      <c r="Q30" s="2">
        <v>45931.019918981481</v>
      </c>
      <c r="R30">
        <v>285</v>
      </c>
      <c r="S30" t="s">
        <v>13</v>
      </c>
      <c r="T30">
        <v>0</v>
      </c>
      <c r="U30">
        <v>6.0030000000000001</v>
      </c>
      <c r="V30" s="3">
        <v>1921</v>
      </c>
      <c r="W30">
        <v>0.56599999999999995</v>
      </c>
      <c r="X30" t="s">
        <v>14</v>
      </c>
      <c r="Y30" t="s">
        <v>14</v>
      </c>
      <c r="Z30" t="s">
        <v>14</v>
      </c>
      <c r="AA30" t="s">
        <v>14</v>
      </c>
      <c r="AC30">
        <v>66</v>
      </c>
      <c r="AD30" t="s">
        <v>56</v>
      </c>
      <c r="AE30" s="2">
        <v>45931.019918981481</v>
      </c>
      <c r="AF30">
        <v>285</v>
      </c>
      <c r="AG30" t="s">
        <v>13</v>
      </c>
      <c r="AH30">
        <v>0</v>
      </c>
      <c r="AI30">
        <v>12.13</v>
      </c>
      <c r="AJ30" s="3">
        <v>86993</v>
      </c>
      <c r="AK30">
        <v>18.875</v>
      </c>
      <c r="AL30" t="s">
        <v>14</v>
      </c>
      <c r="AM30" t="s">
        <v>14</v>
      </c>
      <c r="AN30" t="s">
        <v>14</v>
      </c>
      <c r="AO30" t="s">
        <v>14</v>
      </c>
      <c r="AQ30">
        <v>1</v>
      </c>
      <c r="AS30" s="10">
        <v>66</v>
      </c>
      <c r="AT30" s="16">
        <f t="shared" si="10"/>
        <v>639.41036389431815</v>
      </c>
      <c r="AU30" s="17">
        <f t="shared" si="11"/>
        <v>19187.627254639621</v>
      </c>
      <c r="AW30" s="6">
        <f t="shared" si="12"/>
        <v>524.81559912696241</v>
      </c>
      <c r="AX30" s="7">
        <f t="shared" si="13"/>
        <v>17684.623302109518</v>
      </c>
      <c r="AZ30" s="11">
        <f t="shared" si="14"/>
        <v>592.21775209537498</v>
      </c>
      <c r="BA30" s="12">
        <f t="shared" si="15"/>
        <v>19461.643814195897</v>
      </c>
      <c r="BC30" s="13">
        <f t="shared" si="16"/>
        <v>641.696892365125</v>
      </c>
      <c r="BD30" s="14">
        <f t="shared" si="17"/>
        <v>17214.102097362531</v>
      </c>
      <c r="BF30" s="16">
        <f t="shared" si="18"/>
        <v>639.41036389431815</v>
      </c>
      <c r="BG30" s="17">
        <f t="shared" si="19"/>
        <v>19187.627254639621</v>
      </c>
      <c r="BI30">
        <v>66</v>
      </c>
      <c r="BJ30" t="s">
        <v>56</v>
      </c>
      <c r="BK30" s="2">
        <v>45931.019918981481</v>
      </c>
      <c r="BL30">
        <v>285</v>
      </c>
      <c r="BM30" t="s">
        <v>13</v>
      </c>
      <c r="BN30">
        <v>0</v>
      </c>
      <c r="BO30">
        <v>2.871</v>
      </c>
      <c r="BP30" s="3">
        <v>873833</v>
      </c>
      <c r="BQ30">
        <v>0</v>
      </c>
      <c r="BR30" t="s">
        <v>14</v>
      </c>
      <c r="BS30" t="s">
        <v>14</v>
      </c>
      <c r="BT30" t="s">
        <v>14</v>
      </c>
      <c r="BU30" t="s">
        <v>14</v>
      </c>
    </row>
    <row r="31" spans="1:73" x14ac:dyDescent="0.25">
      <c r="A31">
        <v>67</v>
      </c>
      <c r="B31" t="s">
        <v>57</v>
      </c>
      <c r="C31" s="2">
        <v>45931.04109953704</v>
      </c>
      <c r="D31">
        <v>311</v>
      </c>
      <c r="E31" t="s">
        <v>13</v>
      </c>
      <c r="F31">
        <v>0</v>
      </c>
      <c r="G31">
        <v>6.0629999999999997</v>
      </c>
      <c r="H31" s="3">
        <v>3366</v>
      </c>
      <c r="I31">
        <v>8.0000000000000002E-3</v>
      </c>
      <c r="J31" t="s">
        <v>14</v>
      </c>
      <c r="K31" t="s">
        <v>14</v>
      </c>
      <c r="L31" t="s">
        <v>14</v>
      </c>
      <c r="M31" t="s">
        <v>14</v>
      </c>
      <c r="O31">
        <v>67</v>
      </c>
      <c r="P31" t="s">
        <v>57</v>
      </c>
      <c r="Q31" s="2">
        <v>45931.04109953704</v>
      </c>
      <c r="R31">
        <v>311</v>
      </c>
      <c r="S31" t="s">
        <v>13</v>
      </c>
      <c r="T31">
        <v>0</v>
      </c>
      <c r="U31" t="s">
        <v>14</v>
      </c>
      <c r="V31" t="s">
        <v>14</v>
      </c>
      <c r="W31" t="s">
        <v>14</v>
      </c>
      <c r="X31" t="s">
        <v>14</v>
      </c>
      <c r="Y31" t="s">
        <v>14</v>
      </c>
      <c r="Z31" t="s">
        <v>14</v>
      </c>
      <c r="AA31" t="s">
        <v>14</v>
      </c>
      <c r="AC31">
        <v>67</v>
      </c>
      <c r="AD31" t="s">
        <v>57</v>
      </c>
      <c r="AE31" s="2">
        <v>45931.04109953704</v>
      </c>
      <c r="AF31">
        <v>311</v>
      </c>
      <c r="AG31" t="s">
        <v>13</v>
      </c>
      <c r="AH31">
        <v>0</v>
      </c>
      <c r="AI31">
        <v>12.2</v>
      </c>
      <c r="AJ31" s="3">
        <v>18048</v>
      </c>
      <c r="AK31">
        <v>3.859</v>
      </c>
      <c r="AL31" t="s">
        <v>14</v>
      </c>
      <c r="AM31" t="s">
        <v>14</v>
      </c>
      <c r="AN31" t="s">
        <v>14</v>
      </c>
      <c r="AO31" t="s">
        <v>14</v>
      </c>
      <c r="AQ31">
        <v>1</v>
      </c>
      <c r="AS31" s="10">
        <v>67</v>
      </c>
      <c r="AT31" s="16">
        <f t="shared" si="10"/>
        <v>8.5476373163080002</v>
      </c>
      <c r="AU31" s="17">
        <f t="shared" si="11"/>
        <v>3959.5460139827201</v>
      </c>
      <c r="AW31" s="6">
        <f t="shared" si="12"/>
        <v>2.6515160068000005</v>
      </c>
      <c r="AX31" s="7">
        <f t="shared" si="13"/>
        <v>3618.5089626419203</v>
      </c>
      <c r="AZ31" s="11">
        <f t="shared" si="14"/>
        <v>2.7991862399999992</v>
      </c>
      <c r="BA31" s="12">
        <f t="shared" si="15"/>
        <v>4233.4264083455992</v>
      </c>
      <c r="BC31" s="13">
        <f t="shared" si="16"/>
        <v>5.0931916858400008</v>
      </c>
      <c r="BD31" s="14">
        <f t="shared" si="17"/>
        <v>3714.4613278207994</v>
      </c>
      <c r="BF31" s="16">
        <f t="shared" si="18"/>
        <v>8.5476373163080002</v>
      </c>
      <c r="BG31" s="17">
        <f t="shared" si="19"/>
        <v>3959.5460139827201</v>
      </c>
      <c r="BI31">
        <v>67</v>
      </c>
      <c r="BJ31" t="s">
        <v>57</v>
      </c>
      <c r="BK31" s="2">
        <v>45931.04109953704</v>
      </c>
      <c r="BL31">
        <v>311</v>
      </c>
      <c r="BM31" t="s">
        <v>13</v>
      </c>
      <c r="BN31">
        <v>0</v>
      </c>
      <c r="BO31">
        <v>2.867</v>
      </c>
      <c r="BP31" s="3">
        <v>997084</v>
      </c>
      <c r="BQ31">
        <v>0</v>
      </c>
      <c r="BR31" t="s">
        <v>14</v>
      </c>
      <c r="BS31" t="s">
        <v>14</v>
      </c>
      <c r="BT31" t="s">
        <v>14</v>
      </c>
      <c r="BU31" t="s">
        <v>14</v>
      </c>
    </row>
    <row r="32" spans="1:73" x14ac:dyDescent="0.25">
      <c r="A32">
        <v>68</v>
      </c>
      <c r="B32" t="s">
        <v>58</v>
      </c>
      <c r="C32" s="2">
        <v>45931.062303240738</v>
      </c>
      <c r="D32">
        <v>273</v>
      </c>
      <c r="E32" t="s">
        <v>13</v>
      </c>
      <c r="F32">
        <v>0</v>
      </c>
      <c r="G32">
        <v>6.0529999999999999</v>
      </c>
      <c r="H32" s="3">
        <v>44420</v>
      </c>
      <c r="I32">
        <v>0.10100000000000001</v>
      </c>
      <c r="J32" t="s">
        <v>14</v>
      </c>
      <c r="K32" t="s">
        <v>14</v>
      </c>
      <c r="L32" t="s">
        <v>14</v>
      </c>
      <c r="M32" t="s">
        <v>14</v>
      </c>
      <c r="O32">
        <v>68</v>
      </c>
      <c r="P32" t="s">
        <v>58</v>
      </c>
      <c r="Q32" s="2">
        <v>45931.062303240738</v>
      </c>
      <c r="R32">
        <v>273</v>
      </c>
      <c r="S32" t="s">
        <v>13</v>
      </c>
      <c r="T32">
        <v>0</v>
      </c>
      <c r="U32" t="s">
        <v>14</v>
      </c>
      <c r="V32" s="3" t="s">
        <v>14</v>
      </c>
      <c r="W32" t="s">
        <v>14</v>
      </c>
      <c r="X32" t="s">
        <v>14</v>
      </c>
      <c r="Y32" t="s">
        <v>14</v>
      </c>
      <c r="Z32" t="s">
        <v>14</v>
      </c>
      <c r="AA32" t="s">
        <v>14</v>
      </c>
      <c r="AC32">
        <v>68</v>
      </c>
      <c r="AD32" t="s">
        <v>58</v>
      </c>
      <c r="AE32" s="2">
        <v>45931.062303240738</v>
      </c>
      <c r="AF32">
        <v>273</v>
      </c>
      <c r="AG32" t="s">
        <v>13</v>
      </c>
      <c r="AH32">
        <v>0</v>
      </c>
      <c r="AI32">
        <v>12.2</v>
      </c>
      <c r="AJ32" s="3">
        <v>118910</v>
      </c>
      <c r="AK32">
        <v>25.774999999999999</v>
      </c>
      <c r="AL32" t="s">
        <v>14</v>
      </c>
      <c r="AM32" t="s">
        <v>14</v>
      </c>
      <c r="AN32" t="s">
        <v>14</v>
      </c>
      <c r="AO32" t="s">
        <v>14</v>
      </c>
      <c r="AQ32">
        <v>2</v>
      </c>
      <c r="AR32" t="s">
        <v>79</v>
      </c>
      <c r="AS32" s="10">
        <v>68</v>
      </c>
      <c r="AT32" s="16">
        <f t="shared" si="10"/>
        <v>121.7945051268</v>
      </c>
      <c r="AU32" s="17">
        <f t="shared" si="11"/>
        <v>25970.414574377999</v>
      </c>
      <c r="AW32" s="6">
        <f t="shared" si="12"/>
        <v>101.669243594344</v>
      </c>
      <c r="AX32" s="7">
        <f t="shared" si="13"/>
        <v>24114.154711687999</v>
      </c>
      <c r="AZ32" s="11">
        <f t="shared" si="14"/>
        <v>121.63842389720001</v>
      </c>
      <c r="BA32" s="12">
        <f t="shared" si="15"/>
        <v>27098.697846710002</v>
      </c>
      <c r="BC32" s="13">
        <f t="shared" si="16"/>
        <v>123.88273820768001</v>
      </c>
      <c r="BD32" s="14">
        <f t="shared" si="17"/>
        <v>23640.658697957002</v>
      </c>
      <c r="BF32" s="16">
        <f t="shared" si="18"/>
        <v>121.7945051268</v>
      </c>
      <c r="BG32" s="17">
        <f t="shared" si="19"/>
        <v>25970.414574377999</v>
      </c>
      <c r="BI32">
        <v>68</v>
      </c>
      <c r="BJ32" t="s">
        <v>58</v>
      </c>
      <c r="BK32" s="2">
        <v>45931.062303240738</v>
      </c>
      <c r="BL32">
        <v>273</v>
      </c>
      <c r="BM32" t="s">
        <v>13</v>
      </c>
      <c r="BN32">
        <v>0</v>
      </c>
      <c r="BO32">
        <v>2.88</v>
      </c>
      <c r="BP32" s="3">
        <v>850326</v>
      </c>
      <c r="BQ32">
        <v>0</v>
      </c>
      <c r="BR32" t="s">
        <v>14</v>
      </c>
      <c r="BS32" t="s">
        <v>14</v>
      </c>
      <c r="BT32" t="s">
        <v>14</v>
      </c>
      <c r="BU32" t="s">
        <v>14</v>
      </c>
    </row>
    <row r="33" spans="1:73" x14ac:dyDescent="0.25">
      <c r="A33">
        <v>69</v>
      </c>
      <c r="B33" t="s">
        <v>59</v>
      </c>
      <c r="C33" s="2">
        <v>45931.08353009259</v>
      </c>
      <c r="D33">
        <v>194</v>
      </c>
      <c r="E33" t="s">
        <v>13</v>
      </c>
      <c r="F33">
        <v>0</v>
      </c>
      <c r="G33">
        <v>6.0570000000000004</v>
      </c>
      <c r="H33" s="3">
        <v>20812</v>
      </c>
      <c r="I33">
        <v>4.7E-2</v>
      </c>
      <c r="J33" t="s">
        <v>14</v>
      </c>
      <c r="K33" t="s">
        <v>14</v>
      </c>
      <c r="L33" t="s">
        <v>14</v>
      </c>
      <c r="M33" t="s">
        <v>14</v>
      </c>
      <c r="O33">
        <v>69</v>
      </c>
      <c r="P33" t="s">
        <v>59</v>
      </c>
      <c r="Q33" s="2">
        <v>45931.08353009259</v>
      </c>
      <c r="R33">
        <v>194</v>
      </c>
      <c r="S33" t="s">
        <v>13</v>
      </c>
      <c r="T33">
        <v>0</v>
      </c>
      <c r="U33" t="s">
        <v>14</v>
      </c>
      <c r="V33" s="3" t="s">
        <v>14</v>
      </c>
      <c r="W33" t="s">
        <v>14</v>
      </c>
      <c r="X33" t="s">
        <v>14</v>
      </c>
      <c r="Y33" t="s">
        <v>14</v>
      </c>
      <c r="Z33" t="s">
        <v>14</v>
      </c>
      <c r="AA33" t="s">
        <v>14</v>
      </c>
      <c r="AC33">
        <v>69</v>
      </c>
      <c r="AD33" t="s">
        <v>59</v>
      </c>
      <c r="AE33" s="2">
        <v>45931.08353009259</v>
      </c>
      <c r="AF33">
        <v>194</v>
      </c>
      <c r="AG33" t="s">
        <v>13</v>
      </c>
      <c r="AH33">
        <v>0</v>
      </c>
      <c r="AI33">
        <v>12.26</v>
      </c>
      <c r="AJ33" s="3">
        <v>1113</v>
      </c>
      <c r="AK33">
        <v>0.14799999999999999</v>
      </c>
      <c r="AL33" t="s">
        <v>14</v>
      </c>
      <c r="AM33" t="s">
        <v>14</v>
      </c>
      <c r="AN33" t="s">
        <v>14</v>
      </c>
      <c r="AO33" t="s">
        <v>14</v>
      </c>
      <c r="AQ33">
        <v>1</v>
      </c>
      <c r="AS33" s="10">
        <v>69</v>
      </c>
      <c r="AT33" s="16">
        <f t="shared" si="10"/>
        <v>58.882868352528</v>
      </c>
      <c r="AU33" s="17">
        <f t="shared" si="11"/>
        <v>119.36931360517002</v>
      </c>
      <c r="AW33" s="6">
        <f t="shared" si="12"/>
        <v>46.361690957234238</v>
      </c>
      <c r="AX33" s="7">
        <f t="shared" si="13"/>
        <v>126.32548661512</v>
      </c>
      <c r="AZ33" s="11">
        <f t="shared" si="14"/>
        <v>52.227855254512001</v>
      </c>
      <c r="BA33" s="12">
        <f t="shared" si="15"/>
        <v>249.28699745909998</v>
      </c>
      <c r="BC33" s="13">
        <f t="shared" si="16"/>
        <v>55.887897357452808</v>
      </c>
      <c r="BD33" s="14">
        <f t="shared" si="17"/>
        <v>262.19092161380001</v>
      </c>
      <c r="BF33" s="16">
        <f t="shared" si="18"/>
        <v>58.882868352528</v>
      </c>
      <c r="BG33" s="17">
        <f t="shared" si="19"/>
        <v>119.36931360517002</v>
      </c>
      <c r="BI33">
        <v>69</v>
      </c>
      <c r="BJ33" t="s">
        <v>59</v>
      </c>
      <c r="BK33" s="2">
        <v>45931.08353009259</v>
      </c>
      <c r="BL33">
        <v>194</v>
      </c>
      <c r="BM33" t="s">
        <v>13</v>
      </c>
      <c r="BN33">
        <v>0</v>
      </c>
      <c r="BO33">
        <v>2.8759999999999999</v>
      </c>
      <c r="BP33" s="3">
        <v>997403</v>
      </c>
      <c r="BQ33">
        <v>0</v>
      </c>
      <c r="BR33" t="s">
        <v>14</v>
      </c>
      <c r="BS33" t="s">
        <v>14</v>
      </c>
      <c r="BT33" t="s">
        <v>14</v>
      </c>
      <c r="BU33" t="s">
        <v>14</v>
      </c>
    </row>
    <row r="34" spans="1:73" x14ac:dyDescent="0.25">
      <c r="A34">
        <v>70</v>
      </c>
      <c r="B34" t="s">
        <v>60</v>
      </c>
      <c r="C34" s="2">
        <v>45931.104733796295</v>
      </c>
      <c r="D34">
        <v>105</v>
      </c>
      <c r="E34" t="s">
        <v>13</v>
      </c>
      <c r="F34">
        <v>0</v>
      </c>
      <c r="G34">
        <v>6.0469999999999997</v>
      </c>
      <c r="H34" s="3">
        <v>69905</v>
      </c>
      <c r="I34">
        <v>0.158</v>
      </c>
      <c r="J34" t="s">
        <v>14</v>
      </c>
      <c r="K34" t="s">
        <v>14</v>
      </c>
      <c r="L34" t="s">
        <v>14</v>
      </c>
      <c r="M34" t="s">
        <v>14</v>
      </c>
      <c r="O34">
        <v>70</v>
      </c>
      <c r="P34" t="s">
        <v>60</v>
      </c>
      <c r="Q34" s="2">
        <v>45931.104733796295</v>
      </c>
      <c r="R34">
        <v>105</v>
      </c>
      <c r="S34" t="s">
        <v>13</v>
      </c>
      <c r="T34">
        <v>0</v>
      </c>
      <c r="U34" t="s">
        <v>14</v>
      </c>
      <c r="V34" t="s">
        <v>14</v>
      </c>
      <c r="W34" t="s">
        <v>14</v>
      </c>
      <c r="X34" t="s">
        <v>14</v>
      </c>
      <c r="Y34" t="s">
        <v>14</v>
      </c>
      <c r="Z34" t="s">
        <v>14</v>
      </c>
      <c r="AA34" t="s">
        <v>14</v>
      </c>
      <c r="AC34">
        <v>70</v>
      </c>
      <c r="AD34" t="s">
        <v>60</v>
      </c>
      <c r="AE34" s="2">
        <v>45931.104733796295</v>
      </c>
      <c r="AF34">
        <v>105</v>
      </c>
      <c r="AG34" t="s">
        <v>13</v>
      </c>
      <c r="AH34">
        <v>0</v>
      </c>
      <c r="AI34">
        <v>12.176</v>
      </c>
      <c r="AJ34" s="3">
        <v>27</v>
      </c>
      <c r="AK34">
        <v>-9.0999999999999998E-2</v>
      </c>
      <c r="AL34" t="s">
        <v>14</v>
      </c>
      <c r="AM34" t="s">
        <v>14</v>
      </c>
      <c r="AN34" t="s">
        <v>14</v>
      </c>
      <c r="AO34" t="s">
        <v>14</v>
      </c>
      <c r="AQ34">
        <v>1</v>
      </c>
      <c r="AS34" s="10">
        <v>70</v>
      </c>
      <c r="AT34" s="16">
        <f t="shared" si="10"/>
        <v>189.379005526425</v>
      </c>
      <c r="AU34" s="17">
        <f t="shared" si="11"/>
        <v>-127.85213577203</v>
      </c>
      <c r="AW34" s="6">
        <f t="shared" si="12"/>
        <v>161.27336445512648</v>
      </c>
      <c r="AX34" s="7">
        <f t="shared" si="13"/>
        <v>-98.119118604080001</v>
      </c>
      <c r="AZ34" s="11">
        <f t="shared" si="14"/>
        <v>194.59457486757503</v>
      </c>
      <c r="BA34" s="12">
        <f t="shared" si="15"/>
        <v>-15.132332496899998</v>
      </c>
      <c r="BC34" s="13">
        <f t="shared" si="16"/>
        <v>196.92231343358</v>
      </c>
      <c r="BD34" s="14">
        <f t="shared" si="17"/>
        <v>39.634956405799997</v>
      </c>
      <c r="BF34" s="16">
        <f t="shared" si="18"/>
        <v>189.379005526425</v>
      </c>
      <c r="BG34" s="17">
        <f t="shared" si="19"/>
        <v>-127.85213577203</v>
      </c>
      <c r="BI34">
        <v>70</v>
      </c>
      <c r="BJ34" t="s">
        <v>60</v>
      </c>
      <c r="BK34" s="2">
        <v>45931.104733796295</v>
      </c>
      <c r="BL34">
        <v>105</v>
      </c>
      <c r="BM34" t="s">
        <v>13</v>
      </c>
      <c r="BN34">
        <v>0</v>
      </c>
      <c r="BO34">
        <v>2.7</v>
      </c>
      <c r="BP34" s="3">
        <v>930740</v>
      </c>
      <c r="BQ34">
        <v>0</v>
      </c>
      <c r="BR34" t="s">
        <v>14</v>
      </c>
      <c r="BS34" t="s">
        <v>14</v>
      </c>
      <c r="BT34" t="s">
        <v>14</v>
      </c>
      <c r="BU34" t="s">
        <v>14</v>
      </c>
    </row>
    <row r="35" spans="1:73" x14ac:dyDescent="0.25">
      <c r="A35">
        <v>71</v>
      </c>
      <c r="B35" t="s">
        <v>61</v>
      </c>
      <c r="C35" s="2">
        <v>45931.125949074078</v>
      </c>
      <c r="D35">
        <v>92</v>
      </c>
      <c r="E35" t="s">
        <v>13</v>
      </c>
      <c r="F35">
        <v>0</v>
      </c>
      <c r="G35">
        <v>6.0519999999999996</v>
      </c>
      <c r="H35" s="3">
        <v>273448</v>
      </c>
      <c r="I35">
        <v>0.61699999999999999</v>
      </c>
      <c r="J35" t="s">
        <v>14</v>
      </c>
      <c r="K35" t="s">
        <v>14</v>
      </c>
      <c r="L35" t="s">
        <v>14</v>
      </c>
      <c r="M35" t="s">
        <v>14</v>
      </c>
      <c r="O35">
        <v>71</v>
      </c>
      <c r="P35" t="s">
        <v>61</v>
      </c>
      <c r="Q35" s="2">
        <v>45931.125949074078</v>
      </c>
      <c r="R35">
        <v>92</v>
      </c>
      <c r="S35" t="s">
        <v>13</v>
      </c>
      <c r="T35">
        <v>0</v>
      </c>
      <c r="U35">
        <v>6.0010000000000003</v>
      </c>
      <c r="V35" s="3">
        <v>2383</v>
      </c>
      <c r="W35">
        <v>0.68</v>
      </c>
      <c r="X35" t="s">
        <v>14</v>
      </c>
      <c r="Y35" t="s">
        <v>14</v>
      </c>
      <c r="Z35" t="s">
        <v>14</v>
      </c>
      <c r="AA35" t="s">
        <v>14</v>
      </c>
      <c r="AC35">
        <v>71</v>
      </c>
      <c r="AD35" t="s">
        <v>61</v>
      </c>
      <c r="AE35" s="2">
        <v>45931.125949074078</v>
      </c>
      <c r="AF35">
        <v>92</v>
      </c>
      <c r="AG35" t="s">
        <v>13</v>
      </c>
      <c r="AH35">
        <v>0</v>
      </c>
      <c r="AI35">
        <v>12.25</v>
      </c>
      <c r="AJ35" s="3">
        <v>22886</v>
      </c>
      <c r="AK35">
        <v>4.9180000000000001</v>
      </c>
      <c r="AL35" t="s">
        <v>14</v>
      </c>
      <c r="AM35" t="s">
        <v>14</v>
      </c>
      <c r="AN35" t="s">
        <v>14</v>
      </c>
      <c r="AO35" t="s">
        <v>14</v>
      </c>
      <c r="AQ35">
        <v>1</v>
      </c>
      <c r="AS35" s="10">
        <v>71</v>
      </c>
      <c r="AT35" s="16">
        <f t="shared" si="10"/>
        <v>736.08092034941842</v>
      </c>
      <c r="AU35" s="17">
        <f t="shared" si="11"/>
        <v>5051.4408553662806</v>
      </c>
      <c r="AW35" s="6">
        <f t="shared" si="12"/>
        <v>633.56362144697971</v>
      </c>
      <c r="AX35" s="7">
        <f t="shared" si="13"/>
        <v>4613.4696152220795</v>
      </c>
      <c r="AZ35" s="11">
        <f t="shared" si="14"/>
        <v>683.19832715810571</v>
      </c>
      <c r="BA35" s="12">
        <f t="shared" si="15"/>
        <v>5323.5729609243999</v>
      </c>
      <c r="BC35" s="13">
        <f t="shared" si="16"/>
        <v>742.53546638603518</v>
      </c>
      <c r="BD35" s="14">
        <f t="shared" si="17"/>
        <v>4694.4086140392001</v>
      </c>
      <c r="BF35" s="16">
        <f t="shared" si="18"/>
        <v>736.08092034941842</v>
      </c>
      <c r="BG35" s="17">
        <f t="shared" si="19"/>
        <v>5051.4408553662806</v>
      </c>
      <c r="BI35">
        <v>71</v>
      </c>
      <c r="BJ35" t="s">
        <v>61</v>
      </c>
      <c r="BK35" s="2">
        <v>45931.125949074078</v>
      </c>
      <c r="BL35">
        <v>92</v>
      </c>
      <c r="BM35" t="s">
        <v>13</v>
      </c>
      <c r="BN35">
        <v>0</v>
      </c>
      <c r="BO35">
        <v>2.8740000000000001</v>
      </c>
      <c r="BP35" s="3">
        <v>977081</v>
      </c>
      <c r="BQ35">
        <v>0</v>
      </c>
      <c r="BR35" t="s">
        <v>14</v>
      </c>
      <c r="BS35" t="s">
        <v>14</v>
      </c>
      <c r="BT35" t="s">
        <v>14</v>
      </c>
      <c r="BU35" t="s">
        <v>14</v>
      </c>
    </row>
    <row r="36" spans="1:73" x14ac:dyDescent="0.25">
      <c r="A36">
        <v>72</v>
      </c>
      <c r="B36" t="s">
        <v>62</v>
      </c>
      <c r="C36" s="2">
        <v>45931.147164351853</v>
      </c>
      <c r="D36">
        <v>245</v>
      </c>
      <c r="E36" t="s">
        <v>13</v>
      </c>
      <c r="F36">
        <v>0</v>
      </c>
      <c r="G36">
        <v>6.0439999999999996</v>
      </c>
      <c r="H36" s="3">
        <v>348722</v>
      </c>
      <c r="I36">
        <v>0.78700000000000003</v>
      </c>
      <c r="J36" t="s">
        <v>14</v>
      </c>
      <c r="K36" t="s">
        <v>14</v>
      </c>
      <c r="L36" t="s">
        <v>14</v>
      </c>
      <c r="M36" t="s">
        <v>14</v>
      </c>
      <c r="O36">
        <v>72</v>
      </c>
      <c r="P36" t="s">
        <v>62</v>
      </c>
      <c r="Q36" s="2">
        <v>45931.147164351853</v>
      </c>
      <c r="R36">
        <v>245</v>
      </c>
      <c r="S36" t="s">
        <v>13</v>
      </c>
      <c r="T36">
        <v>0</v>
      </c>
      <c r="U36">
        <v>5.9969999999999999</v>
      </c>
      <c r="V36" s="3">
        <v>2734</v>
      </c>
      <c r="W36">
        <v>0.76700000000000002</v>
      </c>
      <c r="X36" t="s">
        <v>14</v>
      </c>
      <c r="Y36" t="s">
        <v>14</v>
      </c>
      <c r="Z36" t="s">
        <v>14</v>
      </c>
      <c r="AA36" t="s">
        <v>14</v>
      </c>
      <c r="AC36">
        <v>72</v>
      </c>
      <c r="AD36" t="s">
        <v>62</v>
      </c>
      <c r="AE36" s="2">
        <v>45931.147164351853</v>
      </c>
      <c r="AF36">
        <v>245</v>
      </c>
      <c r="AG36" t="s">
        <v>13</v>
      </c>
      <c r="AH36">
        <v>0</v>
      </c>
      <c r="AI36">
        <v>12.18</v>
      </c>
      <c r="AJ36" s="3">
        <v>101967</v>
      </c>
      <c r="AK36">
        <v>22.116</v>
      </c>
      <c r="AL36" t="s">
        <v>14</v>
      </c>
      <c r="AM36" t="s">
        <v>14</v>
      </c>
      <c r="AN36" t="s">
        <v>14</v>
      </c>
      <c r="AO36" t="s">
        <v>14</v>
      </c>
      <c r="AQ36">
        <v>1</v>
      </c>
      <c r="AS36" s="10">
        <v>72</v>
      </c>
      <c r="AT36" s="16">
        <f t="shared" si="10"/>
        <v>890.45491373728487</v>
      </c>
      <c r="AU36" s="17">
        <f t="shared" si="11"/>
        <v>22372.495902274819</v>
      </c>
      <c r="AW36" s="6">
        <f t="shared" si="12"/>
        <v>806.5350255393065</v>
      </c>
      <c r="AX36" s="7">
        <f t="shared" si="13"/>
        <v>20707.54059284872</v>
      </c>
      <c r="AZ36" s="11">
        <f t="shared" si="14"/>
        <v>828.35878918091771</v>
      </c>
      <c r="BA36" s="12">
        <f t="shared" si="15"/>
        <v>23054.977594259901</v>
      </c>
      <c r="BC36" s="13">
        <f t="shared" si="16"/>
        <v>903.55728239363918</v>
      </c>
      <c r="BD36" s="14">
        <f t="shared" si="17"/>
        <v>20235.245723791333</v>
      </c>
      <c r="BF36" s="16">
        <f t="shared" si="18"/>
        <v>890.45491373728487</v>
      </c>
      <c r="BG36" s="17">
        <f t="shared" si="19"/>
        <v>22372.495902274819</v>
      </c>
      <c r="BI36">
        <v>72</v>
      </c>
      <c r="BJ36" t="s">
        <v>62</v>
      </c>
      <c r="BK36" s="2">
        <v>45931.147164351853</v>
      </c>
      <c r="BL36">
        <v>245</v>
      </c>
      <c r="BM36" t="s">
        <v>13</v>
      </c>
      <c r="BN36">
        <v>0</v>
      </c>
      <c r="BO36">
        <v>2.863</v>
      </c>
      <c r="BP36" s="3">
        <v>1000667</v>
      </c>
      <c r="BQ36">
        <v>0</v>
      </c>
      <c r="BR36" t="s">
        <v>14</v>
      </c>
      <c r="BS36" t="s">
        <v>14</v>
      </c>
      <c r="BT36" t="s">
        <v>14</v>
      </c>
      <c r="BU36" t="s">
        <v>14</v>
      </c>
    </row>
    <row r="37" spans="1:73" x14ac:dyDescent="0.25">
      <c r="A37">
        <v>73</v>
      </c>
      <c r="B37" t="s">
        <v>63</v>
      </c>
      <c r="C37" s="2">
        <v>45931.168379629627</v>
      </c>
      <c r="D37">
        <v>406</v>
      </c>
      <c r="E37" t="s">
        <v>13</v>
      </c>
      <c r="F37">
        <v>0</v>
      </c>
      <c r="G37">
        <v>5.7750000000000004</v>
      </c>
      <c r="H37" s="3">
        <v>80647048</v>
      </c>
      <c r="I37">
        <v>248.14</v>
      </c>
      <c r="J37" t="s">
        <v>14</v>
      </c>
      <c r="K37" t="s">
        <v>14</v>
      </c>
      <c r="L37" t="s">
        <v>14</v>
      </c>
      <c r="M37" t="s">
        <v>14</v>
      </c>
      <c r="O37">
        <v>73</v>
      </c>
      <c r="P37" t="s">
        <v>63</v>
      </c>
      <c r="Q37" s="2">
        <v>45931.168379629627</v>
      </c>
      <c r="R37">
        <v>406</v>
      </c>
      <c r="S37" t="s">
        <v>13</v>
      </c>
      <c r="T37">
        <v>0</v>
      </c>
      <c r="U37">
        <v>5.7510000000000003</v>
      </c>
      <c r="V37" s="3">
        <v>883382</v>
      </c>
      <c r="W37">
        <v>207.67599999999999</v>
      </c>
      <c r="X37" t="s">
        <v>14</v>
      </c>
      <c r="Y37" t="s">
        <v>14</v>
      </c>
      <c r="Z37" t="s">
        <v>14</v>
      </c>
      <c r="AA37" t="s">
        <v>14</v>
      </c>
      <c r="AC37">
        <v>73</v>
      </c>
      <c r="AD37" t="s">
        <v>63</v>
      </c>
      <c r="AE37" s="2">
        <v>45931.168379629627</v>
      </c>
      <c r="AF37">
        <v>406</v>
      </c>
      <c r="AG37" t="s">
        <v>13</v>
      </c>
      <c r="AH37">
        <v>0</v>
      </c>
      <c r="AI37">
        <v>12.176</v>
      </c>
      <c r="AJ37" s="3">
        <v>83995</v>
      </c>
      <c r="AK37">
        <v>18.225000000000001</v>
      </c>
      <c r="AL37" t="s">
        <v>14</v>
      </c>
      <c r="AM37" t="s">
        <v>14</v>
      </c>
      <c r="AN37" t="s">
        <v>14</v>
      </c>
      <c r="AO37" t="s">
        <v>14</v>
      </c>
      <c r="AQ37">
        <v>1</v>
      </c>
      <c r="AS37" s="10">
        <v>73</v>
      </c>
      <c r="AT37" s="16">
        <f t="shared" si="10"/>
        <v>206546.86449465062</v>
      </c>
      <c r="AU37" s="17">
        <f t="shared" si="11"/>
        <v>18549.400700534497</v>
      </c>
      <c r="AW37" s="6">
        <f t="shared" si="12"/>
        <v>203387.04257143286</v>
      </c>
      <c r="AX37" s="7">
        <f t="shared" si="13"/>
        <v>17078.018816161999</v>
      </c>
      <c r="AZ37" s="11">
        <f t="shared" si="14"/>
        <v>209948.20784151999</v>
      </c>
      <c r="BA37" s="12">
        <f t="shared" si="15"/>
        <v>18740.005454977501</v>
      </c>
      <c r="BC37" s="13">
        <f t="shared" si="16"/>
        <v>219884.375704356</v>
      </c>
      <c r="BD37" s="14">
        <f t="shared" si="17"/>
        <v>16607.93300459925</v>
      </c>
      <c r="BF37" s="16">
        <f t="shared" si="18"/>
        <v>206546.86449465062</v>
      </c>
      <c r="BG37" s="17">
        <f t="shared" si="19"/>
        <v>18549.400700534497</v>
      </c>
      <c r="BI37">
        <v>73</v>
      </c>
      <c r="BJ37" t="s">
        <v>63</v>
      </c>
      <c r="BK37" s="2">
        <v>45931.168379629627</v>
      </c>
      <c r="BL37">
        <v>406</v>
      </c>
      <c r="BM37" t="s">
        <v>13</v>
      </c>
      <c r="BN37">
        <v>0</v>
      </c>
      <c r="BO37">
        <v>2.8929999999999998</v>
      </c>
      <c r="BP37" s="3">
        <v>448195</v>
      </c>
      <c r="BQ37">
        <v>0</v>
      </c>
      <c r="BR37" t="s">
        <v>14</v>
      </c>
      <c r="BS37" t="s">
        <v>14</v>
      </c>
      <c r="BT37" t="s">
        <v>14</v>
      </c>
      <c r="BU37" t="s">
        <v>14</v>
      </c>
    </row>
    <row r="38" spans="1:73" x14ac:dyDescent="0.25">
      <c r="A38">
        <v>74</v>
      </c>
      <c r="B38" t="s">
        <v>64</v>
      </c>
      <c r="C38" s="2">
        <v>45931.18959490741</v>
      </c>
      <c r="D38">
        <v>384</v>
      </c>
      <c r="E38" t="s">
        <v>13</v>
      </c>
      <c r="F38">
        <v>0</v>
      </c>
      <c r="G38">
        <v>6.048</v>
      </c>
      <c r="H38" s="3">
        <v>59257</v>
      </c>
      <c r="I38">
        <v>0.13400000000000001</v>
      </c>
      <c r="J38" t="s">
        <v>14</v>
      </c>
      <c r="K38" t="s">
        <v>14</v>
      </c>
      <c r="L38" t="s">
        <v>14</v>
      </c>
      <c r="M38" t="s">
        <v>14</v>
      </c>
      <c r="O38">
        <v>74</v>
      </c>
      <c r="P38" t="s">
        <v>64</v>
      </c>
      <c r="Q38" s="2">
        <v>45931.18959490741</v>
      </c>
      <c r="R38">
        <v>384</v>
      </c>
      <c r="S38" t="s">
        <v>13</v>
      </c>
      <c r="T38">
        <v>0</v>
      </c>
      <c r="U38" t="s">
        <v>14</v>
      </c>
      <c r="V38" t="s">
        <v>14</v>
      </c>
      <c r="W38" t="s">
        <v>14</v>
      </c>
      <c r="X38" t="s">
        <v>14</v>
      </c>
      <c r="Y38" t="s">
        <v>14</v>
      </c>
      <c r="Z38" t="s">
        <v>14</v>
      </c>
      <c r="AA38" t="s">
        <v>14</v>
      </c>
      <c r="AC38">
        <v>74</v>
      </c>
      <c r="AD38" t="s">
        <v>64</v>
      </c>
      <c r="AE38" s="2">
        <v>45931.18959490741</v>
      </c>
      <c r="AF38">
        <v>384</v>
      </c>
      <c r="AG38" t="s">
        <v>13</v>
      </c>
      <c r="AH38">
        <v>0</v>
      </c>
      <c r="AI38">
        <v>12.266999999999999</v>
      </c>
      <c r="AJ38" s="3">
        <v>9637</v>
      </c>
      <c r="AK38">
        <v>2.0169999999999999</v>
      </c>
      <c r="AL38" t="s">
        <v>14</v>
      </c>
      <c r="AM38" t="s">
        <v>14</v>
      </c>
      <c r="AN38" t="s">
        <v>14</v>
      </c>
      <c r="AO38" t="s">
        <v>14</v>
      </c>
      <c r="AQ38">
        <v>1</v>
      </c>
      <c r="AS38" s="10">
        <v>74</v>
      </c>
      <c r="AT38" s="16">
        <f t="shared" si="10"/>
        <v>161.18277789111298</v>
      </c>
      <c r="AU38" s="17">
        <f t="shared" si="11"/>
        <v>2055.7876822951703</v>
      </c>
      <c r="AW38" s="6">
        <f t="shared" si="12"/>
        <v>136.38262848437353</v>
      </c>
      <c r="AX38" s="7">
        <f t="shared" si="13"/>
        <v>1885.8978124551197</v>
      </c>
      <c r="AZ38" s="11">
        <f t="shared" si="14"/>
        <v>164.361585738727</v>
      </c>
      <c r="BA38" s="12">
        <f t="shared" si="15"/>
        <v>2287.3491861591001</v>
      </c>
      <c r="BC38" s="13">
        <f t="shared" si="16"/>
        <v>166.4509529762488</v>
      </c>
      <c r="BD38" s="14">
        <f t="shared" si="17"/>
        <v>2004.1312682137998</v>
      </c>
      <c r="BF38" s="16">
        <f t="shared" si="18"/>
        <v>161.18277789111298</v>
      </c>
      <c r="BG38" s="17">
        <f t="shared" si="19"/>
        <v>2055.7876822951703</v>
      </c>
      <c r="BI38">
        <v>74</v>
      </c>
      <c r="BJ38" t="s">
        <v>64</v>
      </c>
      <c r="BK38" s="2">
        <v>45931.18959490741</v>
      </c>
      <c r="BL38">
        <v>384</v>
      </c>
      <c r="BM38" t="s">
        <v>13</v>
      </c>
      <c r="BN38">
        <v>0</v>
      </c>
      <c r="BO38">
        <v>2.8690000000000002</v>
      </c>
      <c r="BP38" s="3">
        <v>982621</v>
      </c>
      <c r="BQ38">
        <v>0</v>
      </c>
      <c r="BR38" t="s">
        <v>14</v>
      </c>
      <c r="BS38" t="s">
        <v>14</v>
      </c>
      <c r="BT38" t="s">
        <v>14</v>
      </c>
      <c r="BU38" t="s">
        <v>14</v>
      </c>
    </row>
    <row r="39" spans="1:73" x14ac:dyDescent="0.25">
      <c r="A39">
        <v>75</v>
      </c>
      <c r="B39" t="s">
        <v>65</v>
      </c>
      <c r="C39" s="2">
        <v>45931.210833333331</v>
      </c>
      <c r="D39">
        <v>85</v>
      </c>
      <c r="E39" t="s">
        <v>13</v>
      </c>
      <c r="F39">
        <v>0</v>
      </c>
      <c r="G39">
        <v>6.0449999999999999</v>
      </c>
      <c r="H39" s="3">
        <v>95996</v>
      </c>
      <c r="I39">
        <v>0.217</v>
      </c>
      <c r="J39" t="s">
        <v>14</v>
      </c>
      <c r="K39" t="s">
        <v>14</v>
      </c>
      <c r="L39" t="s">
        <v>14</v>
      </c>
      <c r="M39" t="s">
        <v>14</v>
      </c>
      <c r="O39">
        <v>75</v>
      </c>
      <c r="P39" t="s">
        <v>65</v>
      </c>
      <c r="Q39" s="2">
        <v>45931.210833333331</v>
      </c>
      <c r="R39">
        <v>85</v>
      </c>
      <c r="S39" t="s">
        <v>13</v>
      </c>
      <c r="T39">
        <v>0</v>
      </c>
      <c r="U39" t="s">
        <v>14</v>
      </c>
      <c r="V39" s="3" t="s">
        <v>14</v>
      </c>
      <c r="W39" t="s">
        <v>14</v>
      </c>
      <c r="X39" t="s">
        <v>14</v>
      </c>
      <c r="Y39" t="s">
        <v>14</v>
      </c>
      <c r="Z39" t="s">
        <v>14</v>
      </c>
      <c r="AA39" t="s">
        <v>14</v>
      </c>
      <c r="AC39">
        <v>75</v>
      </c>
      <c r="AD39" t="s">
        <v>65</v>
      </c>
      <c r="AE39" s="2">
        <v>45931.210833333331</v>
      </c>
      <c r="AF39">
        <v>85</v>
      </c>
      <c r="AG39" t="s">
        <v>13</v>
      </c>
      <c r="AH39">
        <v>0</v>
      </c>
      <c r="AI39">
        <v>12.247</v>
      </c>
      <c r="AJ39" s="3">
        <v>16091</v>
      </c>
      <c r="AK39">
        <v>3.431</v>
      </c>
      <c r="AL39" t="s">
        <v>14</v>
      </c>
      <c r="AM39" t="s">
        <v>14</v>
      </c>
      <c r="AN39" t="s">
        <v>14</v>
      </c>
      <c r="AO39" t="s">
        <v>14</v>
      </c>
      <c r="AQ39">
        <v>1</v>
      </c>
      <c r="AS39" s="10">
        <v>75</v>
      </c>
      <c r="AT39" s="16">
        <f t="shared" si="10"/>
        <v>258.21666597979197</v>
      </c>
      <c r="AU39" s="17">
        <f t="shared" si="11"/>
        <v>3517.2154818113299</v>
      </c>
      <c r="AW39" s="6">
        <f t="shared" si="12"/>
        <v>222.18641321343136</v>
      </c>
      <c r="AX39" s="7">
        <f t="shared" si="13"/>
        <v>3215.7020544288803</v>
      </c>
      <c r="AZ39" s="11">
        <f t="shared" si="14"/>
        <v>267.16340711076799</v>
      </c>
      <c r="BA39" s="12">
        <f t="shared" si="15"/>
        <v>3786.3904598358999</v>
      </c>
      <c r="BC39" s="13">
        <f t="shared" si="16"/>
        <v>271.31004499377923</v>
      </c>
      <c r="BD39" s="14">
        <f t="shared" si="17"/>
        <v>3317.2715671961996</v>
      </c>
      <c r="BF39" s="16">
        <f t="shared" si="18"/>
        <v>258.21666597979197</v>
      </c>
      <c r="BG39" s="17">
        <f t="shared" si="19"/>
        <v>3517.2154818113299</v>
      </c>
      <c r="BI39">
        <v>75</v>
      </c>
      <c r="BJ39" t="s">
        <v>65</v>
      </c>
      <c r="BK39" s="2">
        <v>45931.210833333331</v>
      </c>
      <c r="BL39">
        <v>85</v>
      </c>
      <c r="BM39" t="s">
        <v>13</v>
      </c>
      <c r="BN39">
        <v>0</v>
      </c>
      <c r="BO39">
        <v>2.8690000000000002</v>
      </c>
      <c r="BP39" s="3">
        <v>956444</v>
      </c>
      <c r="BQ39">
        <v>0</v>
      </c>
      <c r="BR39" t="s">
        <v>14</v>
      </c>
      <c r="BS39" t="s">
        <v>14</v>
      </c>
      <c r="BT39" t="s">
        <v>14</v>
      </c>
      <c r="BU39" t="s">
        <v>14</v>
      </c>
    </row>
    <row r="40" spans="1:73" x14ac:dyDescent="0.25">
      <c r="A40">
        <v>76</v>
      </c>
      <c r="B40" t="s">
        <v>66</v>
      </c>
      <c r="C40" s="2">
        <v>45931.23201388889</v>
      </c>
      <c r="D40">
        <v>129</v>
      </c>
      <c r="E40" t="s">
        <v>13</v>
      </c>
      <c r="F40">
        <v>0</v>
      </c>
      <c r="G40">
        <v>6.05</v>
      </c>
      <c r="H40" s="3">
        <v>17062</v>
      </c>
      <c r="I40">
        <v>3.9E-2</v>
      </c>
      <c r="J40" t="s">
        <v>14</v>
      </c>
      <c r="K40" t="s">
        <v>14</v>
      </c>
      <c r="L40" t="s">
        <v>14</v>
      </c>
      <c r="M40" t="s">
        <v>14</v>
      </c>
      <c r="O40">
        <v>76</v>
      </c>
      <c r="P40" t="s">
        <v>66</v>
      </c>
      <c r="Q40" s="2">
        <v>45931.23201388889</v>
      </c>
      <c r="R40">
        <v>129</v>
      </c>
      <c r="S40" t="s">
        <v>13</v>
      </c>
      <c r="T40">
        <v>0</v>
      </c>
      <c r="U40" t="s">
        <v>14</v>
      </c>
      <c r="V40" t="s">
        <v>14</v>
      </c>
      <c r="W40" t="s">
        <v>14</v>
      </c>
      <c r="X40" t="s">
        <v>14</v>
      </c>
      <c r="Y40" t="s">
        <v>14</v>
      </c>
      <c r="Z40" t="s">
        <v>14</v>
      </c>
      <c r="AA40" t="s">
        <v>14</v>
      </c>
      <c r="AC40">
        <v>76</v>
      </c>
      <c r="AD40" t="s">
        <v>66</v>
      </c>
      <c r="AE40" s="2">
        <v>45931.23201388889</v>
      </c>
      <c r="AF40">
        <v>129</v>
      </c>
      <c r="AG40" t="s">
        <v>13</v>
      </c>
      <c r="AH40">
        <v>0</v>
      </c>
      <c r="AI40">
        <v>12.276999999999999</v>
      </c>
      <c r="AJ40" s="3">
        <v>8333</v>
      </c>
      <c r="AK40">
        <v>1.7310000000000001</v>
      </c>
      <c r="AL40" t="s">
        <v>14</v>
      </c>
      <c r="AM40" t="s">
        <v>14</v>
      </c>
      <c r="AN40" t="s">
        <v>14</v>
      </c>
      <c r="AO40" t="s">
        <v>14</v>
      </c>
      <c r="AQ40">
        <v>1</v>
      </c>
      <c r="AS40" s="10">
        <v>76</v>
      </c>
      <c r="AT40" s="16">
        <f t="shared" si="10"/>
        <v>48.862721585027998</v>
      </c>
      <c r="AU40" s="17">
        <f t="shared" si="11"/>
        <v>1760.0167337167702</v>
      </c>
      <c r="AW40" s="6">
        <f t="shared" si="12"/>
        <v>37.568129852084233</v>
      </c>
      <c r="AX40" s="7">
        <f t="shared" si="13"/>
        <v>1616.9590195527201</v>
      </c>
      <c r="AZ40" s="11">
        <f t="shared" si="14"/>
        <v>41.040582622011996</v>
      </c>
      <c r="BA40" s="12">
        <f t="shared" si="15"/>
        <v>1979.8609227270999</v>
      </c>
      <c r="BC40" s="13">
        <f t="shared" si="16"/>
        <v>45.057664899452803</v>
      </c>
      <c r="BD40" s="14">
        <f t="shared" si="17"/>
        <v>1738.2125544377998</v>
      </c>
      <c r="BF40" s="16">
        <f t="shared" si="18"/>
        <v>48.862721585027998</v>
      </c>
      <c r="BG40" s="17">
        <f t="shared" si="19"/>
        <v>1760.0167337167702</v>
      </c>
      <c r="BI40">
        <v>76</v>
      </c>
      <c r="BJ40" t="s">
        <v>66</v>
      </c>
      <c r="BK40" s="2">
        <v>45931.23201388889</v>
      </c>
      <c r="BL40">
        <v>129</v>
      </c>
      <c r="BM40" t="s">
        <v>13</v>
      </c>
      <c r="BN40">
        <v>0</v>
      </c>
      <c r="BO40">
        <v>2.86</v>
      </c>
      <c r="BP40" s="3">
        <v>1130831</v>
      </c>
      <c r="BQ40">
        <v>0</v>
      </c>
      <c r="BR40" t="s">
        <v>14</v>
      </c>
      <c r="BS40" t="s">
        <v>14</v>
      </c>
      <c r="BT40" t="s">
        <v>14</v>
      </c>
      <c r="BU40" t="s">
        <v>14</v>
      </c>
    </row>
    <row r="41" spans="1:73" x14ac:dyDescent="0.25">
      <c r="A41">
        <v>77</v>
      </c>
      <c r="B41" t="s">
        <v>67</v>
      </c>
      <c r="C41" s="2">
        <v>45931.253217592595</v>
      </c>
      <c r="D41">
        <v>287</v>
      </c>
      <c r="E41" t="s">
        <v>13</v>
      </c>
      <c r="F41">
        <v>0</v>
      </c>
      <c r="G41">
        <v>6.0030000000000001</v>
      </c>
      <c r="H41" s="3">
        <v>15980372</v>
      </c>
      <c r="I41">
        <v>37.527000000000001</v>
      </c>
      <c r="J41" t="s">
        <v>14</v>
      </c>
      <c r="K41" t="s">
        <v>14</v>
      </c>
      <c r="L41" t="s">
        <v>14</v>
      </c>
      <c r="M41" t="s">
        <v>14</v>
      </c>
      <c r="O41">
        <v>77</v>
      </c>
      <c r="P41" t="s">
        <v>67</v>
      </c>
      <c r="Q41" s="2">
        <v>45931.253217592595</v>
      </c>
      <c r="R41">
        <v>287</v>
      </c>
      <c r="S41" t="s">
        <v>13</v>
      </c>
      <c r="T41">
        <v>0</v>
      </c>
      <c r="U41">
        <v>5.9560000000000004</v>
      </c>
      <c r="V41" s="3">
        <v>113932</v>
      </c>
      <c r="W41">
        <v>28.084</v>
      </c>
      <c r="X41" t="s">
        <v>14</v>
      </c>
      <c r="Y41" t="s">
        <v>14</v>
      </c>
      <c r="Z41" t="s">
        <v>14</v>
      </c>
      <c r="AA41" t="s">
        <v>14</v>
      </c>
      <c r="AC41">
        <v>77</v>
      </c>
      <c r="AD41" t="s">
        <v>67</v>
      </c>
      <c r="AE41" s="2">
        <v>45931.253217592595</v>
      </c>
      <c r="AF41">
        <v>287</v>
      </c>
      <c r="AG41" t="s">
        <v>13</v>
      </c>
      <c r="AH41">
        <v>0</v>
      </c>
      <c r="AI41">
        <v>12.151</v>
      </c>
      <c r="AJ41" s="3">
        <v>113611</v>
      </c>
      <c r="AK41">
        <v>24.632000000000001</v>
      </c>
      <c r="AL41" t="s">
        <v>14</v>
      </c>
      <c r="AM41" t="s">
        <v>14</v>
      </c>
      <c r="AN41" t="s">
        <v>14</v>
      </c>
      <c r="AO41" t="s">
        <v>14</v>
      </c>
      <c r="AQ41">
        <v>1</v>
      </c>
      <c r="AS41" s="10">
        <v>77</v>
      </c>
      <c r="AT41" s="16">
        <f t="shared" si="10"/>
        <v>28505.955723672636</v>
      </c>
      <c r="AU41" s="17">
        <f t="shared" si="11"/>
        <v>24845.804482010979</v>
      </c>
      <c r="AW41" s="6">
        <f t="shared" si="12"/>
        <v>28127.835097906878</v>
      </c>
      <c r="AX41" s="7">
        <f t="shared" si="13"/>
        <v>23050.295338128079</v>
      </c>
      <c r="AZ41" s="11">
        <f t="shared" si="14"/>
        <v>27931.947987520001</v>
      </c>
      <c r="BA41" s="12">
        <f t="shared" si="15"/>
        <v>25836.529613771101</v>
      </c>
      <c r="BC41" s="13">
        <f t="shared" si="16"/>
        <v>30458.661680656001</v>
      </c>
      <c r="BD41" s="14">
        <f t="shared" si="17"/>
        <v>22577.083052516369</v>
      </c>
      <c r="BF41" s="16">
        <f t="shared" si="18"/>
        <v>28505.955723672636</v>
      </c>
      <c r="BG41" s="17">
        <f t="shared" si="19"/>
        <v>24845.804482010979</v>
      </c>
      <c r="BI41">
        <v>77</v>
      </c>
      <c r="BJ41" t="s">
        <v>67</v>
      </c>
      <c r="BK41" s="2">
        <v>45931.253217592595</v>
      </c>
      <c r="BL41">
        <v>287</v>
      </c>
      <c r="BM41" t="s">
        <v>13</v>
      </c>
      <c r="BN41">
        <v>0</v>
      </c>
      <c r="BO41">
        <v>2.8690000000000002</v>
      </c>
      <c r="BP41" s="3">
        <v>911006</v>
      </c>
      <c r="BQ41">
        <v>0</v>
      </c>
      <c r="BR41" t="s">
        <v>14</v>
      </c>
      <c r="BS41" t="s">
        <v>14</v>
      </c>
      <c r="BT41" t="s">
        <v>14</v>
      </c>
      <c r="BU41" t="s">
        <v>14</v>
      </c>
    </row>
    <row r="42" spans="1:73" x14ac:dyDescent="0.25">
      <c r="A42">
        <v>78</v>
      </c>
      <c r="B42" t="s">
        <v>68</v>
      </c>
      <c r="C42" s="2">
        <v>45931.27443287037</v>
      </c>
      <c r="D42">
        <v>57</v>
      </c>
      <c r="E42" t="s">
        <v>13</v>
      </c>
      <c r="F42">
        <v>0</v>
      </c>
      <c r="G42">
        <v>5.8159999999999998</v>
      </c>
      <c r="H42" s="3">
        <v>63109838</v>
      </c>
      <c r="I42">
        <v>175.38300000000001</v>
      </c>
      <c r="J42" t="s">
        <v>14</v>
      </c>
      <c r="K42" t="s">
        <v>14</v>
      </c>
      <c r="L42" t="s">
        <v>14</v>
      </c>
      <c r="M42" t="s">
        <v>14</v>
      </c>
      <c r="O42">
        <v>78</v>
      </c>
      <c r="P42" t="s">
        <v>68</v>
      </c>
      <c r="Q42" s="2">
        <v>45931.27443287037</v>
      </c>
      <c r="R42">
        <v>57</v>
      </c>
      <c r="S42" t="s">
        <v>13</v>
      </c>
      <c r="T42">
        <v>0</v>
      </c>
      <c r="U42">
        <v>5.7969999999999997</v>
      </c>
      <c r="V42" s="3">
        <v>679884</v>
      </c>
      <c r="W42">
        <v>161.66200000000001</v>
      </c>
      <c r="X42" t="s">
        <v>14</v>
      </c>
      <c r="Y42" t="s">
        <v>14</v>
      </c>
      <c r="Z42" t="s">
        <v>14</v>
      </c>
      <c r="AA42" t="s">
        <v>14</v>
      </c>
      <c r="AC42">
        <v>78</v>
      </c>
      <c r="AD42" t="s">
        <v>68</v>
      </c>
      <c r="AE42" s="2">
        <v>45931.27443287037</v>
      </c>
      <c r="AF42">
        <v>57</v>
      </c>
      <c r="AG42" t="s">
        <v>13</v>
      </c>
      <c r="AH42">
        <v>0</v>
      </c>
      <c r="AI42">
        <v>12.117000000000001</v>
      </c>
      <c r="AJ42" s="3">
        <v>132116</v>
      </c>
      <c r="AK42">
        <v>28.620999999999999</v>
      </c>
      <c r="AL42" t="s">
        <v>14</v>
      </c>
      <c r="AM42" t="s">
        <v>14</v>
      </c>
      <c r="AN42" t="s">
        <v>14</v>
      </c>
      <c r="AO42" t="s">
        <v>14</v>
      </c>
      <c r="AQ42">
        <v>1</v>
      </c>
      <c r="AS42" s="10">
        <v>78</v>
      </c>
      <c r="AT42" s="16">
        <f t="shared" si="10"/>
        <v>160627.84954995615</v>
      </c>
      <c r="AU42" s="17">
        <f t="shared" si="11"/>
        <v>28770.536950217276</v>
      </c>
      <c r="AW42" s="6">
        <f t="shared" si="12"/>
        <v>159267.8815280227</v>
      </c>
      <c r="AX42" s="7">
        <f t="shared" si="13"/>
        <v>26759.234852122878</v>
      </c>
      <c r="AZ42" s="11">
        <f t="shared" si="14"/>
        <v>164113.40093088002</v>
      </c>
      <c r="BA42" s="12">
        <f t="shared" si="15"/>
        <v>30234.238528049602</v>
      </c>
      <c r="BC42" s="13">
        <f t="shared" si="16"/>
        <v>173356.84654286402</v>
      </c>
      <c r="BD42" s="14">
        <f t="shared" si="17"/>
        <v>26285.39586193232</v>
      </c>
      <c r="BF42" s="16">
        <f t="shared" si="18"/>
        <v>160627.84954995615</v>
      </c>
      <c r="BG42" s="17">
        <f t="shared" si="19"/>
        <v>28770.536950217276</v>
      </c>
      <c r="BI42">
        <v>78</v>
      </c>
      <c r="BJ42" t="s">
        <v>68</v>
      </c>
      <c r="BK42" s="2">
        <v>45931.27443287037</v>
      </c>
      <c r="BL42">
        <v>57</v>
      </c>
      <c r="BM42" t="s">
        <v>13</v>
      </c>
      <c r="BN42">
        <v>0</v>
      </c>
      <c r="BO42">
        <v>2.8849999999999998</v>
      </c>
      <c r="BP42" s="3">
        <v>566812</v>
      </c>
      <c r="BQ42">
        <v>0</v>
      </c>
      <c r="BR42" t="s">
        <v>14</v>
      </c>
      <c r="BS42" t="s">
        <v>14</v>
      </c>
      <c r="BT42" t="s">
        <v>14</v>
      </c>
      <c r="BU42" t="s">
        <v>14</v>
      </c>
    </row>
    <row r="43" spans="1:73" x14ac:dyDescent="0.25">
      <c r="A43">
        <v>79</v>
      </c>
      <c r="B43" t="s">
        <v>69</v>
      </c>
      <c r="C43" s="2">
        <v>45931.295648148145</v>
      </c>
      <c r="D43">
        <v>307</v>
      </c>
      <c r="E43" t="s">
        <v>13</v>
      </c>
      <c r="F43">
        <v>0</v>
      </c>
      <c r="G43">
        <v>6.0449999999999999</v>
      </c>
      <c r="H43" s="3">
        <v>73437</v>
      </c>
      <c r="I43">
        <v>0.16600000000000001</v>
      </c>
      <c r="J43" t="s">
        <v>14</v>
      </c>
      <c r="K43" t="s">
        <v>14</v>
      </c>
      <c r="L43" t="s">
        <v>14</v>
      </c>
      <c r="M43" t="s">
        <v>14</v>
      </c>
      <c r="O43">
        <v>79</v>
      </c>
      <c r="P43" t="s">
        <v>69</v>
      </c>
      <c r="Q43" s="2">
        <v>45931.295648148145</v>
      </c>
      <c r="R43">
        <v>307</v>
      </c>
      <c r="S43" t="s">
        <v>13</v>
      </c>
      <c r="T43">
        <v>0</v>
      </c>
      <c r="U43" t="s">
        <v>14</v>
      </c>
      <c r="V43" t="s">
        <v>14</v>
      </c>
      <c r="W43" t="s">
        <v>14</v>
      </c>
      <c r="X43" t="s">
        <v>14</v>
      </c>
      <c r="Y43" t="s">
        <v>14</v>
      </c>
      <c r="Z43" t="s">
        <v>14</v>
      </c>
      <c r="AA43" t="s">
        <v>14</v>
      </c>
      <c r="AC43">
        <v>79</v>
      </c>
      <c r="AD43" t="s">
        <v>69</v>
      </c>
      <c r="AE43" s="2">
        <v>45931.295648148145</v>
      </c>
      <c r="AF43">
        <v>307</v>
      </c>
      <c r="AG43" t="s">
        <v>13</v>
      </c>
      <c r="AH43">
        <v>0</v>
      </c>
      <c r="AI43">
        <v>12.255000000000001</v>
      </c>
      <c r="AJ43" s="3">
        <v>8716</v>
      </c>
      <c r="AK43">
        <v>1.8149999999999999</v>
      </c>
      <c r="AL43" t="s">
        <v>14</v>
      </c>
      <c r="AM43" t="s">
        <v>14</v>
      </c>
      <c r="AN43" t="s">
        <v>14</v>
      </c>
      <c r="AO43" t="s">
        <v>14</v>
      </c>
      <c r="AQ43">
        <v>1</v>
      </c>
      <c r="AS43" s="10">
        <v>79</v>
      </c>
      <c r="AT43" s="16">
        <f t="shared" si="10"/>
        <v>198.71867684915301</v>
      </c>
      <c r="AU43" s="17">
        <f t="shared" si="11"/>
        <v>1846.9054180500802</v>
      </c>
      <c r="AW43" s="6">
        <f t="shared" si="12"/>
        <v>169.52572434627672</v>
      </c>
      <c r="AX43" s="7">
        <f t="shared" si="13"/>
        <v>1695.9584798988799</v>
      </c>
      <c r="AZ43" s="11">
        <f t="shared" si="14"/>
        <v>204.54404108788702</v>
      </c>
      <c r="BA43" s="12">
        <f t="shared" si="15"/>
        <v>2070.3346959984005</v>
      </c>
      <c r="BC43" s="13">
        <f t="shared" si="16"/>
        <v>207.01536663055282</v>
      </c>
      <c r="BD43" s="14">
        <f t="shared" si="17"/>
        <v>1816.3370743711998</v>
      </c>
      <c r="BF43" s="16">
        <f t="shared" si="18"/>
        <v>198.71867684915301</v>
      </c>
      <c r="BG43" s="17">
        <f t="shared" si="19"/>
        <v>1846.9054180500802</v>
      </c>
      <c r="BI43">
        <v>79</v>
      </c>
      <c r="BJ43" t="s">
        <v>69</v>
      </c>
      <c r="BK43" s="2">
        <v>45931.295648148145</v>
      </c>
      <c r="BL43">
        <v>307</v>
      </c>
      <c r="BM43" t="s">
        <v>13</v>
      </c>
      <c r="BN43">
        <v>0</v>
      </c>
      <c r="BO43">
        <v>2.8559999999999999</v>
      </c>
      <c r="BP43" s="3">
        <v>1199693</v>
      </c>
      <c r="BQ43">
        <v>0</v>
      </c>
      <c r="BR43" t="s">
        <v>14</v>
      </c>
      <c r="BS43" t="s">
        <v>14</v>
      </c>
      <c r="BT43" t="s">
        <v>14</v>
      </c>
      <c r="BU43" t="s">
        <v>14</v>
      </c>
    </row>
    <row r="44" spans="1:73" x14ac:dyDescent="0.25">
      <c r="A44">
        <v>80</v>
      </c>
      <c r="B44" t="s">
        <v>70</v>
      </c>
      <c r="C44" s="2">
        <v>45931.316886574074</v>
      </c>
      <c r="D44">
        <v>297</v>
      </c>
      <c r="E44" t="s">
        <v>13</v>
      </c>
      <c r="F44">
        <v>0</v>
      </c>
      <c r="G44">
        <v>6.0919999999999996</v>
      </c>
      <c r="H44" s="3">
        <v>1906</v>
      </c>
      <c r="I44">
        <v>5.0000000000000001E-3</v>
      </c>
      <c r="J44" t="s">
        <v>14</v>
      </c>
      <c r="K44" t="s">
        <v>14</v>
      </c>
      <c r="L44" t="s">
        <v>14</v>
      </c>
      <c r="M44" t="s">
        <v>14</v>
      </c>
      <c r="O44">
        <v>80</v>
      </c>
      <c r="P44" t="s">
        <v>70</v>
      </c>
      <c r="Q44" s="2">
        <v>45931.316886574074</v>
      </c>
      <c r="R44">
        <v>297</v>
      </c>
      <c r="S44" t="s">
        <v>13</v>
      </c>
      <c r="T44">
        <v>0</v>
      </c>
      <c r="U44" t="s">
        <v>14</v>
      </c>
      <c r="V44" t="s">
        <v>14</v>
      </c>
      <c r="W44" t="s">
        <v>14</v>
      </c>
      <c r="X44" t="s">
        <v>14</v>
      </c>
      <c r="Y44" t="s">
        <v>14</v>
      </c>
      <c r="Z44" t="s">
        <v>14</v>
      </c>
      <c r="AA44" t="s">
        <v>14</v>
      </c>
      <c r="AC44">
        <v>80</v>
      </c>
      <c r="AD44" t="s">
        <v>70</v>
      </c>
      <c r="AE44" s="2">
        <v>45931.316886574074</v>
      </c>
      <c r="AF44">
        <v>297</v>
      </c>
      <c r="AG44" t="s">
        <v>13</v>
      </c>
      <c r="AH44">
        <v>0</v>
      </c>
      <c r="AI44">
        <v>12.241</v>
      </c>
      <c r="AJ44" s="3">
        <v>3713</v>
      </c>
      <c r="AK44">
        <v>0.71799999999999997</v>
      </c>
      <c r="AL44" t="s">
        <v>14</v>
      </c>
      <c r="AM44" t="s">
        <v>14</v>
      </c>
      <c r="AN44" t="s">
        <v>14</v>
      </c>
      <c r="AO44" t="s">
        <v>14</v>
      </c>
      <c r="AQ44">
        <v>2</v>
      </c>
      <c r="AR44" t="s">
        <v>78</v>
      </c>
      <c r="AS44" s="10">
        <v>80</v>
      </c>
      <c r="AT44" s="16">
        <f t="shared" si="10"/>
        <v>3.3985456761480002</v>
      </c>
      <c r="AU44" s="17">
        <f t="shared" si="11"/>
        <v>710.77360287317003</v>
      </c>
      <c r="AW44" s="6">
        <f t="shared" si="12"/>
        <v>0.31417047079999993</v>
      </c>
      <c r="AX44" s="7">
        <f t="shared" si="13"/>
        <v>663.42527186311986</v>
      </c>
      <c r="AZ44" s="11">
        <f t="shared" si="14"/>
        <v>5.5996414400000001</v>
      </c>
      <c r="BA44" s="12">
        <f t="shared" si="15"/>
        <v>877.96403709909998</v>
      </c>
      <c r="BC44" s="13">
        <f t="shared" si="16"/>
        <v>1.07199824904</v>
      </c>
      <c r="BD44" s="14">
        <f t="shared" si="17"/>
        <v>794.44057513379994</v>
      </c>
      <c r="BF44" s="16">
        <f t="shared" si="18"/>
        <v>3.3985456761480002</v>
      </c>
      <c r="BG44" s="17">
        <f t="shared" si="19"/>
        <v>710.77360287317003</v>
      </c>
      <c r="BI44">
        <v>80</v>
      </c>
      <c r="BJ44" t="s">
        <v>70</v>
      </c>
      <c r="BK44" s="2">
        <v>45931.316886574074</v>
      </c>
      <c r="BL44">
        <v>297</v>
      </c>
      <c r="BM44" t="s">
        <v>13</v>
      </c>
      <c r="BN44">
        <v>0</v>
      </c>
      <c r="BO44">
        <v>2.7210000000000001</v>
      </c>
      <c r="BP44" s="3">
        <v>4968799</v>
      </c>
      <c r="BQ44">
        <v>0</v>
      </c>
      <c r="BR44" t="s">
        <v>14</v>
      </c>
      <c r="BS44" t="s">
        <v>14</v>
      </c>
      <c r="BT44" t="s">
        <v>14</v>
      </c>
      <c r="BU44" t="s">
        <v>14</v>
      </c>
    </row>
    <row r="45" spans="1:73" x14ac:dyDescent="0.25">
      <c r="A45">
        <v>81</v>
      </c>
      <c r="B45" t="s">
        <v>71</v>
      </c>
      <c r="C45" s="2">
        <v>45931.432789351849</v>
      </c>
      <c r="D45" t="s">
        <v>72</v>
      </c>
      <c r="E45" t="s">
        <v>13</v>
      </c>
      <c r="F45">
        <v>0</v>
      </c>
      <c r="G45">
        <v>6.1070000000000002</v>
      </c>
      <c r="H45" s="3">
        <v>1368</v>
      </c>
      <c r="I45">
        <v>3.0000000000000001E-3</v>
      </c>
      <c r="J45" t="s">
        <v>14</v>
      </c>
      <c r="K45" t="s">
        <v>14</v>
      </c>
      <c r="L45" t="s">
        <v>14</v>
      </c>
      <c r="M45" t="s">
        <v>14</v>
      </c>
      <c r="O45">
        <v>81</v>
      </c>
      <c r="P45" t="s">
        <v>71</v>
      </c>
      <c r="Q45" s="2">
        <v>45931.432789351849</v>
      </c>
      <c r="R45" t="s">
        <v>72</v>
      </c>
      <c r="S45" t="s">
        <v>13</v>
      </c>
      <c r="T45">
        <v>0</v>
      </c>
      <c r="U45" t="s">
        <v>14</v>
      </c>
      <c r="V45" t="s">
        <v>14</v>
      </c>
      <c r="W45" t="s">
        <v>14</v>
      </c>
      <c r="X45" t="s">
        <v>14</v>
      </c>
      <c r="Y45" t="s">
        <v>14</v>
      </c>
      <c r="Z45" t="s">
        <v>14</v>
      </c>
      <c r="AA45" t="s">
        <v>14</v>
      </c>
      <c r="AC45">
        <v>81</v>
      </c>
      <c r="AD45" t="s">
        <v>71</v>
      </c>
      <c r="AE45" s="2">
        <v>45931.432789351849</v>
      </c>
      <c r="AF45" t="s">
        <v>72</v>
      </c>
      <c r="AG45" t="s">
        <v>13</v>
      </c>
      <c r="AH45">
        <v>0</v>
      </c>
      <c r="AI45" t="s">
        <v>14</v>
      </c>
      <c r="AJ45" t="s">
        <v>14</v>
      </c>
      <c r="AK45" t="s">
        <v>14</v>
      </c>
      <c r="AL45" t="s">
        <v>14</v>
      </c>
      <c r="AM45" t="s">
        <v>14</v>
      </c>
      <c r="AN45" t="s">
        <v>14</v>
      </c>
      <c r="AO45" t="s">
        <v>14</v>
      </c>
      <c r="AQ45">
        <v>3</v>
      </c>
      <c r="AR45" t="s">
        <v>77</v>
      </c>
      <c r="AS45" s="10">
        <v>81</v>
      </c>
      <c r="AT45" s="16">
        <f t="shared" si="10"/>
        <v>1.5102700040319998</v>
      </c>
      <c r="AU45" s="17" t="e">
        <f t="shared" si="11"/>
        <v>#VALUE!</v>
      </c>
      <c r="AW45" s="6">
        <f t="shared" si="12"/>
        <v>-0.39093889279999994</v>
      </c>
      <c r="AX45" s="7" t="e">
        <f t="shared" si="13"/>
        <v>#VALUE!</v>
      </c>
      <c r="AZ45" s="11">
        <f t="shared" si="14"/>
        <v>7.2120489600000006</v>
      </c>
      <c r="BA45" s="12" t="e">
        <f t="shared" si="15"/>
        <v>#VALUE!</v>
      </c>
      <c r="BC45" s="13">
        <f t="shared" si="16"/>
        <v>-0.34836283264000034</v>
      </c>
      <c r="BD45" s="14" t="e">
        <f t="shared" si="17"/>
        <v>#VALUE!</v>
      </c>
      <c r="BF45" s="16">
        <f t="shared" si="18"/>
        <v>1.5102700040319998</v>
      </c>
      <c r="BG45" s="17" t="e">
        <f t="shared" si="19"/>
        <v>#VALUE!</v>
      </c>
      <c r="BI45">
        <v>81</v>
      </c>
      <c r="BJ45" t="s">
        <v>71</v>
      </c>
      <c r="BK45" s="2">
        <v>45931.432789351849</v>
      </c>
      <c r="BL45" t="s">
        <v>72</v>
      </c>
      <c r="BM45" t="s">
        <v>13</v>
      </c>
      <c r="BN45">
        <v>0</v>
      </c>
      <c r="BO45">
        <v>2.8479999999999999</v>
      </c>
      <c r="BP45" s="3">
        <v>1411333</v>
      </c>
      <c r="BQ45">
        <v>0</v>
      </c>
      <c r="BR45" t="s">
        <v>14</v>
      </c>
      <c r="BS45" t="s">
        <v>14</v>
      </c>
      <c r="BT45" t="s">
        <v>14</v>
      </c>
      <c r="BU45" t="s">
        <v>14</v>
      </c>
    </row>
    <row r="46" spans="1:73" x14ac:dyDescent="0.25">
      <c r="A46">
        <v>82</v>
      </c>
      <c r="B46" t="s">
        <v>73</v>
      </c>
      <c r="C46" s="2">
        <v>45931.453993055555</v>
      </c>
      <c r="D46" t="s">
        <v>74</v>
      </c>
      <c r="E46" t="s">
        <v>13</v>
      </c>
      <c r="F46">
        <v>0</v>
      </c>
      <c r="G46">
        <v>6.077</v>
      </c>
      <c r="H46" s="3">
        <v>1842</v>
      </c>
      <c r="I46">
        <v>5.0000000000000001E-3</v>
      </c>
      <c r="J46" t="s">
        <v>14</v>
      </c>
      <c r="K46" t="s">
        <v>14</v>
      </c>
      <c r="L46" t="s">
        <v>14</v>
      </c>
      <c r="M46" t="s">
        <v>14</v>
      </c>
      <c r="O46">
        <v>82</v>
      </c>
      <c r="P46" t="s">
        <v>73</v>
      </c>
      <c r="Q46" s="2">
        <v>45931.453993055555</v>
      </c>
      <c r="R46" t="s">
        <v>74</v>
      </c>
      <c r="S46" t="s">
        <v>13</v>
      </c>
      <c r="T46">
        <v>0</v>
      </c>
      <c r="U46" t="s">
        <v>14</v>
      </c>
      <c r="V46" t="s">
        <v>14</v>
      </c>
      <c r="W46" t="s">
        <v>14</v>
      </c>
      <c r="X46" t="s">
        <v>14</v>
      </c>
      <c r="Y46" t="s">
        <v>14</v>
      </c>
      <c r="Z46" t="s">
        <v>14</v>
      </c>
      <c r="AA46" t="s">
        <v>14</v>
      </c>
      <c r="AC46">
        <v>82</v>
      </c>
      <c r="AD46" t="s">
        <v>73</v>
      </c>
      <c r="AE46" s="2">
        <v>45931.453993055555</v>
      </c>
      <c r="AF46" t="s">
        <v>74</v>
      </c>
      <c r="AG46" t="s">
        <v>13</v>
      </c>
      <c r="AH46">
        <v>0</v>
      </c>
      <c r="AI46" t="s">
        <v>14</v>
      </c>
      <c r="AJ46" t="s">
        <v>14</v>
      </c>
      <c r="AK46" t="s">
        <v>14</v>
      </c>
      <c r="AL46" t="s">
        <v>14</v>
      </c>
      <c r="AM46" t="s">
        <v>14</v>
      </c>
      <c r="AN46" t="s">
        <v>14</v>
      </c>
      <c r="AO46" t="s">
        <v>14</v>
      </c>
      <c r="AQ46">
        <v>3</v>
      </c>
      <c r="AR46" t="s">
        <v>77</v>
      </c>
      <c r="AS46" s="10">
        <v>82</v>
      </c>
      <c r="AT46" s="16">
        <f t="shared" si="10"/>
        <v>3.1736604432520004</v>
      </c>
      <c r="AU46" s="17" t="e">
        <f t="shared" si="11"/>
        <v>#VALUE!</v>
      </c>
      <c r="AW46" s="6">
        <f t="shared" si="12"/>
        <v>0.22588346920000002</v>
      </c>
      <c r="AX46" s="7" t="e">
        <f t="shared" si="13"/>
        <v>#VALUE!</v>
      </c>
      <c r="AZ46" s="11">
        <f t="shared" si="14"/>
        <v>5.7750705600000014</v>
      </c>
      <c r="BA46" s="12" t="e">
        <f t="shared" si="15"/>
        <v>#VALUE!</v>
      </c>
      <c r="BC46" s="13">
        <f t="shared" si="16"/>
        <v>0.90129996295999959</v>
      </c>
      <c r="BD46" s="14" t="e">
        <f t="shared" si="17"/>
        <v>#VALUE!</v>
      </c>
      <c r="BF46" s="16">
        <f t="shared" si="18"/>
        <v>3.1736604432520004</v>
      </c>
      <c r="BG46" s="17" t="e">
        <f t="shared" si="19"/>
        <v>#VALUE!</v>
      </c>
      <c r="BI46">
        <v>82</v>
      </c>
      <c r="BJ46" t="s">
        <v>73</v>
      </c>
      <c r="BK46" s="2">
        <v>45931.453993055555</v>
      </c>
      <c r="BL46" t="s">
        <v>74</v>
      </c>
      <c r="BM46" t="s">
        <v>13</v>
      </c>
      <c r="BN46">
        <v>0</v>
      </c>
      <c r="BO46">
        <v>2.8380000000000001</v>
      </c>
      <c r="BP46" s="3">
        <v>1519484</v>
      </c>
      <c r="BQ46">
        <v>0</v>
      </c>
      <c r="BR46" t="s">
        <v>14</v>
      </c>
      <c r="BS46" t="s">
        <v>14</v>
      </c>
      <c r="BT46" t="s">
        <v>14</v>
      </c>
      <c r="BU46" t="s">
        <v>14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 CH4 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Analytical Lab</dc:creator>
  <cp:lastModifiedBy>Iannucci, Frances</cp:lastModifiedBy>
  <dcterms:created xsi:type="dcterms:W3CDTF">2020-10-28T13:32:09Z</dcterms:created>
  <dcterms:modified xsi:type="dcterms:W3CDTF">2025-10-01T18:32:59Z</dcterms:modified>
</cp:coreProperties>
</file>