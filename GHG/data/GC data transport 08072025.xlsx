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DXE mesocosms\DXE water quality Sites\"/>
    </mc:Choice>
  </mc:AlternateContent>
  <xr:revisionPtr revIDLastSave="0" documentId="13_ncr:1_{DE446610-18A0-4E8E-9A5B-552FB2D8815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9" i="1" l="1"/>
  <c r="AU19" i="1"/>
  <c r="AW19" i="1"/>
  <c r="AX19" i="1"/>
  <c r="AZ19" i="1"/>
  <c r="BA19" i="1"/>
  <c r="BC19" i="1"/>
  <c r="BD19" i="1"/>
  <c r="BF19" i="1"/>
  <c r="BG19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  <c r="AT15" i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</calcChain>
</file>

<file path=xl/sharedStrings.xml><?xml version="1.0" encoding="utf-8"?>
<sst xmlns="http://schemas.openxmlformats.org/spreadsheetml/2006/main" count="373" uniqueCount="47">
  <si>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</si>
  <si>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</si>
  <si>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</si>
  <si>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</si>
  <si>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</si>
  <si>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</si>
  <si>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</si>
  <si>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</si>
  <si>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</si>
  <si>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</si>
  <si>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</si>
  <si>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</si>
  <si>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</si>
  <si>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</si>
  <si>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</si>
  <si>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</si>
  <si>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</si>
  <si>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</si>
  <si>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</si>
  <si>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</si>
  <si>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</si>
  <si>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</si>
  <si>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</si>
  <si>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</si>
  <si>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</si>
  <si>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</si>
  <si>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</si>
  <si>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</si>
  <si>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</si>
  <si>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</si>
  <si>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</si>
  <si>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</si>
  <si>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DXE20250807_001.gcd</t>
  </si>
  <si>
    <t>room air</t>
  </si>
  <si>
    <t>DXE20250807_002.gcd</t>
  </si>
  <si>
    <t>QC spiked air</t>
  </si>
  <si>
    <t>DXE20250807_003.gcd</t>
  </si>
  <si>
    <t>tank</t>
  </si>
  <si>
    <t>DXE20250807_004.gcd</t>
  </si>
  <si>
    <t>DXE20250807_005.gcd</t>
  </si>
  <si>
    <t>DXE20250807_006.gcd</t>
  </si>
  <si>
    <t>DXE20250807_007.gcd</t>
  </si>
  <si>
    <t>DXE20250807_008.gcd</t>
  </si>
  <si>
    <t>DXE20250807_009.gcd</t>
  </si>
  <si>
    <t>DXE20250807_010.gcd</t>
  </si>
  <si>
    <t>DXE20250807_011.gcd</t>
  </si>
  <si>
    <t>normal QC outside air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</si>
</sst>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33"/>
  <sheetViews>
    <sheetView tabSelected="1" workbookViewId="0">
      <selection activeCell="A10" sqref="A10:XFD10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28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31</v>
      </c>
      <c r="BE8" s="8"/>
      <c r="BF8" s="5" t="s">
        <v>29</v>
      </c>
      <c r="BG8" s="5" t="s">
        <v>30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32</v>
      </c>
      <c r="C9" s="2">
        <v>45876.71130787037</v>
      </c>
      <c r="D9" t="s">
        <v>33</v>
      </c>
      <c r="E9" t="s">
        <v>13</v>
      </c>
      <c r="F9">
        <v>0</v>
      </c>
      <c r="G9">
        <v>6.0640000000000001</v>
      </c>
      <c r="H9" s="3">
        <v>1375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32</v>
      </c>
      <c r="Q9" s="2">
        <v>45876.71130787037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32</v>
      </c>
      <c r="AE9" s="2">
        <v>45876.71130787037</v>
      </c>
      <c r="AF9" t="s">
        <v>33</v>
      </c>
      <c r="AG9" t="s">
        <v>13</v>
      </c>
      <c r="AH9">
        <v>0</v>
      </c>
      <c r="AI9">
        <v>12.331</v>
      </c>
      <c r="AJ9" s="3">
        <v>2357</v>
      </c>
      <c r="AK9">
        <v>0.42099999999999999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R9" t="s">
        <v>46</v>
      </c>
      <c r="AS9" s="10">
        <v>45</v>
      </c>
      <c r="AT9" s="15">
        <f t="shared" ref="AT9:AT18" si="0">IF(H9&lt;10000,((H9^2*0.000000008493)+(H9*0.003482)+(-3.269)),(IF(H9&lt;200000,((H9^2*-0.000000000263)+(H9*0.002682)+(3.179)),(IF(H9&lt;8000000,((H9^2*-0.000000000005099)+(H9*0.002054)+(174.8)),((V9^2*-0.00000001014)+(V9*0.2415)+(1123)))))))</f>
        <v>1.5348070781249996</v>
      </c>
      <c r="AU9" s="16">
        <f t="shared" ref="AU9:AU18" si="1">IF(AJ9&lt;45000,((-0.00000004907*AJ9^2)+(0.2277*AJ9)+(-134)),((-0.00000001062*AJ9^2)+(0.2147*AJ9)+(590.6)))</f>
        <v>402.41629411757003</v>
      </c>
      <c r="AW9" s="6">
        <f t="shared" ref="AW9:AW18" si="2">IF(H9&lt;10000,((0.0000001453*H9^2)+(0.0008349*H9)+(-1.805)),(IF(H9&lt;700000,((-0.00000000008054*H9^2)+(0.002348*H9)+(-2.47)), ((-0.00000001938*V9^2)+(0.2471*V9)+(226.8)))))</f>
        <v>-0.38230468750000002</v>
      </c>
      <c r="AX9" s="7">
        <f t="shared" ref="AX9:AX18" si="3">(-0.00000002552*AJ9^2)+(0.2067*AJ9)+(-103.7)</f>
        <v>383.35012494151999</v>
      </c>
      <c r="AZ9" s="11">
        <f t="shared" ref="AZ9:AZ18" si="4">IF(H9&lt;10000,((H9^2*0.00000054)+(H9*-0.004765)+(12.72)),(IF(H9&lt;200000,((H9^2*-0.000000001577)+(H9*0.003043)+(-10.42)),(IF(H9&lt;8000000,((H9^2*-0.0000000000186)+(H9*0.00194)+(154.1)),((V9^2*-0.00000002)+(V9*0.2565)+(-1032)))))))</f>
        <v>7.1890625000000004</v>
      </c>
      <c r="BA9" s="12">
        <f t="shared" ref="BA9:BA18" si="5">IF(AJ9&lt;45000,((-0.0000004561*AJ9^2)+(0.244*AJ9)+(-21.72)),((-0.0000000409*AJ9^2)+(0.2477*AJ9)+(-1777)))</f>
        <v>550.8541597110999</v>
      </c>
      <c r="BC9" s="13">
        <f t="shared" ref="BC9:BC18" si="6">IF(H9&lt;10000,((H9^2*0.00000005714)+(H9*0.002453)+(-3.811)),(IF(H9&lt;200000,((H9^2*-0.0000000002888)+(H9*0.002899)+(-4.321)),(IF(H9&lt;8000000,((H9^2*-0.0000000000062)+(H9*0.002143)+(157)),((V9^2*-0.000000031)+(V9*0.2771)+(-709.5)))))))</f>
        <v>-0.33009468750000037</v>
      </c>
      <c r="BD9" s="14">
        <f t="shared" ref="BD9:BD18" si="7">IF(AJ9&lt;45000,((-0.0000000598*AJ9^2)+(0.205*AJ9)+(34.1)),((-0.00000002403*AJ9^2)+(0.2063*AJ9)+(-550.7)))</f>
        <v>516.95278414979998</v>
      </c>
      <c r="BF9" s="15">
        <f t="shared" ref="BF9:BF18" si="8">IF(H9&lt;10000,((H9^2*0.000000008493)+(H9*0.003482)+(-3.269)),(IF(H9&lt;200000,((H9^2*-0.000000000263)+(H9*0.002682)+(3.179)),(IF(H9&lt;8000000,((H9^2*-0.000000000005099)+(H9*0.002054)+(174.8)),((V9^2*-0.00000001014)+(V9*0.2415)+(1123)))))))</f>
        <v>1.5348070781249996</v>
      </c>
      <c r="BG9" s="16">
        <f t="shared" ref="BG9:BG18" si="9">IF(AJ9&lt;45000,((-0.00000004907*AJ9^2)+(0.2277*AJ9)+(-134)),((-0.00000001062*AJ9^2)+(0.2147*AJ9)+(590.6)))</f>
        <v>402.41629411757003</v>
      </c>
      <c r="BI9">
        <v>45</v>
      </c>
      <c r="BJ9" t="s">
        <v>32</v>
      </c>
      <c r="BK9" s="2">
        <v>45876.71130787037</v>
      </c>
      <c r="BL9" t="s">
        <v>33</v>
      </c>
      <c r="BM9" t="s">
        <v>13</v>
      </c>
      <c r="BN9">
        <v>0</v>
      </c>
      <c r="BO9">
        <v>2.718</v>
      </c>
      <c r="BP9" s="3">
        <v>5028201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34</v>
      </c>
      <c r="C10" s="2">
        <v>45876.732523148145</v>
      </c>
      <c r="D10" t="s">
        <v>35</v>
      </c>
      <c r="E10" t="s">
        <v>13</v>
      </c>
      <c r="F10">
        <v>0</v>
      </c>
      <c r="G10">
        <v>6.0359999999999996</v>
      </c>
      <c r="H10" s="3">
        <v>1108335</v>
      </c>
      <c r="I10">
        <v>2.5049999999999999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34</v>
      </c>
      <c r="Q10" s="2">
        <v>45876.732523148145</v>
      </c>
      <c r="R10" t="s">
        <v>35</v>
      </c>
      <c r="S10" t="s">
        <v>13</v>
      </c>
      <c r="T10">
        <v>0</v>
      </c>
      <c r="U10">
        <v>5.9930000000000003</v>
      </c>
      <c r="V10" s="3">
        <v>9539</v>
      </c>
      <c r="W10">
        <v>2.4500000000000002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34</v>
      </c>
      <c r="AE10" s="2">
        <v>45876.732523148145</v>
      </c>
      <c r="AF10" t="s">
        <v>35</v>
      </c>
      <c r="AG10" t="s">
        <v>13</v>
      </c>
      <c r="AH10">
        <v>0</v>
      </c>
      <c r="AI10">
        <v>12.298999999999999</v>
      </c>
      <c r="AJ10" s="3">
        <v>7687</v>
      </c>
      <c r="AK10">
        <v>1.59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5">
        <f t="shared" si="0"/>
        <v>2445.0564453981251</v>
      </c>
      <c r="AU10" s="16">
        <f t="shared" si="1"/>
        <v>1613.4303552211702</v>
      </c>
      <c r="AW10" s="6">
        <f t="shared" si="2"/>
        <v>2582.1234649430198</v>
      </c>
      <c r="AX10" s="7">
        <f t="shared" si="3"/>
        <v>1483.69492399112</v>
      </c>
      <c r="AZ10" s="11">
        <f t="shared" si="4"/>
        <v>2281.4215396166151</v>
      </c>
      <c r="BA10" s="12">
        <f t="shared" si="5"/>
        <v>1826.9570651391</v>
      </c>
      <c r="BC10" s="13">
        <f t="shared" si="6"/>
        <v>2524.5457848722049</v>
      </c>
      <c r="BD10" s="14">
        <f t="shared" si="7"/>
        <v>1606.4014198537998</v>
      </c>
      <c r="BF10" s="15">
        <f t="shared" si="8"/>
        <v>2445.0564453981251</v>
      </c>
      <c r="BG10" s="16">
        <f t="shared" si="9"/>
        <v>1613.4303552211702</v>
      </c>
      <c r="BI10">
        <v>46</v>
      </c>
      <c r="BJ10" t="s">
        <v>34</v>
      </c>
      <c r="BK10" s="2">
        <v>45876.732523148145</v>
      </c>
      <c r="BL10" t="s">
        <v>35</v>
      </c>
      <c r="BM10" t="s">
        <v>13</v>
      </c>
      <c r="BN10">
        <v>0</v>
      </c>
      <c r="BO10">
        <v>2.7170000000000001</v>
      </c>
      <c r="BP10" s="3">
        <v>5072050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36</v>
      </c>
      <c r="C11" s="2">
        <v>45876.753761574073</v>
      </c>
      <c r="D11" t="s">
        <v>37</v>
      </c>
      <c r="E11" t="s">
        <v>13</v>
      </c>
      <c r="F11">
        <v>0</v>
      </c>
      <c r="G11">
        <v>6.0529999999999999</v>
      </c>
      <c r="H11" s="3">
        <v>2527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36</v>
      </c>
      <c r="Q11" s="2">
        <v>45876.753761574073</v>
      </c>
      <c r="R11" t="s">
        <v>37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36</v>
      </c>
      <c r="AE11" s="2">
        <v>45876.753761574073</v>
      </c>
      <c r="AF11" t="s">
        <v>37</v>
      </c>
      <c r="AG11" t="s">
        <v>13</v>
      </c>
      <c r="AH11">
        <v>0</v>
      </c>
      <c r="AI11">
        <v>12.308999999999999</v>
      </c>
      <c r="AJ11" s="3">
        <v>1813</v>
      </c>
      <c r="AK11">
        <v>0.30099999999999999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5">
        <f t="shared" si="0"/>
        <v>5.584247996397</v>
      </c>
      <c r="AU11" s="16">
        <f t="shared" si="1"/>
        <v>278.65880843117003</v>
      </c>
      <c r="AW11" s="6">
        <f t="shared" si="2"/>
        <v>1.2326387237000003</v>
      </c>
      <c r="AX11" s="7">
        <f t="shared" si="3"/>
        <v>270.96321655112001</v>
      </c>
      <c r="AZ11" s="11">
        <f t="shared" si="4"/>
        <v>4.1271386600000017</v>
      </c>
      <c r="BA11" s="12">
        <f t="shared" si="5"/>
        <v>419.15281343909999</v>
      </c>
      <c r="BC11" s="13">
        <f t="shared" si="6"/>
        <v>2.7526115550599997</v>
      </c>
      <c r="BD11" s="14">
        <f t="shared" si="7"/>
        <v>405.56843925379997</v>
      </c>
      <c r="BF11" s="15">
        <f t="shared" si="8"/>
        <v>5.584247996397</v>
      </c>
      <c r="BG11" s="16">
        <f t="shared" si="9"/>
        <v>278.65880843117003</v>
      </c>
      <c r="BI11">
        <v>47</v>
      </c>
      <c r="BJ11" t="s">
        <v>36</v>
      </c>
      <c r="BK11" s="2">
        <v>45876.753761574073</v>
      </c>
      <c r="BL11" t="s">
        <v>37</v>
      </c>
      <c r="BM11" t="s">
        <v>13</v>
      </c>
      <c r="BN11">
        <v>0</v>
      </c>
      <c r="BO11">
        <v>2.7189999999999999</v>
      </c>
      <c r="BP11" s="3">
        <v>4993649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45876.774965277778</v>
      </c>
      <c r="D12">
        <v>238</v>
      </c>
      <c r="E12" t="s">
        <v>13</v>
      </c>
      <c r="F12">
        <v>0</v>
      </c>
      <c r="G12">
        <v>6.0410000000000004</v>
      </c>
      <c r="H12" s="3">
        <v>36660</v>
      </c>
      <c r="I12">
        <v>8.3000000000000004E-2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45876.774965277778</v>
      </c>
      <c r="R12">
        <v>238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45876.774965277778</v>
      </c>
      <c r="AF12">
        <v>238</v>
      </c>
      <c r="AG12" t="s">
        <v>13</v>
      </c>
      <c r="AH12">
        <v>0</v>
      </c>
      <c r="AI12">
        <v>12.263</v>
      </c>
      <c r="AJ12" s="3">
        <v>7192</v>
      </c>
      <c r="AK12">
        <v>1.4810000000000001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5">
        <f t="shared" si="0"/>
        <v>101.1476596772</v>
      </c>
      <c r="AU12" s="16">
        <f t="shared" si="1"/>
        <v>1501.08026092352</v>
      </c>
      <c r="AW12" s="6">
        <f t="shared" si="2"/>
        <v>83.499437815975995</v>
      </c>
      <c r="AX12" s="7">
        <f t="shared" si="3"/>
        <v>1381.5663814707198</v>
      </c>
      <c r="AZ12" s="11">
        <f t="shared" si="4"/>
        <v>99.016962018800001</v>
      </c>
      <c r="BA12" s="12">
        <f t="shared" si="5"/>
        <v>1709.5362895296</v>
      </c>
      <c r="BC12" s="13">
        <f t="shared" si="6"/>
        <v>101.56820562272001</v>
      </c>
      <c r="BD12" s="14">
        <f t="shared" si="7"/>
        <v>1505.3668531327999</v>
      </c>
      <c r="BF12" s="15">
        <f t="shared" si="8"/>
        <v>101.1476596772</v>
      </c>
      <c r="BG12" s="16">
        <f t="shared" si="9"/>
        <v>1501.08026092352</v>
      </c>
      <c r="BI12">
        <v>48</v>
      </c>
      <c r="BJ12" t="s">
        <v>38</v>
      </c>
      <c r="BK12" s="2">
        <v>45876.774965277778</v>
      </c>
      <c r="BL12">
        <v>238</v>
      </c>
      <c r="BM12" t="s">
        <v>13</v>
      </c>
      <c r="BN12">
        <v>0</v>
      </c>
      <c r="BO12">
        <v>2.8679999999999999</v>
      </c>
      <c r="BP12" s="3">
        <v>923326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45876.796168981484</v>
      </c>
      <c r="D13">
        <v>33</v>
      </c>
      <c r="E13" t="s">
        <v>13</v>
      </c>
      <c r="F13">
        <v>0</v>
      </c>
      <c r="G13">
        <v>6.0410000000000004</v>
      </c>
      <c r="H13" s="3">
        <v>24237</v>
      </c>
      <c r="I13">
        <v>5.5E-2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45876.796168981484</v>
      </c>
      <c r="R13">
        <v>33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45876.796168981484</v>
      </c>
      <c r="AF13">
        <v>33</v>
      </c>
      <c r="AG13" t="s">
        <v>13</v>
      </c>
      <c r="AH13">
        <v>0</v>
      </c>
      <c r="AI13">
        <v>12.263</v>
      </c>
      <c r="AJ13" s="3">
        <v>9412</v>
      </c>
      <c r="AK13">
        <v>1.968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5">
        <f t="shared" si="0"/>
        <v>68.028139339552993</v>
      </c>
      <c r="AU13" s="16">
        <f t="shared" si="1"/>
        <v>2004.76549754192</v>
      </c>
      <c r="AW13" s="6">
        <f t="shared" si="2"/>
        <v>54.391164213108738</v>
      </c>
      <c r="AX13" s="7">
        <f t="shared" si="3"/>
        <v>1839.4996918131199</v>
      </c>
      <c r="AZ13" s="11">
        <f t="shared" si="4"/>
        <v>62.406810469486999</v>
      </c>
      <c r="BA13" s="12">
        <f t="shared" si="5"/>
        <v>2234.4040421616</v>
      </c>
      <c r="BC13" s="13">
        <f t="shared" si="6"/>
        <v>65.772412589592804</v>
      </c>
      <c r="BD13" s="14">
        <f t="shared" si="7"/>
        <v>1958.2625725087996</v>
      </c>
      <c r="BF13" s="15">
        <f t="shared" si="8"/>
        <v>68.028139339552993</v>
      </c>
      <c r="BG13" s="16">
        <f t="shared" si="9"/>
        <v>2004.76549754192</v>
      </c>
      <c r="BI13">
        <v>49</v>
      </c>
      <c r="BJ13" t="s">
        <v>39</v>
      </c>
      <c r="BK13" s="2">
        <v>45876.796168981484</v>
      </c>
      <c r="BL13">
        <v>33</v>
      </c>
      <c r="BM13" t="s">
        <v>13</v>
      </c>
      <c r="BN13">
        <v>0</v>
      </c>
      <c r="BO13">
        <v>2.867</v>
      </c>
      <c r="BP13" s="3">
        <v>932071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45876.817395833335</v>
      </c>
      <c r="D14">
        <v>414</v>
      </c>
      <c r="E14" t="s">
        <v>13</v>
      </c>
      <c r="F14">
        <v>0</v>
      </c>
      <c r="G14">
        <v>6.0419999999999998</v>
      </c>
      <c r="H14" s="3">
        <v>90522</v>
      </c>
      <c r="I14">
        <v>0.20399999999999999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45876.817395833335</v>
      </c>
      <c r="R14">
        <v>414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45876.817395833335</v>
      </c>
      <c r="AF14">
        <v>414</v>
      </c>
      <c r="AG14" t="s">
        <v>13</v>
      </c>
      <c r="AH14">
        <v>0</v>
      </c>
      <c r="AI14">
        <v>12.27</v>
      </c>
      <c r="AJ14" s="3">
        <v>8435</v>
      </c>
      <c r="AK14">
        <v>1.754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5">
        <f t="shared" si="0"/>
        <v>243.803920856708</v>
      </c>
      <c r="AU14" s="16">
        <f t="shared" si="1"/>
        <v>1783.1582075292501</v>
      </c>
      <c r="AW14" s="6">
        <f t="shared" si="2"/>
        <v>209.41569251573861</v>
      </c>
      <c r="AX14" s="7">
        <f t="shared" si="3"/>
        <v>1637.998771778</v>
      </c>
      <c r="AZ14" s="11">
        <f t="shared" si="4"/>
        <v>252.11614137273207</v>
      </c>
      <c r="BA14" s="12">
        <f t="shared" si="5"/>
        <v>2003.9688384774997</v>
      </c>
      <c r="BC14" s="13">
        <f t="shared" si="6"/>
        <v>255.73578365862076</v>
      </c>
      <c r="BD14" s="14">
        <f t="shared" si="7"/>
        <v>1759.020276345</v>
      </c>
      <c r="BF14" s="15">
        <f t="shared" si="8"/>
        <v>243.803920856708</v>
      </c>
      <c r="BG14" s="16">
        <f t="shared" si="9"/>
        <v>1783.1582075292501</v>
      </c>
      <c r="BI14">
        <v>50</v>
      </c>
      <c r="BJ14" t="s">
        <v>40</v>
      </c>
      <c r="BK14" s="2">
        <v>45876.817395833335</v>
      </c>
      <c r="BL14">
        <v>414</v>
      </c>
      <c r="BM14" t="s">
        <v>13</v>
      </c>
      <c r="BN14">
        <v>0</v>
      </c>
      <c r="BO14">
        <v>2.8639999999999999</v>
      </c>
      <c r="BP14" s="3">
        <v>999041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45876.838576388887</v>
      </c>
      <c r="D15">
        <v>154</v>
      </c>
      <c r="E15" t="s">
        <v>13</v>
      </c>
      <c r="F15">
        <v>0</v>
      </c>
      <c r="G15">
        <v>6.0419999999999998</v>
      </c>
      <c r="H15" s="3">
        <v>51299</v>
      </c>
      <c r="I15">
        <v>0.11600000000000001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45876.838576388887</v>
      </c>
      <c r="R15">
        <v>154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45876.838576388887</v>
      </c>
      <c r="AF15">
        <v>154</v>
      </c>
      <c r="AG15" t="s">
        <v>13</v>
      </c>
      <c r="AH15">
        <v>0</v>
      </c>
      <c r="AI15">
        <v>12.263999999999999</v>
      </c>
      <c r="AJ15" s="3">
        <v>8839</v>
      </c>
      <c r="AK15">
        <v>1.8420000000000001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5">
        <f t="shared" si="0"/>
        <v>140.070810513537</v>
      </c>
      <c r="AU15" s="16">
        <f t="shared" si="1"/>
        <v>1874.8065629165301</v>
      </c>
      <c r="AW15" s="6">
        <f t="shared" si="2"/>
        <v>117.76810395072344</v>
      </c>
      <c r="AX15" s="7">
        <f t="shared" si="3"/>
        <v>1721.3274754560798</v>
      </c>
      <c r="AZ15" s="11">
        <f t="shared" si="4"/>
        <v>141.532843668623</v>
      </c>
      <c r="BA15" s="12">
        <f t="shared" si="5"/>
        <v>2099.3618552318999</v>
      </c>
      <c r="BC15" s="13">
        <f t="shared" si="6"/>
        <v>143.6347985585912</v>
      </c>
      <c r="BD15" s="14">
        <f t="shared" si="7"/>
        <v>1841.4229503241997</v>
      </c>
      <c r="BF15" s="15">
        <f t="shared" si="8"/>
        <v>140.070810513537</v>
      </c>
      <c r="BG15" s="16">
        <f t="shared" si="9"/>
        <v>1874.8065629165301</v>
      </c>
      <c r="BI15">
        <v>51</v>
      </c>
      <c r="BJ15" t="s">
        <v>41</v>
      </c>
      <c r="BK15" s="2">
        <v>45876.838576388887</v>
      </c>
      <c r="BL15">
        <v>154</v>
      </c>
      <c r="BM15" t="s">
        <v>13</v>
      </c>
      <c r="BN15">
        <v>0</v>
      </c>
      <c r="BO15">
        <v>2.8650000000000002</v>
      </c>
      <c r="BP15" s="3">
        <v>981777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45876.859803240739</v>
      </c>
      <c r="D16">
        <v>51</v>
      </c>
      <c r="E16" t="s">
        <v>13</v>
      </c>
      <c r="F16">
        <v>0</v>
      </c>
      <c r="G16">
        <v>6.0419999999999998</v>
      </c>
      <c r="H16" s="3">
        <v>32687</v>
      </c>
      <c r="I16">
        <v>7.3999999999999996E-2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45876.859803240739</v>
      </c>
      <c r="R16">
        <v>51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45876.859803240739</v>
      </c>
      <c r="AF16">
        <v>51</v>
      </c>
      <c r="AG16" t="s">
        <v>13</v>
      </c>
      <c r="AH16">
        <v>0</v>
      </c>
      <c r="AI16">
        <v>12.269</v>
      </c>
      <c r="AJ16" s="3">
        <v>7738</v>
      </c>
      <c r="AK16">
        <v>1.601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5">
        <f t="shared" si="0"/>
        <v>90.564534288152998</v>
      </c>
      <c r="AU16" s="16">
        <f t="shared" si="1"/>
        <v>1625.0044530789201</v>
      </c>
      <c r="AW16" s="6">
        <f t="shared" si="2"/>
        <v>74.193023844896729</v>
      </c>
      <c r="AX16" s="7">
        <f t="shared" si="3"/>
        <v>1494.2165480451199</v>
      </c>
      <c r="AZ16" s="11">
        <f t="shared" si="4"/>
        <v>87.361611168887009</v>
      </c>
      <c r="BA16" s="12">
        <f t="shared" si="5"/>
        <v>1839.0422626715999</v>
      </c>
      <c r="BC16" s="13">
        <f t="shared" si="6"/>
        <v>90.130047536952802</v>
      </c>
      <c r="BD16" s="14">
        <f t="shared" si="7"/>
        <v>1616.8093766887998</v>
      </c>
      <c r="BF16" s="15">
        <f t="shared" si="8"/>
        <v>90.564534288152998</v>
      </c>
      <c r="BG16" s="16">
        <f t="shared" si="9"/>
        <v>1625.0044530789201</v>
      </c>
      <c r="BI16">
        <v>52</v>
      </c>
      <c r="BJ16" t="s">
        <v>42</v>
      </c>
      <c r="BK16" s="2">
        <v>45876.859803240739</v>
      </c>
      <c r="BL16">
        <v>51</v>
      </c>
      <c r="BM16" t="s">
        <v>13</v>
      </c>
      <c r="BN16">
        <v>0</v>
      </c>
      <c r="BO16">
        <v>2.863</v>
      </c>
      <c r="BP16" s="3">
        <v>1008091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45876.881018518521</v>
      </c>
      <c r="D17">
        <v>68</v>
      </c>
      <c r="E17" t="s">
        <v>13</v>
      </c>
      <c r="F17">
        <v>0</v>
      </c>
      <c r="G17">
        <v>6.0419999999999998</v>
      </c>
      <c r="H17" s="3">
        <v>74441</v>
      </c>
      <c r="I17">
        <v>0.16800000000000001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45876.881018518521</v>
      </c>
      <c r="R17">
        <v>68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45876.881018518521</v>
      </c>
      <c r="AF17">
        <v>68</v>
      </c>
      <c r="AG17" t="s">
        <v>13</v>
      </c>
      <c r="AH17">
        <v>0</v>
      </c>
      <c r="AI17">
        <v>12.25</v>
      </c>
      <c r="AJ17" s="3">
        <v>21078</v>
      </c>
      <c r="AK17">
        <v>4.5229999999999997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5">
        <f t="shared" si="0"/>
        <v>201.37235736749699</v>
      </c>
      <c r="AU17" s="16">
        <f t="shared" si="1"/>
        <v>4643.6596781381204</v>
      </c>
      <c r="AW17" s="6">
        <f t="shared" si="2"/>
        <v>171.87115861178026</v>
      </c>
      <c r="AX17" s="7">
        <f t="shared" si="3"/>
        <v>4241.7845212163193</v>
      </c>
      <c r="AZ17" s="11">
        <f t="shared" si="4"/>
        <v>207.36507666746303</v>
      </c>
      <c r="BA17" s="12">
        <f t="shared" si="5"/>
        <v>4918.6749414876003</v>
      </c>
      <c r="BC17" s="13">
        <f t="shared" si="6"/>
        <v>209.88308463548722</v>
      </c>
      <c r="BD17" s="14">
        <f t="shared" si="7"/>
        <v>4328.5219313768002</v>
      </c>
      <c r="BF17" s="15">
        <f t="shared" si="8"/>
        <v>201.37235736749699</v>
      </c>
      <c r="BG17" s="16">
        <f t="shared" si="9"/>
        <v>4643.6596781381204</v>
      </c>
      <c r="BI17">
        <v>53</v>
      </c>
      <c r="BJ17" t="s">
        <v>43</v>
      </c>
      <c r="BK17" s="2">
        <v>45876.881018518521</v>
      </c>
      <c r="BL17">
        <v>68</v>
      </c>
      <c r="BM17" t="s">
        <v>13</v>
      </c>
      <c r="BN17">
        <v>0</v>
      </c>
      <c r="BO17">
        <v>2.8650000000000002</v>
      </c>
      <c r="BP17" s="3">
        <v>979524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45876.902233796296</v>
      </c>
      <c r="D18">
        <v>82</v>
      </c>
      <c r="E18" t="s">
        <v>13</v>
      </c>
      <c r="F18">
        <v>0</v>
      </c>
      <c r="G18">
        <v>6.0410000000000004</v>
      </c>
      <c r="H18" s="3">
        <v>125942</v>
      </c>
      <c r="I18">
        <v>0.28399999999999997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45876.902233796296</v>
      </c>
      <c r="R18">
        <v>82</v>
      </c>
      <c r="S18" t="s">
        <v>13</v>
      </c>
      <c r="T18">
        <v>0</v>
      </c>
      <c r="U18">
        <v>5.9870000000000001</v>
      </c>
      <c r="V18" s="3">
        <v>1154</v>
      </c>
      <c r="W18">
        <v>0.376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45876.902233796296</v>
      </c>
      <c r="AF18">
        <v>82</v>
      </c>
      <c r="AG18" t="s">
        <v>13</v>
      </c>
      <c r="AH18">
        <v>0</v>
      </c>
      <c r="AI18">
        <v>12.252000000000001</v>
      </c>
      <c r="AJ18" s="3">
        <v>20395</v>
      </c>
      <c r="AK18">
        <v>4.3730000000000002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5">
        <f t="shared" si="0"/>
        <v>336.78389912326793</v>
      </c>
      <c r="AU18" s="16">
        <f t="shared" si="1"/>
        <v>4489.5305378532503</v>
      </c>
      <c r="AW18" s="6">
        <f t="shared" si="2"/>
        <v>291.96433986170342</v>
      </c>
      <c r="AX18" s="7">
        <f t="shared" si="3"/>
        <v>4101.3313022419998</v>
      </c>
      <c r="AZ18" s="11">
        <f t="shared" si="4"/>
        <v>347.80809812697197</v>
      </c>
      <c r="BA18" s="12">
        <f t="shared" si="5"/>
        <v>4764.9424569974999</v>
      </c>
      <c r="BC18" s="13">
        <f t="shared" si="6"/>
        <v>356.20408932927677</v>
      </c>
      <c r="BD18" s="14">
        <f t="shared" si="7"/>
        <v>4190.2008297049997</v>
      </c>
      <c r="BF18" s="15">
        <f t="shared" si="8"/>
        <v>336.78389912326793</v>
      </c>
      <c r="BG18" s="16">
        <f t="shared" si="9"/>
        <v>4489.5305378532503</v>
      </c>
      <c r="BI18">
        <v>54</v>
      </c>
      <c r="BJ18" t="s">
        <v>44</v>
      </c>
      <c r="BK18" s="2">
        <v>45876.902233796296</v>
      </c>
      <c r="BL18">
        <v>82</v>
      </c>
      <c r="BM18" t="s">
        <v>13</v>
      </c>
      <c r="BN18">
        <v>0</v>
      </c>
      <c r="BO18">
        <v>2.863</v>
      </c>
      <c r="BP18" s="3">
        <v>1021600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45876.923472222225</v>
      </c>
      <c r="D19">
        <v>49</v>
      </c>
      <c r="E19" t="s">
        <v>13</v>
      </c>
      <c r="F19">
        <v>0</v>
      </c>
      <c r="G19">
        <v>6.0419999999999998</v>
      </c>
      <c r="H19" s="3">
        <v>72702</v>
      </c>
      <c r="I19">
        <v>0.16400000000000001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45876.923472222225</v>
      </c>
      <c r="R19">
        <v>49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45876.923472222225</v>
      </c>
      <c r="AF19">
        <v>49</v>
      </c>
      <c r="AG19" t="s">
        <v>13</v>
      </c>
      <c r="AH19">
        <v>0</v>
      </c>
      <c r="AI19">
        <v>12.263999999999999</v>
      </c>
      <c r="AJ19" s="3">
        <v>7604</v>
      </c>
      <c r="AK19">
        <v>1.571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5">
        <f t="shared" ref="AT19" si="10">IF(H19&lt;10000,((H19^2*0.000000008493)+(H19*0.003482)+(-3.269)),(IF(H19&lt;200000,((H19^2*-0.000000000263)+(H19*0.002682)+(3.179)),(IF(H19&lt;8000000,((H19^2*-0.000000000005099)+(H19*0.002054)+(174.8)),((V19^2*-0.00000001014)+(V19*0.2415)+(1123)))))))</f>
        <v>196.77565624854799</v>
      </c>
      <c r="AU19" s="16">
        <f t="shared" ref="AU19" si="11">IF(AJ19&lt;45000,((-0.00000004907*AJ19^2)+(0.2277*AJ19)+(-134)),((-0.00000001062*AJ19^2)+(0.2147*AJ19)+(590.6)))</f>
        <v>1594.59353255888</v>
      </c>
      <c r="AW19" s="6">
        <f t="shared" ref="AW19" si="12">IF(H19&lt;10000,((0.0000001453*H19^2)+(0.0008349*H19)+(-1.805)),(IF(H19&lt;700000,((-0.00000000008054*H19^2)+(0.002348*H19)+(-2.47)), ((-0.00000001938*V19^2)+(0.2471*V19)+(226.8)))))</f>
        <v>167.80859532204585</v>
      </c>
      <c r="AX19" s="7">
        <f t="shared" ref="AX19" si="13">(-0.00000002552*AJ19^2)+(0.2067*AJ19)+(-103.7)</f>
        <v>1466.5712127756799</v>
      </c>
      <c r="AZ19" s="11">
        <f t="shared" ref="AZ19" si="14">IF(H19&lt;10000,((H19^2*0.00000054)+(H19*-0.004765)+(12.72)),(IF(H19&lt;200000,((H19^2*-0.000000001577)+(H19*0.003043)+(-10.42)),(IF(H19&lt;8000000,((H19^2*-0.0000000000186)+(H19*0.00194)+(154.1)),((V19^2*-0.00000002)+(V19*0.2565)+(-1032)))))))</f>
        <v>202.47682507209203</v>
      </c>
      <c r="BA19" s="12">
        <f t="shared" ref="BA19" si="15">IF(AJ19&lt;45000,((-0.0000004561*AJ19^2)+(0.244*AJ19)+(-21.72)),((-0.0000000409*AJ19^2)+(0.2477*AJ19)+(-1777)))</f>
        <v>1807.2839258223999</v>
      </c>
      <c r="BC19" s="13">
        <f t="shared" ref="BC19" si="16">IF(H19&lt;10000,((H19^2*0.00000005714)+(H19*0.002453)+(-3.811)),(IF(H19&lt;200000,((H19^2*-0.0000000002888)+(H19*0.002899)+(-4.321)),(IF(H19&lt;8000000,((H19^2*-0.0000000000062)+(H19*0.002143)+(157)),((V19^2*-0.000000031)+(V19*0.2771)+(-709.5)))))))</f>
        <v>204.91562226380481</v>
      </c>
      <c r="BD19" s="14">
        <f t="shared" ref="BD19" si="17">IF(AJ19&lt;45000,((-0.0000000598*AJ19^2)+(0.205*AJ19)+(34.1)),((-0.00000002403*AJ19^2)+(0.2063*AJ19)+(-550.7)))</f>
        <v>1589.4623152031998</v>
      </c>
      <c r="BF19" s="15">
        <f t="shared" ref="BF19" si="18">IF(H19&lt;10000,((H19^2*0.000000008493)+(H19*0.003482)+(-3.269)),(IF(H19&lt;200000,((H19^2*-0.000000000263)+(H19*0.002682)+(3.179)),(IF(H19&lt;8000000,((H19^2*-0.000000000005099)+(H19*0.002054)+(174.8)),((V19^2*-0.00000001014)+(V19*0.2415)+(1123)))))))</f>
        <v>196.77565624854799</v>
      </c>
      <c r="BG19" s="16">
        <f t="shared" ref="BG19" si="19">IF(AJ19&lt;45000,((-0.00000004907*AJ19^2)+(0.2277*AJ19)+(-134)),((-0.00000001062*AJ19^2)+(0.2147*AJ19)+(590.6)))</f>
        <v>1594.59353255888</v>
      </c>
      <c r="BI19">
        <v>55</v>
      </c>
      <c r="BJ19" t="s">
        <v>45</v>
      </c>
      <c r="BK19" s="2">
        <v>45876.923472222225</v>
      </c>
      <c r="BL19">
        <v>49</v>
      </c>
      <c r="BM19" t="s">
        <v>13</v>
      </c>
      <c r="BN19">
        <v>0</v>
      </c>
      <c r="BO19">
        <v>2.8650000000000002</v>
      </c>
      <c r="BP19" s="3">
        <v>987567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C20" s="2"/>
      <c r="H20" s="3"/>
      <c r="Q20" s="2"/>
      <c r="AE20" s="2"/>
      <c r="AJ20" s="3"/>
      <c r="AS20" s="10"/>
      <c r="AT20" s="15"/>
      <c r="AU20" s="16"/>
      <c r="AW20" s="6"/>
      <c r="AX20" s="7"/>
      <c r="AZ20" s="11"/>
      <c r="BA20" s="12"/>
      <c r="BC20" s="13"/>
      <c r="BD20" s="14"/>
      <c r="BF20" s="15"/>
      <c r="BG20" s="16"/>
      <c r="BK20" s="2"/>
      <c r="BP20" s="3"/>
    </row>
    <row r="21" spans="1:73" x14ac:dyDescent="0.35">
      <c r="C21" s="2"/>
      <c r="H21" s="3"/>
      <c r="Q21" s="2"/>
      <c r="AE21" s="2"/>
      <c r="AJ21" s="3"/>
      <c r="AS21" s="10"/>
      <c r="AT21" s="15"/>
      <c r="AU21" s="16"/>
      <c r="AW21" s="6"/>
      <c r="AX21" s="7"/>
      <c r="AZ21" s="11"/>
      <c r="BA21" s="12"/>
      <c r="BC21" s="13"/>
      <c r="BD21" s="14"/>
      <c r="BF21" s="15"/>
      <c r="BG21" s="16"/>
      <c r="BK21" s="2"/>
      <c r="BP21" s="3"/>
    </row>
    <row r="22" spans="1:73" x14ac:dyDescent="0.35">
      <c r="C22" s="2"/>
      <c r="H22" s="3"/>
      <c r="Q22" s="2"/>
      <c r="V22" s="3"/>
      <c r="AE22" s="2"/>
      <c r="AJ22" s="3"/>
      <c r="AS22" s="10"/>
      <c r="AT22" s="15"/>
      <c r="AU22" s="16"/>
      <c r="AW22" s="6"/>
      <c r="AX22" s="7"/>
      <c r="AZ22" s="11"/>
      <c r="BA22" s="12"/>
      <c r="BC22" s="13"/>
      <c r="BD22" s="14"/>
      <c r="BF22" s="15"/>
      <c r="BG22" s="16"/>
      <c r="BK22" s="2"/>
      <c r="BP22" s="3"/>
    </row>
    <row r="23" spans="1:73" x14ac:dyDescent="0.35">
      <c r="C23" s="2"/>
      <c r="H23" s="3"/>
      <c r="Q23" s="2"/>
      <c r="V23" s="3"/>
      <c r="AE23" s="2"/>
      <c r="AJ23" s="3"/>
      <c r="AS23" s="10"/>
      <c r="AT23" s="15"/>
      <c r="AU23" s="16"/>
      <c r="AW23" s="6"/>
      <c r="AX23" s="7"/>
      <c r="AZ23" s="11"/>
      <c r="BA23" s="12"/>
      <c r="BC23" s="13"/>
      <c r="BD23" s="14"/>
      <c r="BF23" s="15"/>
      <c r="BG23" s="16"/>
      <c r="BK23" s="2"/>
      <c r="BP23" s="3"/>
    </row>
    <row r="24" spans="1:73" x14ac:dyDescent="0.35">
      <c r="C24" s="2"/>
      <c r="H24" s="3"/>
      <c r="Q24" s="2"/>
      <c r="AE24" s="2"/>
      <c r="AJ24" s="3"/>
      <c r="AS24" s="10"/>
      <c r="AT24" s="15"/>
      <c r="AU24" s="16"/>
      <c r="AW24" s="6"/>
      <c r="AX24" s="7"/>
      <c r="AZ24" s="11"/>
      <c r="BA24" s="12"/>
      <c r="BC24" s="13"/>
      <c r="BD24" s="14"/>
      <c r="BF24" s="15"/>
      <c r="BG24" s="16"/>
      <c r="BK24" s="2"/>
      <c r="BP24" s="3"/>
    </row>
    <row r="25" spans="1:73" x14ac:dyDescent="0.35">
      <c r="C25" s="2"/>
      <c r="H25" s="3"/>
      <c r="Q25" s="2"/>
      <c r="AE25" s="2"/>
      <c r="AS25" s="10"/>
      <c r="AT25" s="15"/>
      <c r="AU25" s="16"/>
      <c r="AW25" s="6"/>
      <c r="AX25" s="7"/>
      <c r="AZ25" s="11"/>
      <c r="BA25" s="12"/>
      <c r="BC25" s="13"/>
      <c r="BD25" s="14"/>
      <c r="BF25" s="15"/>
      <c r="BG25" s="16"/>
      <c r="BK25" s="2"/>
      <c r="BP25" s="3"/>
    </row>
    <row r="26" spans="1:73" x14ac:dyDescent="0.35">
      <c r="C26" s="2"/>
      <c r="H26" s="3"/>
      <c r="Q26" s="2"/>
      <c r="AE26" s="2"/>
      <c r="AS26" s="10"/>
      <c r="AT26" s="15"/>
      <c r="AU26" s="16"/>
      <c r="AW26" s="6"/>
      <c r="AX26" s="7"/>
      <c r="AZ26" s="11"/>
      <c r="BA26" s="12"/>
      <c r="BC26" s="13"/>
      <c r="BD26" s="14"/>
      <c r="BF26" s="15"/>
      <c r="BG26" s="16"/>
      <c r="BK26" s="2"/>
      <c r="BP26" s="3"/>
    </row>
    <row r="27" spans="1:73" x14ac:dyDescent="0.35">
      <c r="C27" s="2"/>
      <c r="H27" s="3"/>
      <c r="Q27" s="2"/>
      <c r="V27" s="3"/>
      <c r="AE27" s="2"/>
      <c r="AJ27" s="3"/>
      <c r="AS27" s="10"/>
      <c r="AT27" s="15"/>
      <c r="AU27" s="16"/>
      <c r="AW27" s="6"/>
      <c r="AX27" s="7"/>
      <c r="AZ27" s="11"/>
      <c r="BA27" s="12"/>
      <c r="BC27" s="13"/>
      <c r="BD27" s="14"/>
      <c r="BF27" s="15"/>
      <c r="BG27" s="16"/>
      <c r="BK27" s="2"/>
      <c r="BP27" s="3"/>
    </row>
    <row r="28" spans="1:73" x14ac:dyDescent="0.35">
      <c r="C28" s="2"/>
      <c r="H28" s="3"/>
      <c r="Q28" s="2"/>
      <c r="AE28" s="2"/>
      <c r="AJ28" s="3"/>
      <c r="AS28" s="10"/>
      <c r="AT28" s="15"/>
      <c r="AU28" s="16"/>
      <c r="AW28" s="6"/>
      <c r="AX28" s="7"/>
      <c r="AZ28" s="11"/>
      <c r="BA28" s="12"/>
      <c r="BC28" s="13"/>
      <c r="BD28" s="14"/>
      <c r="BF28" s="15"/>
      <c r="BG28" s="16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S29" s="10"/>
      <c r="AT29" s="15"/>
      <c r="AU29" s="16"/>
      <c r="AW29" s="6"/>
      <c r="AX29" s="7"/>
      <c r="AZ29" s="11"/>
      <c r="BA29" s="12"/>
      <c r="BC29" s="13"/>
      <c r="BD29" s="14"/>
      <c r="BF29" s="15"/>
      <c r="BG29" s="16"/>
      <c r="BK29" s="2"/>
      <c r="BP29" s="3"/>
    </row>
    <row r="30" spans="1:73" x14ac:dyDescent="0.35">
      <c r="C30" s="2"/>
      <c r="H30" s="3"/>
      <c r="Q30" s="2"/>
      <c r="AE30" s="2"/>
      <c r="AJ30" s="3"/>
      <c r="AS30" s="10"/>
      <c r="AT30" s="15"/>
      <c r="AU30" s="16"/>
      <c r="AW30" s="6"/>
      <c r="AX30" s="7"/>
      <c r="AZ30" s="11"/>
      <c r="BA30" s="12"/>
      <c r="BC30" s="13"/>
      <c r="BD30" s="14"/>
      <c r="BF30" s="15"/>
      <c r="BG30" s="16"/>
      <c r="BK30" s="2"/>
      <c r="BP30" s="3"/>
    </row>
    <row r="31" spans="1:73" x14ac:dyDescent="0.35">
      <c r="C31" s="2"/>
      <c r="H31" s="3"/>
      <c r="Q31" s="2"/>
      <c r="AE31" s="2"/>
      <c r="AJ31" s="3"/>
      <c r="AS31" s="10"/>
      <c r="AT31" s="15"/>
      <c r="AU31" s="16"/>
      <c r="AW31" s="6"/>
      <c r="AX31" s="7"/>
      <c r="AZ31" s="11"/>
      <c r="BA31" s="12"/>
      <c r="BC31" s="13"/>
      <c r="BD31" s="14"/>
      <c r="BF31" s="15"/>
      <c r="BG31" s="16"/>
      <c r="BK31" s="2"/>
      <c r="BP31" s="3"/>
    </row>
    <row r="32" spans="1:73" x14ac:dyDescent="0.35">
      <c r="C32" s="2"/>
      <c r="H32" s="3"/>
      <c r="Q32" s="2"/>
      <c r="AE32" s="2"/>
      <c r="AS32" s="10"/>
      <c r="AT32" s="15"/>
      <c r="AU32" s="16"/>
      <c r="AW32" s="6"/>
      <c r="AX32" s="7"/>
      <c r="AZ32" s="11"/>
      <c r="BA32" s="12"/>
      <c r="BC32" s="13"/>
      <c r="BD32" s="14"/>
      <c r="BF32" s="15"/>
      <c r="BG32" s="16"/>
      <c r="BK32" s="2"/>
      <c r="BP32" s="3"/>
    </row>
    <row r="33" spans="3:68" x14ac:dyDescent="0.35">
      <c r="C33" s="2"/>
      <c r="H33" s="3"/>
      <c r="Q33" s="2"/>
      <c r="AE33" s="2"/>
      <c r="AS33" s="10"/>
      <c r="AT33" s="15"/>
      <c r="AU33" s="16"/>
      <c r="AW33" s="6"/>
      <c r="AX33" s="7"/>
      <c r="AZ33" s="11"/>
      <c r="BA33" s="12"/>
      <c r="BC33" s="13"/>
      <c r="BD33" s="14"/>
      <c r="BF33" s="15"/>
      <c r="BG33" s="16"/>
      <c r="BK33" s="2"/>
      <c r="BP3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2025-08-22T16:46:28Z</dcterms:modified>
</cp:coreProperties>
</file>