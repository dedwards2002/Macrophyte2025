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4BAF436D-6714-44FB-9600-5079673F6C1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<sst xmlns="http://schemas.openxmlformats.org/spreadsheetml/2006/main" count="917" uniqueCount="68">
  <si>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</si>
  <si>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</si>
  <si>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</si>
  <si>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</si>
  <si>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</si>
  <si>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</si>
  <si>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</si>
  <si>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</si>
  <si>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</si>
  <si>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</si>
  <si>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</si>
  <si>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</si>
  <si>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</si>
  <si>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</si>
  <si>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</si>
  <si>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</si>
  <si>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</si>
  <si>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</si>
  <si>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</si>
  <si>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</si>
  <si>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</si>
  <si>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</si>
  <si>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</si>
  <si>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</si>
  <si>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</si>
  <si>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</si>
  <si>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</si>
  <si>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</si>
  <si>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</si>
  <si>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</si>
  <si>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</si>
  <si>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</si>
  <si>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</si>
  <si>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</si>
  <si>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</si>
  <si>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FMI20251111_001.gcd</t>
  </si>
  <si>
    <t>FMI20251111_002.gcd</t>
  </si>
  <si>
    <t>FMI20251111_003.gcd</t>
  </si>
  <si>
    <t>FMI20251111_004.gcd</t>
  </si>
  <si>
    <t>FMI20251111_005.gcd</t>
  </si>
  <si>
    <t>FMI20251111_006.gcd</t>
  </si>
  <si>
    <t>FMI20251111_007.gcd</t>
  </si>
  <si>
    <t>FMI20251111_008.gcd</t>
  </si>
  <si>
    <t>FMI20251111_009.gcd</t>
  </si>
  <si>
    <t>FMI20251111_010.gcd</t>
  </si>
  <si>
    <t>FMI20251111_011.gcd</t>
  </si>
  <si>
    <t>FMI20251111_012.gcd</t>
  </si>
  <si>
    <t>FMI20251111_013.gcd</t>
  </si>
  <si>
    <t>FMI20251111_014.gcd</t>
  </si>
  <si>
    <t>FMI20251111_015.gcd</t>
  </si>
  <si>
    <t>FMI20251111_016.gcd</t>
  </si>
  <si>
    <t>FMI20251111_017.gcd</t>
  </si>
  <si>
    <t>FMI20251111_018.gcd</t>
  </si>
  <si>
    <t>FMI20251111_019.gcd</t>
  </si>
  <si>
    <t>FMI20251111_020.gcd</t>
  </si>
  <si>
    <t>FMI20251111_021.gcd</t>
  </si>
  <si>
    <t>FMI20251111_022.gcd</t>
  </si>
  <si>
    <t>FMI20251111_023.gcd</t>
  </si>
  <si>
    <t>FMI20251111_024.gcd</t>
  </si>
  <si>
    <t>FMI20251111_025.gcd</t>
  </si>
  <si>
    <t>FMI20251111_026.gcd</t>
  </si>
  <si>
    <t>FMI20251111_027.gcd</t>
  </si>
  <si>
    <t>FMI20251111_028.gcd</t>
  </si>
  <si>
    <t>FMI20251111_029.gcd</t>
  </si>
  <si>
    <t>FMI20251111_030.gcd</t>
  </si>
  <si>
    <t>FMI20251111_031.gcd</t>
  </si>
  <si>
    <t>Resampled due to AOC. Interference on CO2. Do not use CO2. Use CH4.</t>
  </si>
  <si>
    <t>Borderline interference. If dups don't match exclude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</si>
</sst>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W1" workbookViewId="0">
      <selection activeCell="AQ34" sqref="AQ34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45972.532557870371</v>
      </c>
      <c r="D9" t="s">
        <v>33</v>
      </c>
      <c r="E9" t="s">
        <v>13</v>
      </c>
      <c r="F9">
        <v>0</v>
      </c>
      <c r="G9">
        <v>6.1360000000000001</v>
      </c>
      <c r="H9" s="3">
        <v>1583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45972.532557870371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45972.532557870371</v>
      </c>
      <c r="AF9" t="s">
        <v>33</v>
      </c>
      <c r="AG9" t="s">
        <v>13</v>
      </c>
      <c r="AH9">
        <v>0</v>
      </c>
      <c r="AI9">
        <v>12.430999999999999</v>
      </c>
      <c r="AJ9" s="3">
        <v>2444</v>
      </c>
      <c r="AK9">
        <v>0.44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2.2642885152769994</v>
      </c>
      <c r="AU9" s="17">
        <f t="shared" ref="AU9:AU14" si="1">IF(AJ9&lt;45000,((-0.00000004907*AJ9^2)+(0.2277*AJ9)+(-134)),((-0.00000001062*AJ9^2)+(0.2147*AJ9)+(590.6)))</f>
        <v>422.20569821648007</v>
      </c>
      <c r="AW9" s="6">
        <f t="shared" ref="AW9:AW14" si="2">IF(H9&lt;10000,((0.0000001453*H9^2)+(0.0008349*H9)+(-1.805)),(IF(H9&lt;700000,((-0.00000000008054*H9^2)+(0.002348*H9)+(-2.47)), ((-0.00000001938*V9^2)+(0.2471*V9)+(226.8)))))</f>
        <v>-0.11924762830000013</v>
      </c>
      <c r="AX9" s="7">
        <f t="shared" ref="AX9:AX14" si="3">(-0.00000002552*AJ9^2)+(0.2067*AJ9)+(-103.7)</f>
        <v>401.32236556928001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6.5301850600000009</v>
      </c>
      <c r="BA9" s="12">
        <f t="shared" ref="BA9:BA14" si="5">IF(AJ9&lt;45000,((-0.0000004561*AJ9^2)+(0.244*AJ9)+(-21.72)),((-0.0000000409*AJ9^2)+(0.2477*AJ9)+(-1777)))</f>
        <v>571.89165267039994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0.21528549746000003</v>
      </c>
      <c r="BD9" s="14">
        <f t="shared" ref="BD9:BD14" si="7">IF(AJ9&lt;45000,((-0.0000000598*AJ9^2)+(0.205*AJ9)+(34.1)),((-0.00000002403*AJ9^2)+(0.2063*AJ9)+(-550.7)))</f>
        <v>534.76280646719999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2.2642885152769994</v>
      </c>
      <c r="BG9" s="17">
        <f t="shared" ref="BG9:BG14" si="9">IF(AJ9&lt;45000,((-0.00000004907*AJ9^2)+(0.2277*AJ9)+(-134)),((-0.00000001062*AJ9^2)+(0.2147*AJ9)+(590.6)))</f>
        <v>422.20569821648007</v>
      </c>
      <c r="BI9">
        <v>45</v>
      </c>
      <c r="BJ9" t="s">
        <v>35</v>
      </c>
      <c r="BK9" s="2">
        <v>45972.532557870371</v>
      </c>
      <c r="BL9" t="s">
        <v>33</v>
      </c>
      <c r="BM9" t="s">
        <v>13</v>
      </c>
      <c r="BN9">
        <v>0</v>
      </c>
      <c r="BO9">
        <v>2.7349999999999999</v>
      </c>
      <c r="BP9" s="3">
        <v>5096245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45972.572800925926</v>
      </c>
      <c r="D10" t="s">
        <v>34</v>
      </c>
      <c r="E10" t="s">
        <v>13</v>
      </c>
      <c r="F10">
        <v>0</v>
      </c>
      <c r="G10">
        <v>6.0910000000000002</v>
      </c>
      <c r="H10" s="3">
        <v>679006</v>
      </c>
      <c r="I10">
        <v>1.5329999999999999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45972.572800925926</v>
      </c>
      <c r="R10" t="s">
        <v>34</v>
      </c>
      <c r="S10" t="s">
        <v>13</v>
      </c>
      <c r="T10">
        <v>0</v>
      </c>
      <c r="U10">
        <v>6.048</v>
      </c>
      <c r="V10" s="3">
        <v>5977</v>
      </c>
      <c r="W10">
        <v>1.569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45972.572800925926</v>
      </c>
      <c r="AF10" t="s">
        <v>34</v>
      </c>
      <c r="AG10" t="s">
        <v>13</v>
      </c>
      <c r="AH10">
        <v>0</v>
      </c>
      <c r="AI10">
        <v>12.432</v>
      </c>
      <c r="AJ10" s="3">
        <v>7308</v>
      </c>
      <c r="AK10">
        <v>1.5069999999999999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1567.1274343941643</v>
      </c>
      <c r="AU10" s="17">
        <f t="shared" si="1"/>
        <v>1527.41092518352</v>
      </c>
      <c r="AW10" s="6">
        <f t="shared" si="2"/>
        <v>1554.7031896171804</v>
      </c>
      <c r="AX10" s="7">
        <f t="shared" si="3"/>
        <v>1405.5006568307199</v>
      </c>
      <c r="AZ10" s="11">
        <f t="shared" si="4"/>
        <v>1462.7961258465305</v>
      </c>
      <c r="BA10" s="12">
        <f t="shared" si="5"/>
        <v>1737.0731293296001</v>
      </c>
      <c r="BC10" s="13">
        <f t="shared" si="6"/>
        <v>1609.2513532821768</v>
      </c>
      <c r="BD10" s="14">
        <f t="shared" si="7"/>
        <v>1529.0462695327997</v>
      </c>
      <c r="BF10" s="16">
        <f t="shared" si="8"/>
        <v>1567.1274343941643</v>
      </c>
      <c r="BG10" s="17">
        <f t="shared" si="9"/>
        <v>1527.41092518352</v>
      </c>
      <c r="BI10">
        <v>46</v>
      </c>
      <c r="BJ10" t="s">
        <v>36</v>
      </c>
      <c r="BK10" s="2">
        <v>45972.572800925926</v>
      </c>
      <c r="BL10" t="s">
        <v>34</v>
      </c>
      <c r="BM10" t="s">
        <v>13</v>
      </c>
      <c r="BN10">
        <v>0</v>
      </c>
      <c r="BO10">
        <v>2.738</v>
      </c>
      <c r="BP10" s="3">
        <v>5020317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45972.5940162037</v>
      </c>
      <c r="D11" t="s">
        <v>28</v>
      </c>
      <c r="E11" t="s">
        <v>13</v>
      </c>
      <c r="F11">
        <v>0</v>
      </c>
      <c r="G11">
        <v>6.1059999999999999</v>
      </c>
      <c r="H11" s="3">
        <v>2534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45972.5940162037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45972.5940162037</v>
      </c>
      <c r="AF11" t="s">
        <v>28</v>
      </c>
      <c r="AG11" t="s">
        <v>13</v>
      </c>
      <c r="AH11">
        <v>0</v>
      </c>
      <c r="AI11">
        <v>12.394</v>
      </c>
      <c r="AJ11" s="3">
        <v>1755</v>
      </c>
      <c r="AK11">
        <v>0.28799999999999998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5.6089228779080003</v>
      </c>
      <c r="AU11" s="17">
        <f t="shared" si="1"/>
        <v>265.46236317325003</v>
      </c>
      <c r="AW11" s="6">
        <f t="shared" si="2"/>
        <v>1.2436305668000001</v>
      </c>
      <c r="AX11" s="7">
        <f t="shared" si="3"/>
        <v>258.97989776200001</v>
      </c>
      <c r="AZ11" s="11">
        <f t="shared" si="4"/>
        <v>4.1129142400000003</v>
      </c>
      <c r="BA11" s="12">
        <f t="shared" si="5"/>
        <v>405.09520059750002</v>
      </c>
      <c r="BC11" s="13">
        <f t="shared" si="6"/>
        <v>2.7718068538400003</v>
      </c>
      <c r="BD11" s="14">
        <f t="shared" si="7"/>
        <v>393.69081450499999</v>
      </c>
      <c r="BF11" s="16">
        <f t="shared" si="8"/>
        <v>5.6089228779080003</v>
      </c>
      <c r="BG11" s="17">
        <f t="shared" si="9"/>
        <v>265.46236317325003</v>
      </c>
      <c r="BI11">
        <v>47</v>
      </c>
      <c r="BJ11" t="s">
        <v>37</v>
      </c>
      <c r="BK11" s="2">
        <v>45972.5940162037</v>
      </c>
      <c r="BL11" t="s">
        <v>28</v>
      </c>
      <c r="BM11" t="s">
        <v>13</v>
      </c>
      <c r="BN11">
        <v>0</v>
      </c>
      <c r="BO11">
        <v>2.734</v>
      </c>
      <c r="BP11" s="3">
        <v>5101060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45972.615243055552</v>
      </c>
      <c r="D12">
        <v>66</v>
      </c>
      <c r="E12" t="s">
        <v>13</v>
      </c>
      <c r="F12">
        <v>0</v>
      </c>
      <c r="G12">
        <v>6.0819999999999999</v>
      </c>
      <c r="H12" s="3">
        <v>14111</v>
      </c>
      <c r="I12">
        <v>3.2000000000000001E-2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45972.615243055552</v>
      </c>
      <c r="R12">
        <v>66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45972.615243055552</v>
      </c>
      <c r="AF12">
        <v>66</v>
      </c>
      <c r="AG12" t="s">
        <v>13</v>
      </c>
      <c r="AH12">
        <v>0</v>
      </c>
      <c r="AI12">
        <v>12.327999999999999</v>
      </c>
      <c r="AJ12" s="3">
        <v>34955</v>
      </c>
      <c r="AK12">
        <v>7.5549999999999997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40.972333355577</v>
      </c>
      <c r="AU12" s="17">
        <f t="shared" si="1"/>
        <v>7765.2972211332508</v>
      </c>
      <c r="AW12" s="6">
        <f t="shared" si="2"/>
        <v>30.646590849346659</v>
      </c>
      <c r="AX12" s="7">
        <f t="shared" si="3"/>
        <v>7090.3168363219993</v>
      </c>
      <c r="AZ12" s="11">
        <f t="shared" si="4"/>
        <v>32.205760253782998</v>
      </c>
      <c r="BA12" s="12">
        <f t="shared" si="5"/>
        <v>7950.0132913975003</v>
      </c>
      <c r="BC12" s="13">
        <f t="shared" si="6"/>
        <v>36.529283051295202</v>
      </c>
      <c r="BD12" s="14">
        <f t="shared" si="7"/>
        <v>7126.8082489050003</v>
      </c>
      <c r="BF12" s="16">
        <f t="shared" si="8"/>
        <v>40.972333355577</v>
      </c>
      <c r="BG12" s="17">
        <f t="shared" si="9"/>
        <v>7765.2972211332508</v>
      </c>
      <c r="BI12">
        <v>48</v>
      </c>
      <c r="BJ12" t="s">
        <v>38</v>
      </c>
      <c r="BK12" s="2">
        <v>45972.615243055552</v>
      </c>
      <c r="BL12">
        <v>66</v>
      </c>
      <c r="BM12" t="s">
        <v>13</v>
      </c>
      <c r="BN12">
        <v>0</v>
      </c>
      <c r="BO12">
        <v>2.887</v>
      </c>
      <c r="BP12" s="3">
        <v>876392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45972.636435185188</v>
      </c>
      <c r="D13">
        <v>299</v>
      </c>
      <c r="E13" t="s">
        <v>13</v>
      </c>
      <c r="F13">
        <v>0</v>
      </c>
      <c r="G13">
        <v>6.0839999999999996</v>
      </c>
      <c r="H13" s="3">
        <v>7248</v>
      </c>
      <c r="I13">
        <v>1.7000000000000001E-2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45972.636435185188</v>
      </c>
      <c r="R13">
        <v>299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45972.636435185188</v>
      </c>
      <c r="AF13">
        <v>299</v>
      </c>
      <c r="AG13" t="s">
        <v>13</v>
      </c>
      <c r="AH13">
        <v>0</v>
      </c>
      <c r="AI13">
        <v>12.329000000000001</v>
      </c>
      <c r="AJ13" s="3">
        <v>31852</v>
      </c>
      <c r="AK13">
        <v>6.8780000000000001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22.414703049471996</v>
      </c>
      <c r="AU13" s="17">
        <f t="shared" si="1"/>
        <v>7068.9164362107203</v>
      </c>
      <c r="AW13" s="6">
        <f t="shared" si="2"/>
        <v>11.8794733312</v>
      </c>
      <c r="AX13" s="7">
        <f t="shared" si="3"/>
        <v>6454.2170864499203</v>
      </c>
      <c r="AZ13" s="11">
        <f t="shared" si="4"/>
        <v>6.5513721599999979</v>
      </c>
      <c r="BA13" s="12">
        <f t="shared" si="5"/>
        <v>7287.4317887855996</v>
      </c>
      <c r="BC13" s="13">
        <f t="shared" si="6"/>
        <v>16.970108418559999</v>
      </c>
      <c r="BD13" s="14">
        <f t="shared" si="7"/>
        <v>6503.0899157408003</v>
      </c>
      <c r="BF13" s="16">
        <f t="shared" si="8"/>
        <v>22.414703049471996</v>
      </c>
      <c r="BG13" s="17">
        <f t="shared" si="9"/>
        <v>7068.9164362107203</v>
      </c>
      <c r="BI13">
        <v>49</v>
      </c>
      <c r="BJ13" t="s">
        <v>39</v>
      </c>
      <c r="BK13" s="2">
        <v>45972.636435185188</v>
      </c>
      <c r="BL13">
        <v>299</v>
      </c>
      <c r="BM13" t="s">
        <v>13</v>
      </c>
      <c r="BN13">
        <v>0</v>
      </c>
      <c r="BO13">
        <v>2.8879999999999999</v>
      </c>
      <c r="BP13" s="3">
        <v>878902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45972.708564814813</v>
      </c>
      <c r="D14">
        <v>354</v>
      </c>
      <c r="E14" t="s">
        <v>13</v>
      </c>
      <c r="F14">
        <v>0</v>
      </c>
      <c r="G14">
        <v>6.1029999999999998</v>
      </c>
      <c r="H14" s="3">
        <v>6774</v>
      </c>
      <c r="I14">
        <v>1.6E-2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45972.708564814813</v>
      </c>
      <c r="R14">
        <v>354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45972.708564814813</v>
      </c>
      <c r="AF14">
        <v>354</v>
      </c>
      <c r="AG14" t="s">
        <v>13</v>
      </c>
      <c r="AH14">
        <v>0</v>
      </c>
      <c r="AI14" t="s">
        <v>14</v>
      </c>
      <c r="AJ14" s="3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Q14">
        <v>2</v>
      </c>
      <c r="AR14" t="s">
        <v>66</v>
      </c>
      <c r="AS14" s="10">
        <v>50</v>
      </c>
      <c r="AT14" s="16">
        <f t="shared" si="0"/>
        <v>20.707786936467997</v>
      </c>
      <c r="AU14" s="17" t="e">
        <f t="shared" si="1"/>
        <v>#VALUE!</v>
      </c>
      <c r="AW14" s="6">
        <f t="shared" si="2"/>
        <v>10.518004742800001</v>
      </c>
      <c r="AX14" s="7" t="e">
        <f t="shared" si="3"/>
        <v>#VALUE!</v>
      </c>
      <c r="AZ14" s="11">
        <f t="shared" si="4"/>
        <v>5.2209110400000025</v>
      </c>
      <c r="BA14" s="12" t="e">
        <f t="shared" si="5"/>
        <v>#VALUE!</v>
      </c>
      <c r="BC14" s="13">
        <f t="shared" si="6"/>
        <v>15.427609522640001</v>
      </c>
      <c r="BD14" s="14" t="e">
        <f t="shared" si="7"/>
        <v>#VALUE!</v>
      </c>
      <c r="BF14" s="16">
        <f t="shared" si="8"/>
        <v>20.707786936467997</v>
      </c>
      <c r="BG14" s="17" t="e">
        <f t="shared" si="9"/>
        <v>#VALUE!</v>
      </c>
      <c r="BI14">
        <v>50</v>
      </c>
      <c r="BJ14" t="s">
        <v>40</v>
      </c>
      <c r="BK14" s="2">
        <v>45972.708564814813</v>
      </c>
      <c r="BL14">
        <v>354</v>
      </c>
      <c r="BM14" t="s">
        <v>13</v>
      </c>
      <c r="BN14">
        <v>0</v>
      </c>
      <c r="BO14">
        <v>2.847</v>
      </c>
      <c r="BP14" s="3">
        <v>1730966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45972.729814814818</v>
      </c>
      <c r="D15">
        <v>342</v>
      </c>
      <c r="E15" t="s">
        <v>13</v>
      </c>
      <c r="F15">
        <v>0</v>
      </c>
      <c r="G15">
        <v>6.085</v>
      </c>
      <c r="H15" s="3">
        <v>6675</v>
      </c>
      <c r="I15">
        <v>1.4999999999999999E-2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45972.729814814818</v>
      </c>
      <c r="R15">
        <v>342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45972.729814814818</v>
      </c>
      <c r="AF15">
        <v>342</v>
      </c>
      <c r="AG15" t="s">
        <v>13</v>
      </c>
      <c r="AH15">
        <v>0</v>
      </c>
      <c r="AI15">
        <v>12.295</v>
      </c>
      <c r="AJ15" s="3">
        <v>28613</v>
      </c>
      <c r="AK15">
        <v>6.17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39" si="10">IF(H15&lt;10000,((H15^2*0.000000008493)+(H15*0.003482)+(-3.269)),(IF(H15&lt;200000,((H15^2*-0.000000000263)+(H15*0.002682)+(3.179)),(IF(H15&lt;8000000,((H15^2*-0.000000000005099)+(H15*0.002054)+(174.8)),((V15^2*-0.00000001014)+(V15*0.2415)+(1123)))))))</f>
        <v>20.351760923124999</v>
      </c>
      <c r="AU15" s="17">
        <f t="shared" ref="AU15:AU39" si="11">IF(AJ15&lt;45000,((-0.00000004907*AJ15^2)+(0.2277*AJ15)+(-134)),((-0.00000001062*AJ15^2)+(0.2147*AJ15)+(590.6)))</f>
        <v>6341.0063060551702</v>
      </c>
      <c r="AW15" s="6">
        <f t="shared" ref="AW15:AW39" si="12">IF(H15&lt;10000,((0.0000001453*H15^2)+(0.0008349*H15)+(-1.805)),(IF(H15&lt;700000,((-0.00000000008054*H15^2)+(0.002348*H15)+(-2.47)), ((-0.00000001938*V15^2)+(0.2471*V15)+(226.8)))))</f>
        <v>10.2418898125</v>
      </c>
      <c r="AX15" s="7">
        <f t="shared" ref="AX15:AX39" si="13">(-0.00000002552*AJ15^2)+(0.2067*AJ15)+(-103.7)</f>
        <v>5789.7137798151198</v>
      </c>
      <c r="AZ15" s="11">
        <f t="shared" ref="AZ15:AZ39" si="14">IF(H15&lt;10000,((H15^2*0.00000054)+(H15*-0.004765)+(12.72)),(IF(H15&lt;200000,((H15^2*-0.000000001577)+(H15*0.003043)+(-10.42)),(IF(H15&lt;8000000,((H15^2*-0.0000000000186)+(H15*0.00194)+(154.1)),((V15^2*-0.00000002)+(V15*0.2565)+(-1032)))))))</f>
        <v>4.9736625000000014</v>
      </c>
      <c r="BA15" s="12">
        <f t="shared" ref="BA15:BA39" si="15">IF(AJ15&lt;45000,((-0.0000004561*AJ15^2)+(0.244*AJ15)+(-21.72)),((-0.0000000409*AJ15^2)+(0.2477*AJ15)+(-1777)))</f>
        <v>6586.4412109591003</v>
      </c>
      <c r="BC15" s="13">
        <f t="shared" ref="BC15:BC39" si="16">IF(H15&lt;10000,((H15^2*0.00000005714)+(H15*0.002453)+(-3.811)),(IF(H15&lt;200000,((H15^2*-0.0000000002888)+(H15*0.002899)+(-4.321)),(IF(H15&lt;8000000,((H15^2*-0.0000000000062)+(H15*0.002143)+(157)),((V15^2*-0.000000031)+(V15*0.2771)+(-709.5)))))))</f>
        <v>15.1086834125</v>
      </c>
      <c r="BD15" s="14">
        <f t="shared" ref="BD15:BD39" si="17">IF(AJ15&lt;45000,((-0.0000000598*AJ15^2)+(0.205*AJ15)+(34.1)),((-0.00000002403*AJ15^2)+(0.2063*AJ15)+(-550.7)))</f>
        <v>5850.8065146138006</v>
      </c>
      <c r="BF15" s="16">
        <f t="shared" ref="BF15:BF39" si="18">IF(H15&lt;10000,((H15^2*0.000000008493)+(H15*0.003482)+(-3.269)),(IF(H15&lt;200000,((H15^2*-0.000000000263)+(H15*0.002682)+(3.179)),(IF(H15&lt;8000000,((H15^2*-0.000000000005099)+(H15*0.002054)+(174.8)),((V15^2*-0.00000001014)+(V15*0.2415)+(1123)))))))</f>
        <v>20.351760923124999</v>
      </c>
      <c r="BG15" s="17">
        <f t="shared" ref="BG15:BG39" si="19">IF(AJ15&lt;45000,((-0.00000004907*AJ15^2)+(0.2277*AJ15)+(-134)),((-0.00000001062*AJ15^2)+(0.2147*AJ15)+(590.6)))</f>
        <v>6341.0063060551702</v>
      </c>
      <c r="BI15">
        <v>51</v>
      </c>
      <c r="BJ15" t="s">
        <v>41</v>
      </c>
      <c r="BK15" s="2">
        <v>45972.729814814818</v>
      </c>
      <c r="BL15">
        <v>342</v>
      </c>
      <c r="BM15" t="s">
        <v>13</v>
      </c>
      <c r="BN15">
        <v>0</v>
      </c>
      <c r="BO15">
        <v>2.883</v>
      </c>
      <c r="BP15" s="3">
        <v>962526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45972.75104166667</v>
      </c>
      <c r="D16">
        <v>283</v>
      </c>
      <c r="E16" t="s">
        <v>13</v>
      </c>
      <c r="F16">
        <v>0</v>
      </c>
      <c r="G16">
        <v>6.0919999999999996</v>
      </c>
      <c r="H16" s="3">
        <v>7283</v>
      </c>
      <c r="I16">
        <v>1.7000000000000001E-2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45972.75104166667</v>
      </c>
      <c r="R16">
        <v>283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45972.75104166667</v>
      </c>
      <c r="AF16">
        <v>283</v>
      </c>
      <c r="AG16" t="s">
        <v>13</v>
      </c>
      <c r="AH16">
        <v>0</v>
      </c>
      <c r="AI16">
        <v>12.343</v>
      </c>
      <c r="AJ16" s="3">
        <v>29440</v>
      </c>
      <c r="AK16">
        <v>6.351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22.540892461877</v>
      </c>
      <c r="AU16" s="17">
        <f t="shared" si="11"/>
        <v>6526.9583636480002</v>
      </c>
      <c r="AW16" s="6">
        <f t="shared" si="12"/>
        <v>11.9825922317</v>
      </c>
      <c r="AX16" s="7">
        <f t="shared" si="13"/>
        <v>5959.4294689279996</v>
      </c>
      <c r="AZ16" s="11">
        <f t="shared" si="14"/>
        <v>6.6592330599999965</v>
      </c>
      <c r="BA16" s="12">
        <f t="shared" si="15"/>
        <v>6766.3319270399998</v>
      </c>
      <c r="BC16" s="13">
        <f t="shared" si="16"/>
        <v>17.08502396546</v>
      </c>
      <c r="BD16" s="14">
        <f t="shared" si="17"/>
        <v>6017.4705267200006</v>
      </c>
      <c r="BF16" s="16">
        <f t="shared" si="18"/>
        <v>22.540892461877</v>
      </c>
      <c r="BG16" s="17">
        <f t="shared" si="19"/>
        <v>6526.9583636480002</v>
      </c>
      <c r="BI16">
        <v>52</v>
      </c>
      <c r="BJ16" t="s">
        <v>42</v>
      </c>
      <c r="BK16" s="2">
        <v>45972.75104166667</v>
      </c>
      <c r="BL16">
        <v>283</v>
      </c>
      <c r="BM16" t="s">
        <v>13</v>
      </c>
      <c r="BN16">
        <v>0</v>
      </c>
      <c r="BO16">
        <v>2.895</v>
      </c>
      <c r="BP16" s="3">
        <v>845470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45972.772233796299</v>
      </c>
      <c r="D17">
        <v>209</v>
      </c>
      <c r="E17" t="s">
        <v>13</v>
      </c>
      <c r="F17">
        <v>0</v>
      </c>
      <c r="G17">
        <v>6.0780000000000003</v>
      </c>
      <c r="H17" s="3">
        <v>86826</v>
      </c>
      <c r="I17">
        <v>0.19600000000000001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45972.772233796299</v>
      </c>
      <c r="R17">
        <v>209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45972.772233796299</v>
      </c>
      <c r="AF17">
        <v>209</v>
      </c>
      <c r="AG17" t="s">
        <v>13</v>
      </c>
      <c r="AH17">
        <v>0</v>
      </c>
      <c r="AI17">
        <v>12.265000000000001</v>
      </c>
      <c r="AJ17" s="3">
        <v>84248</v>
      </c>
      <c r="AK17">
        <v>18.28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234.06363962541201</v>
      </c>
      <c r="AU17" s="17">
        <f t="shared" si="11"/>
        <v>18603.267755147521</v>
      </c>
      <c r="AW17" s="6">
        <f t="shared" si="12"/>
        <v>200.79027673061097</v>
      </c>
      <c r="AX17" s="7">
        <f t="shared" si="13"/>
        <v>17129.227645137918</v>
      </c>
      <c r="AZ17" s="11">
        <f t="shared" si="14"/>
        <v>241.90290250674803</v>
      </c>
      <c r="BA17" s="12">
        <f t="shared" si="15"/>
        <v>18800.932626886399</v>
      </c>
      <c r="BC17" s="13">
        <f t="shared" si="16"/>
        <v>245.2103817650912</v>
      </c>
      <c r="BD17" s="14">
        <f t="shared" si="17"/>
        <v>16659.10405613888</v>
      </c>
      <c r="BF17" s="16">
        <f t="shared" si="18"/>
        <v>234.06363962541201</v>
      </c>
      <c r="BG17" s="17">
        <f t="shared" si="19"/>
        <v>18603.267755147521</v>
      </c>
      <c r="BI17">
        <v>53</v>
      </c>
      <c r="BJ17" t="s">
        <v>43</v>
      </c>
      <c r="BK17" s="2">
        <v>45972.772233796299</v>
      </c>
      <c r="BL17">
        <v>209</v>
      </c>
      <c r="BM17" t="s">
        <v>13</v>
      </c>
      <c r="BN17">
        <v>0</v>
      </c>
      <c r="BO17">
        <v>2.8919999999999999</v>
      </c>
      <c r="BP17" s="3">
        <v>800320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45972.793483796297</v>
      </c>
      <c r="D18">
        <v>247</v>
      </c>
      <c r="E18" t="s">
        <v>13</v>
      </c>
      <c r="F18">
        <v>0</v>
      </c>
      <c r="G18">
        <v>6.0810000000000004</v>
      </c>
      <c r="H18" s="3">
        <v>17632</v>
      </c>
      <c r="I18">
        <v>0.04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45972.793483796297</v>
      </c>
      <c r="R18">
        <v>247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45972.793483796297</v>
      </c>
      <c r="AF18">
        <v>247</v>
      </c>
      <c r="AG18" t="s">
        <v>13</v>
      </c>
      <c r="AH18">
        <v>0</v>
      </c>
      <c r="AI18">
        <v>12.324</v>
      </c>
      <c r="AJ18" s="3">
        <v>34131</v>
      </c>
      <c r="AK18">
        <v>7.3760000000000003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50.386260607487998</v>
      </c>
      <c r="AU18" s="17">
        <f t="shared" si="11"/>
        <v>7580.4658223497299</v>
      </c>
      <c r="AW18" s="6">
        <f t="shared" si="12"/>
        <v>38.904897126871035</v>
      </c>
      <c r="AX18" s="7">
        <f t="shared" si="13"/>
        <v>6921.4488098912798</v>
      </c>
      <c r="AZ18" s="11">
        <f t="shared" si="14"/>
        <v>42.743906532352</v>
      </c>
      <c r="BA18" s="12">
        <f t="shared" si="15"/>
        <v>7774.9216340678995</v>
      </c>
      <c r="BC18" s="13">
        <f t="shared" si="16"/>
        <v>46.704383711948807</v>
      </c>
      <c r="BD18" s="14">
        <f t="shared" si="17"/>
        <v>6961.2924753722</v>
      </c>
      <c r="BF18" s="16">
        <f t="shared" si="18"/>
        <v>50.386260607487998</v>
      </c>
      <c r="BG18" s="17">
        <f t="shared" si="19"/>
        <v>7580.4658223497299</v>
      </c>
      <c r="BI18">
        <v>54</v>
      </c>
      <c r="BJ18" t="s">
        <v>44</v>
      </c>
      <c r="BK18" s="2">
        <v>45972.793483796297</v>
      </c>
      <c r="BL18">
        <v>247</v>
      </c>
      <c r="BM18" t="s">
        <v>13</v>
      </c>
      <c r="BN18">
        <v>0</v>
      </c>
      <c r="BO18">
        <v>2.8860000000000001</v>
      </c>
      <c r="BP18" s="3">
        <v>903467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45972.814699074072</v>
      </c>
      <c r="D19">
        <v>16</v>
      </c>
      <c r="E19" t="s">
        <v>13</v>
      </c>
      <c r="F19">
        <v>0</v>
      </c>
      <c r="G19">
        <v>6.0910000000000002</v>
      </c>
      <c r="H19" s="3">
        <v>6548</v>
      </c>
      <c r="I19">
        <v>1.4999999999999999E-2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45972.814699074072</v>
      </c>
      <c r="R19">
        <v>16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45972.814699074072</v>
      </c>
      <c r="AF19">
        <v>16</v>
      </c>
      <c r="AG19" t="s">
        <v>13</v>
      </c>
      <c r="AH19">
        <v>0</v>
      </c>
      <c r="AI19">
        <v>12.337</v>
      </c>
      <c r="AJ19" s="3">
        <v>26546</v>
      </c>
      <c r="AK19">
        <v>5.718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19.895284449872001</v>
      </c>
      <c r="AU19" s="17">
        <f t="shared" si="11"/>
        <v>5875.9450560078803</v>
      </c>
      <c r="AW19" s="6">
        <f t="shared" si="12"/>
        <v>9.8918521712</v>
      </c>
      <c r="AX19" s="7">
        <f t="shared" si="13"/>
        <v>5365.3745082396799</v>
      </c>
      <c r="AZ19" s="11">
        <f t="shared" si="14"/>
        <v>4.6719841600000027</v>
      </c>
      <c r="BA19" s="12">
        <f t="shared" si="15"/>
        <v>6134.0948380924001</v>
      </c>
      <c r="BC19" s="13">
        <f t="shared" si="16"/>
        <v>14.70119601056</v>
      </c>
      <c r="BD19" s="14">
        <f t="shared" si="17"/>
        <v>5433.8895310631997</v>
      </c>
      <c r="BF19" s="16">
        <f t="shared" si="18"/>
        <v>19.895284449872001</v>
      </c>
      <c r="BG19" s="17">
        <f t="shared" si="19"/>
        <v>5875.9450560078803</v>
      </c>
      <c r="BI19">
        <v>55</v>
      </c>
      <c r="BJ19" t="s">
        <v>45</v>
      </c>
      <c r="BK19" s="2">
        <v>45972.814699074072</v>
      </c>
      <c r="BL19">
        <v>16</v>
      </c>
      <c r="BM19" t="s">
        <v>13</v>
      </c>
      <c r="BN19">
        <v>0</v>
      </c>
      <c r="BO19">
        <v>2.8879999999999999</v>
      </c>
      <c r="BP19" s="3">
        <v>896270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45972.835914351854</v>
      </c>
      <c r="D20">
        <v>367</v>
      </c>
      <c r="E20" t="s">
        <v>13</v>
      </c>
      <c r="F20">
        <v>0</v>
      </c>
      <c r="G20">
        <v>6.0759999999999996</v>
      </c>
      <c r="H20" s="3">
        <v>90937</v>
      </c>
      <c r="I20">
        <v>0.20499999999999999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45972.835914351854</v>
      </c>
      <c r="R20">
        <v>367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45972.835914351854</v>
      </c>
      <c r="AF20">
        <v>367</v>
      </c>
      <c r="AG20" t="s">
        <v>13</v>
      </c>
      <c r="AH20">
        <v>0</v>
      </c>
      <c r="AI20">
        <v>12.2</v>
      </c>
      <c r="AJ20" s="3">
        <v>131805</v>
      </c>
      <c r="AK20">
        <v>28.553999999999998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244.89714551415301</v>
      </c>
      <c r="AU20" s="17">
        <f t="shared" si="11"/>
        <v>28704.636933774498</v>
      </c>
      <c r="AW20" s="6">
        <f t="shared" si="12"/>
        <v>210.38404741197672</v>
      </c>
      <c r="AX20" s="7">
        <f t="shared" si="13"/>
        <v>26697.045819201998</v>
      </c>
      <c r="AZ20" s="11">
        <f t="shared" si="14"/>
        <v>253.26022962288701</v>
      </c>
      <c r="BA20" s="12">
        <f t="shared" si="15"/>
        <v>30160.560876777501</v>
      </c>
      <c r="BC20" s="13">
        <f t="shared" si="16"/>
        <v>256.91712043455283</v>
      </c>
      <c r="BD20" s="14">
        <f t="shared" si="17"/>
        <v>26223.20893065925</v>
      </c>
      <c r="BF20" s="16">
        <f t="shared" si="18"/>
        <v>244.89714551415301</v>
      </c>
      <c r="BG20" s="17">
        <f t="shared" si="19"/>
        <v>28704.636933774498</v>
      </c>
      <c r="BI20">
        <v>56</v>
      </c>
      <c r="BJ20" t="s">
        <v>46</v>
      </c>
      <c r="BK20" s="2">
        <v>45972.835914351854</v>
      </c>
      <c r="BL20">
        <v>367</v>
      </c>
      <c r="BM20" t="s">
        <v>13</v>
      </c>
      <c r="BN20">
        <v>0</v>
      </c>
      <c r="BO20">
        <v>2.887</v>
      </c>
      <c r="BP20" s="3">
        <v>868760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45972.857152777775</v>
      </c>
      <c r="D21">
        <v>393</v>
      </c>
      <c r="E21" t="s">
        <v>13</v>
      </c>
      <c r="F21">
        <v>0</v>
      </c>
      <c r="G21">
        <v>6.0819999999999999</v>
      </c>
      <c r="H21" s="3">
        <v>12755</v>
      </c>
      <c r="I21">
        <v>2.9000000000000001E-2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45972.857152777775</v>
      </c>
      <c r="R21">
        <v>393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45972.857152777775</v>
      </c>
      <c r="AF21">
        <v>393</v>
      </c>
      <c r="AG21" t="s">
        <v>13</v>
      </c>
      <c r="AH21">
        <v>0</v>
      </c>
      <c r="AI21">
        <v>12.291</v>
      </c>
      <c r="AJ21" s="3">
        <v>33554</v>
      </c>
      <c r="AK21">
        <v>7.25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37.345122523424997</v>
      </c>
      <c r="AU21" s="17">
        <f t="shared" si="11"/>
        <v>7450.9993141518808</v>
      </c>
      <c r="AW21" s="6">
        <f t="shared" si="12"/>
        <v>27.4656369453865</v>
      </c>
      <c r="AX21" s="7">
        <f t="shared" si="13"/>
        <v>6803.17957422368</v>
      </c>
      <c r="AZ21" s="11">
        <f t="shared" si="14"/>
        <v>28.136902830574996</v>
      </c>
      <c r="BA21" s="12">
        <f t="shared" si="15"/>
        <v>7651.9462752123991</v>
      </c>
      <c r="BC21" s="13">
        <f t="shared" si="16"/>
        <v>32.608760120780005</v>
      </c>
      <c r="BD21" s="14">
        <f t="shared" si="17"/>
        <v>6845.3429192231997</v>
      </c>
      <c r="BF21" s="16">
        <f t="shared" si="18"/>
        <v>37.345122523424997</v>
      </c>
      <c r="BG21" s="17">
        <f t="shared" si="19"/>
        <v>7450.9993141518808</v>
      </c>
      <c r="BI21">
        <v>57</v>
      </c>
      <c r="BJ21" t="s">
        <v>47</v>
      </c>
      <c r="BK21" s="2">
        <v>45972.857152777775</v>
      </c>
      <c r="BL21">
        <v>393</v>
      </c>
      <c r="BM21" t="s">
        <v>13</v>
      </c>
      <c r="BN21">
        <v>0</v>
      </c>
      <c r="BO21">
        <v>2.8839999999999999</v>
      </c>
      <c r="BP21" s="3">
        <v>944675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45972.878368055557</v>
      </c>
      <c r="D22">
        <v>361</v>
      </c>
      <c r="E22" t="s">
        <v>13</v>
      </c>
      <c r="F22">
        <v>0</v>
      </c>
      <c r="G22">
        <v>6.0839999999999996</v>
      </c>
      <c r="H22" s="3">
        <v>12161</v>
      </c>
      <c r="I22">
        <v>2.8000000000000001E-2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45972.878368055557</v>
      </c>
      <c r="R22">
        <v>361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45972.878368055557</v>
      </c>
      <c r="AF22">
        <v>361</v>
      </c>
      <c r="AG22" t="s">
        <v>13</v>
      </c>
      <c r="AH22">
        <v>0</v>
      </c>
      <c r="AI22">
        <v>12.324</v>
      </c>
      <c r="AJ22" s="3">
        <v>36572</v>
      </c>
      <c r="AK22">
        <v>7.9089999999999998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35.755906950777003</v>
      </c>
      <c r="AU22" s="17">
        <f t="shared" si="11"/>
        <v>8127.8127262011203</v>
      </c>
      <c r="AW22" s="6">
        <f t="shared" si="12"/>
        <v>26.072116945762659</v>
      </c>
      <c r="AX22" s="7">
        <f t="shared" si="13"/>
        <v>7421.59911458432</v>
      </c>
      <c r="AZ22" s="11">
        <f t="shared" si="14"/>
        <v>26.352700594582998</v>
      </c>
      <c r="BA22" s="12">
        <f t="shared" si="15"/>
        <v>8291.8091489775998</v>
      </c>
      <c r="BC22" s="13">
        <f t="shared" si="16"/>
        <v>30.891028390815201</v>
      </c>
      <c r="BD22" s="14">
        <f t="shared" si="17"/>
        <v>7451.3768311967997</v>
      </c>
      <c r="BF22" s="16">
        <f t="shared" si="18"/>
        <v>35.755906950777003</v>
      </c>
      <c r="BG22" s="17">
        <f t="shared" si="19"/>
        <v>8127.8127262011203</v>
      </c>
      <c r="BI22">
        <v>58</v>
      </c>
      <c r="BJ22" t="s">
        <v>48</v>
      </c>
      <c r="BK22" s="2">
        <v>45972.878368055557</v>
      </c>
      <c r="BL22">
        <v>361</v>
      </c>
      <c r="BM22" t="s">
        <v>13</v>
      </c>
      <c r="BN22">
        <v>0</v>
      </c>
      <c r="BO22">
        <v>2.8860000000000001</v>
      </c>
      <c r="BP22" s="3">
        <v>930895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45972.899606481478</v>
      </c>
      <c r="D23">
        <v>115</v>
      </c>
      <c r="E23" t="s">
        <v>13</v>
      </c>
      <c r="F23">
        <v>0</v>
      </c>
      <c r="G23">
        <v>6.0830000000000002</v>
      </c>
      <c r="H23" s="3">
        <v>12407</v>
      </c>
      <c r="I23">
        <v>2.8000000000000001E-2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45972.899606481478</v>
      </c>
      <c r="R23">
        <v>115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45972.899606481478</v>
      </c>
      <c r="AF23">
        <v>115</v>
      </c>
      <c r="AG23" t="s">
        <v>13</v>
      </c>
      <c r="AH23">
        <v>0</v>
      </c>
      <c r="AI23">
        <v>12.332000000000001</v>
      </c>
      <c r="AJ23" s="3">
        <v>33205</v>
      </c>
      <c r="AK23">
        <v>7.173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36.414089450313</v>
      </c>
      <c r="AU23" s="17">
        <f t="shared" si="11"/>
        <v>7372.6752907332502</v>
      </c>
      <c r="AW23" s="6">
        <f t="shared" si="12"/>
        <v>26.649238183909539</v>
      </c>
      <c r="AX23" s="7">
        <f t="shared" si="13"/>
        <v>6731.635861922</v>
      </c>
      <c r="AZ23" s="11">
        <f t="shared" si="14"/>
        <v>27.091747635527</v>
      </c>
      <c r="BA23" s="12">
        <f t="shared" si="15"/>
        <v>7577.416899397499</v>
      </c>
      <c r="BC23" s="13">
        <f t="shared" si="16"/>
        <v>31.602436962168802</v>
      </c>
      <c r="BD23" s="14">
        <f t="shared" si="17"/>
        <v>6775.1911929050002</v>
      </c>
      <c r="BF23" s="16">
        <f t="shared" si="18"/>
        <v>36.414089450313</v>
      </c>
      <c r="BG23" s="17">
        <f t="shared" si="19"/>
        <v>7372.6752907332502</v>
      </c>
      <c r="BI23">
        <v>59</v>
      </c>
      <c r="BJ23" t="s">
        <v>49</v>
      </c>
      <c r="BK23" s="2">
        <v>45972.899606481478</v>
      </c>
      <c r="BL23">
        <v>115</v>
      </c>
      <c r="BM23" t="s">
        <v>13</v>
      </c>
      <c r="BN23">
        <v>0</v>
      </c>
      <c r="BO23">
        <v>2.8860000000000001</v>
      </c>
      <c r="BP23" s="3">
        <v>919342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45972.920844907407</v>
      </c>
      <c r="D24">
        <v>164</v>
      </c>
      <c r="E24" t="s">
        <v>13</v>
      </c>
      <c r="F24">
        <v>0</v>
      </c>
      <c r="G24">
        <v>6.0869999999999997</v>
      </c>
      <c r="H24" s="3">
        <v>5825</v>
      </c>
      <c r="I24">
        <v>1.4E-2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45972.920844907407</v>
      </c>
      <c r="R24">
        <v>164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45972.920844907407</v>
      </c>
      <c r="AF24">
        <v>164</v>
      </c>
      <c r="AG24" t="s">
        <v>13</v>
      </c>
      <c r="AH24">
        <v>0</v>
      </c>
      <c r="AI24">
        <v>12.358000000000001</v>
      </c>
      <c r="AJ24" s="3">
        <v>6569</v>
      </c>
      <c r="AK24">
        <v>1.345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17.301822798125002</v>
      </c>
      <c r="AU24" s="17">
        <f t="shared" si="11"/>
        <v>1359.6438430877301</v>
      </c>
      <c r="AW24" s="6">
        <f t="shared" si="12"/>
        <v>7.9884123124999995</v>
      </c>
      <c r="AX24" s="7">
        <f t="shared" si="13"/>
        <v>1253.0110670592801</v>
      </c>
      <c r="AZ24" s="11">
        <f t="shared" si="14"/>
        <v>3.2864124999999991</v>
      </c>
      <c r="BA24" s="12">
        <f t="shared" si="15"/>
        <v>1561.4344818079001</v>
      </c>
      <c r="BC24" s="13">
        <f t="shared" si="16"/>
        <v>12.416520912500001</v>
      </c>
      <c r="BD24" s="14">
        <f t="shared" si="17"/>
        <v>1378.1645246921998</v>
      </c>
      <c r="BF24" s="16">
        <f t="shared" si="18"/>
        <v>17.301822798125002</v>
      </c>
      <c r="BG24" s="17">
        <f t="shared" si="19"/>
        <v>1359.6438430877301</v>
      </c>
      <c r="BI24">
        <v>60</v>
      </c>
      <c r="BJ24" t="s">
        <v>50</v>
      </c>
      <c r="BK24" s="2">
        <v>45972.920844907407</v>
      </c>
      <c r="BL24">
        <v>164</v>
      </c>
      <c r="BM24" t="s">
        <v>13</v>
      </c>
      <c r="BN24">
        <v>0</v>
      </c>
      <c r="BO24">
        <v>2.879</v>
      </c>
      <c r="BP24" s="3">
        <v>1056567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45972.942071759258</v>
      </c>
      <c r="D25">
        <v>197</v>
      </c>
      <c r="E25" t="s">
        <v>13</v>
      </c>
      <c r="F25">
        <v>0</v>
      </c>
      <c r="G25">
        <v>6.0860000000000003</v>
      </c>
      <c r="H25" s="3">
        <v>5736</v>
      </c>
      <c r="I25">
        <v>1.2999999999999999E-2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45972.942071759258</v>
      </c>
      <c r="R25">
        <v>197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45972.942071759258</v>
      </c>
      <c r="AF25">
        <v>197</v>
      </c>
      <c r="AG25" t="s">
        <v>13</v>
      </c>
      <c r="AH25">
        <v>0</v>
      </c>
      <c r="AI25">
        <v>12.361000000000001</v>
      </c>
      <c r="AJ25" s="3">
        <v>7884</v>
      </c>
      <c r="AK25">
        <v>1.633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16.983186104128002</v>
      </c>
      <c r="AU25" s="17">
        <f t="shared" si="11"/>
        <v>1658.1367336340802</v>
      </c>
      <c r="AW25" s="6">
        <f t="shared" si="12"/>
        <v>7.7646028288000011</v>
      </c>
      <c r="AX25" s="7">
        <f t="shared" si="13"/>
        <v>1524.3365417228799</v>
      </c>
      <c r="AZ25" s="11">
        <f t="shared" si="14"/>
        <v>3.1548758400000008</v>
      </c>
      <c r="BA25" s="12">
        <f t="shared" si="15"/>
        <v>1873.6259843183998</v>
      </c>
      <c r="BC25" s="13">
        <f t="shared" si="16"/>
        <v>12.139410909439999</v>
      </c>
      <c r="BD25" s="14">
        <f t="shared" si="17"/>
        <v>1646.6029841311997</v>
      </c>
      <c r="BF25" s="16">
        <f t="shared" si="18"/>
        <v>16.983186104128002</v>
      </c>
      <c r="BG25" s="17">
        <f t="shared" si="19"/>
        <v>1658.1367336340802</v>
      </c>
      <c r="BI25">
        <v>61</v>
      </c>
      <c r="BJ25" t="s">
        <v>51</v>
      </c>
      <c r="BK25" s="2">
        <v>45972.942071759258</v>
      </c>
      <c r="BL25">
        <v>197</v>
      </c>
      <c r="BM25" t="s">
        <v>13</v>
      </c>
      <c r="BN25">
        <v>0</v>
      </c>
      <c r="BO25">
        <v>2.8740000000000001</v>
      </c>
      <c r="BP25" s="3">
        <v>1161433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45972.963321759256</v>
      </c>
      <c r="D26">
        <v>88</v>
      </c>
      <c r="E26" t="s">
        <v>13</v>
      </c>
      <c r="F26">
        <v>0</v>
      </c>
      <c r="G26">
        <v>6.0819999999999999</v>
      </c>
      <c r="H26" s="3">
        <v>12736</v>
      </c>
      <c r="I26">
        <v>2.9000000000000001E-2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45972.963321759256</v>
      </c>
      <c r="R26">
        <v>88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45972.963321759256</v>
      </c>
      <c r="AF26">
        <v>88</v>
      </c>
      <c r="AG26" t="s">
        <v>13</v>
      </c>
      <c r="AH26">
        <v>0</v>
      </c>
      <c r="AI26">
        <v>12.324</v>
      </c>
      <c r="AJ26" s="3">
        <v>37512</v>
      </c>
      <c r="AK26">
        <v>8.1140000000000008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37.294291901952001</v>
      </c>
      <c r="AU26" s="17">
        <f t="shared" si="11"/>
        <v>8338.4335424339206</v>
      </c>
      <c r="AW26" s="6">
        <f t="shared" si="12"/>
        <v>27.421063953244158</v>
      </c>
      <c r="AX26" s="7">
        <f t="shared" si="13"/>
        <v>7614.1199283251199</v>
      </c>
      <c r="AZ26" s="11">
        <f t="shared" si="14"/>
        <v>28.079849617408001</v>
      </c>
      <c r="BA26" s="12">
        <f t="shared" si="15"/>
        <v>8489.4068193216008</v>
      </c>
      <c r="BC26" s="13">
        <f t="shared" si="16"/>
        <v>32.553818994995204</v>
      </c>
      <c r="BD26" s="14">
        <f t="shared" si="17"/>
        <v>7639.9124213887999</v>
      </c>
      <c r="BF26" s="16">
        <f t="shared" si="18"/>
        <v>37.294291901952001</v>
      </c>
      <c r="BG26" s="17">
        <f t="shared" si="19"/>
        <v>8338.4335424339206</v>
      </c>
      <c r="BI26">
        <v>62</v>
      </c>
      <c r="BJ26" t="s">
        <v>52</v>
      </c>
      <c r="BK26" s="2">
        <v>45972.963321759256</v>
      </c>
      <c r="BL26">
        <v>88</v>
      </c>
      <c r="BM26" t="s">
        <v>13</v>
      </c>
      <c r="BN26">
        <v>0</v>
      </c>
      <c r="BO26">
        <v>2.88</v>
      </c>
      <c r="BP26" s="3">
        <v>1019051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45972.984548611108</v>
      </c>
      <c r="D27">
        <v>273</v>
      </c>
      <c r="E27" t="s">
        <v>13</v>
      </c>
      <c r="F27">
        <v>0</v>
      </c>
      <c r="G27">
        <v>6.0810000000000004</v>
      </c>
      <c r="H27" s="3">
        <v>11115</v>
      </c>
      <c r="I27">
        <v>2.5000000000000001E-2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45972.984548611108</v>
      </c>
      <c r="R27">
        <v>273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45972.984548611108</v>
      </c>
      <c r="AF27">
        <v>273</v>
      </c>
      <c r="AG27" t="s">
        <v>13</v>
      </c>
      <c r="AH27">
        <v>0</v>
      </c>
      <c r="AI27">
        <v>12.327999999999999</v>
      </c>
      <c r="AJ27" s="3">
        <v>32286</v>
      </c>
      <c r="AK27">
        <v>6.9729999999999999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32.956938131824998</v>
      </c>
      <c r="AU27" s="17">
        <f t="shared" si="11"/>
        <v>7166.37232899028</v>
      </c>
      <c r="AW27" s="6">
        <f t="shared" si="12"/>
        <v>23.618069828658498</v>
      </c>
      <c r="AX27" s="7">
        <f t="shared" si="13"/>
        <v>6543.2145144860806</v>
      </c>
      <c r="AZ27" s="11">
        <f t="shared" si="14"/>
        <v>23.208117334175</v>
      </c>
      <c r="BA27" s="12">
        <f t="shared" si="15"/>
        <v>7380.6318384443994</v>
      </c>
      <c r="BC27" s="13">
        <f t="shared" si="16"/>
        <v>27.865705716620006</v>
      </c>
      <c r="BD27" s="14">
        <f t="shared" si="17"/>
        <v>6590.3953293991999</v>
      </c>
      <c r="BF27" s="16">
        <f t="shared" si="18"/>
        <v>32.956938131824998</v>
      </c>
      <c r="BG27" s="17">
        <f t="shared" si="19"/>
        <v>7166.37232899028</v>
      </c>
      <c r="BI27">
        <v>63</v>
      </c>
      <c r="BJ27" t="s">
        <v>53</v>
      </c>
      <c r="BK27" s="2">
        <v>45972.984548611108</v>
      </c>
      <c r="BL27">
        <v>273</v>
      </c>
      <c r="BM27" t="s">
        <v>13</v>
      </c>
      <c r="BN27">
        <v>0</v>
      </c>
      <c r="BO27">
        <v>2.8809999999999998</v>
      </c>
      <c r="BP27" s="3">
        <v>1006559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45973.00576388889</v>
      </c>
      <c r="D28">
        <v>215</v>
      </c>
      <c r="E28" t="s">
        <v>13</v>
      </c>
      <c r="F28">
        <v>0</v>
      </c>
      <c r="G28">
        <v>6.0819999999999999</v>
      </c>
      <c r="H28" s="3">
        <v>12931</v>
      </c>
      <c r="I28">
        <v>0.03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45973.00576388889</v>
      </c>
      <c r="R28">
        <v>215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45973.00576388889</v>
      </c>
      <c r="AF28">
        <v>215</v>
      </c>
      <c r="AG28" t="s">
        <v>13</v>
      </c>
      <c r="AH28">
        <v>0</v>
      </c>
      <c r="AI28">
        <v>12.321</v>
      </c>
      <c r="AJ28" s="3">
        <v>36694</v>
      </c>
      <c r="AK28">
        <v>7.9349999999999996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37.815965569857006</v>
      </c>
      <c r="AU28" s="17">
        <f t="shared" si="11"/>
        <v>8155.153516361479</v>
      </c>
      <c r="AW28" s="6">
        <f t="shared" si="12"/>
        <v>27.878520845309058</v>
      </c>
      <c r="AX28" s="7">
        <f t="shared" si="13"/>
        <v>7446.5884052892807</v>
      </c>
      <c r="AZ28" s="11">
        <f t="shared" si="14"/>
        <v>28.665341629902997</v>
      </c>
      <c r="BA28" s="12">
        <f t="shared" si="15"/>
        <v>8317.5003210203995</v>
      </c>
      <c r="BC28" s="13">
        <f t="shared" si="16"/>
        <v>33.117678532223202</v>
      </c>
      <c r="BD28" s="14">
        <f t="shared" si="17"/>
        <v>7475.8523117672003</v>
      </c>
      <c r="BF28" s="16">
        <f t="shared" si="18"/>
        <v>37.815965569857006</v>
      </c>
      <c r="BG28" s="17">
        <f t="shared" si="19"/>
        <v>8155.153516361479</v>
      </c>
      <c r="BI28">
        <v>64</v>
      </c>
      <c r="BJ28" t="s">
        <v>54</v>
      </c>
      <c r="BK28" s="2">
        <v>45973.00576388889</v>
      </c>
      <c r="BL28">
        <v>215</v>
      </c>
      <c r="BM28" t="s">
        <v>13</v>
      </c>
      <c r="BN28">
        <v>0</v>
      </c>
      <c r="BO28">
        <v>2.883</v>
      </c>
      <c r="BP28" s="3">
        <v>959054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45973.026990740742</v>
      </c>
      <c r="D29">
        <v>208</v>
      </c>
      <c r="E29" t="s">
        <v>13</v>
      </c>
      <c r="F29">
        <v>0</v>
      </c>
      <c r="G29">
        <v>6.0839999999999996</v>
      </c>
      <c r="H29" s="3">
        <v>6835</v>
      </c>
      <c r="I29">
        <v>1.6E-2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45973.026990740742</v>
      </c>
      <c r="R29">
        <v>208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45973.026990740742</v>
      </c>
      <c r="AF29">
        <v>208</v>
      </c>
      <c r="AG29" t="s">
        <v>13</v>
      </c>
      <c r="AH29">
        <v>0</v>
      </c>
      <c r="AI29">
        <v>12.331</v>
      </c>
      <c r="AJ29" s="3">
        <v>29981</v>
      </c>
      <c r="AK29" s="15">
        <v>6.4690000000000003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20.927239391924999</v>
      </c>
      <c r="AU29" s="17">
        <f t="shared" si="11"/>
        <v>6648.5666220857302</v>
      </c>
      <c r="AW29" s="6">
        <f t="shared" si="12"/>
        <v>10.689554292500002</v>
      </c>
      <c r="AX29" s="7">
        <f t="shared" si="13"/>
        <v>6070.4337835872802</v>
      </c>
      <c r="AZ29" s="11">
        <f t="shared" si="14"/>
        <v>5.3785264999999978</v>
      </c>
      <c r="BA29" s="12">
        <f t="shared" si="15"/>
        <v>6883.6737893478994</v>
      </c>
      <c r="BC29" s="13">
        <f t="shared" si="16"/>
        <v>15.624677236499998</v>
      </c>
      <c r="BD29" s="14">
        <f t="shared" si="17"/>
        <v>6126.4531504121996</v>
      </c>
      <c r="BF29" s="16">
        <f t="shared" si="18"/>
        <v>20.927239391924999</v>
      </c>
      <c r="BG29" s="17">
        <f t="shared" si="19"/>
        <v>6648.5666220857302</v>
      </c>
      <c r="BI29">
        <v>65</v>
      </c>
      <c r="BJ29" t="s">
        <v>55</v>
      </c>
      <c r="BK29" s="2">
        <v>45973.026990740742</v>
      </c>
      <c r="BL29">
        <v>208</v>
      </c>
      <c r="BM29" t="s">
        <v>13</v>
      </c>
      <c r="BN29">
        <v>0</v>
      </c>
      <c r="BO29">
        <v>2.8860000000000001</v>
      </c>
      <c r="BP29" s="3">
        <v>931125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45973.048217592594</v>
      </c>
      <c r="D30">
        <v>287</v>
      </c>
      <c r="E30" t="s">
        <v>13</v>
      </c>
      <c r="F30">
        <v>0</v>
      </c>
      <c r="G30">
        <v>6.0810000000000004</v>
      </c>
      <c r="H30" s="3">
        <v>30059</v>
      </c>
      <c r="I30">
        <v>6.8000000000000005E-2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45973.048217592594</v>
      </c>
      <c r="R30">
        <v>287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45973.048217592594</v>
      </c>
      <c r="AF30">
        <v>287</v>
      </c>
      <c r="AG30" t="s">
        <v>13</v>
      </c>
      <c r="AH30">
        <v>0</v>
      </c>
      <c r="AI30">
        <v>12.348000000000001</v>
      </c>
      <c r="AJ30" s="3">
        <v>17129</v>
      </c>
      <c r="AK30">
        <v>3.6579999999999999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si="10"/>
        <v>83.55960606449699</v>
      </c>
      <c r="AU30" s="17">
        <f t="shared" si="11"/>
        <v>3751.8760324061304</v>
      </c>
      <c r="AW30" s="6">
        <f t="shared" si="12"/>
        <v>68.035760608040263</v>
      </c>
      <c r="AX30" s="7">
        <f t="shared" si="13"/>
        <v>3429.3766646016802</v>
      </c>
      <c r="AZ30" s="11">
        <f t="shared" si="14"/>
        <v>79.624648930462996</v>
      </c>
      <c r="BA30" s="12">
        <f t="shared" si="15"/>
        <v>4023.9350554398998</v>
      </c>
      <c r="BC30" s="13">
        <f t="shared" si="16"/>
        <v>82.559097642687206</v>
      </c>
      <c r="BD30" s="14">
        <f t="shared" si="17"/>
        <v>3527.9995220681994</v>
      </c>
      <c r="BF30" s="16">
        <f t="shared" si="18"/>
        <v>83.55960606449699</v>
      </c>
      <c r="BG30" s="17">
        <f t="shared" si="19"/>
        <v>3751.8760324061304</v>
      </c>
      <c r="BI30">
        <v>66</v>
      </c>
      <c r="BJ30" t="s">
        <v>56</v>
      </c>
      <c r="BK30" s="2">
        <v>45973.048217592594</v>
      </c>
      <c r="BL30">
        <v>287</v>
      </c>
      <c r="BM30" t="s">
        <v>13</v>
      </c>
      <c r="BN30">
        <v>0</v>
      </c>
      <c r="BO30">
        <v>2.87</v>
      </c>
      <c r="BP30" s="3">
        <v>1222217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45973.069456018522</v>
      </c>
      <c r="D31">
        <v>334</v>
      </c>
      <c r="E31" t="s">
        <v>13</v>
      </c>
      <c r="F31">
        <v>0</v>
      </c>
      <c r="G31">
        <v>6.0970000000000004</v>
      </c>
      <c r="H31" s="3">
        <v>1605</v>
      </c>
      <c r="I31">
        <v>4.0000000000000001E-3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45973.069456018522</v>
      </c>
      <c r="R31">
        <v>334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45973.069456018522</v>
      </c>
      <c r="AF31">
        <v>334</v>
      </c>
      <c r="AG31" t="s">
        <v>13</v>
      </c>
      <c r="AH31">
        <v>0</v>
      </c>
      <c r="AI31">
        <v>12.359</v>
      </c>
      <c r="AJ31" s="3">
        <v>6802</v>
      </c>
      <c r="AK31">
        <v>1.3959999999999999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10"/>
        <v>2.3414881803250003</v>
      </c>
      <c r="AU31" s="17">
        <f t="shared" si="11"/>
        <v>1412.5450682997202</v>
      </c>
      <c r="AW31" s="6">
        <f t="shared" si="12"/>
        <v>-9.0689067500000053E-2</v>
      </c>
      <c r="AX31" s="7">
        <f t="shared" si="13"/>
        <v>1301.0926609539199</v>
      </c>
      <c r="AZ31" s="11">
        <f t="shared" si="14"/>
        <v>6.4632285000000005</v>
      </c>
      <c r="BA31" s="12">
        <f t="shared" si="15"/>
        <v>1616.8655282555999</v>
      </c>
      <c r="BC31" s="13">
        <f t="shared" si="16"/>
        <v>0.27325906849999981</v>
      </c>
      <c r="BD31" s="14">
        <f t="shared" si="17"/>
        <v>1425.7432212007998</v>
      </c>
      <c r="BF31" s="16">
        <f t="shared" si="18"/>
        <v>2.3414881803250003</v>
      </c>
      <c r="BG31" s="17">
        <f t="shared" si="19"/>
        <v>1412.5450682997202</v>
      </c>
      <c r="BI31">
        <v>67</v>
      </c>
      <c r="BJ31" t="s">
        <v>57</v>
      </c>
      <c r="BK31" s="2">
        <v>45973.069456018522</v>
      </c>
      <c r="BL31">
        <v>334</v>
      </c>
      <c r="BM31" t="s">
        <v>13</v>
      </c>
      <c r="BN31">
        <v>0</v>
      </c>
      <c r="BO31">
        <v>2.887</v>
      </c>
      <c r="BP31" s="3">
        <v>922985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45973.090694444443</v>
      </c>
      <c r="D32">
        <v>175</v>
      </c>
      <c r="E32" t="s">
        <v>13</v>
      </c>
      <c r="F32">
        <v>0</v>
      </c>
      <c r="G32">
        <v>6.0860000000000003</v>
      </c>
      <c r="H32" s="3">
        <v>79057</v>
      </c>
      <c r="I32">
        <v>0.17899999999999999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45973.090694444443</v>
      </c>
      <c r="R32">
        <v>175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45973.090694444443</v>
      </c>
      <c r="AF32">
        <v>175</v>
      </c>
      <c r="AG32" t="s">
        <v>13</v>
      </c>
      <c r="AH32">
        <v>0</v>
      </c>
      <c r="AI32">
        <v>12.34</v>
      </c>
      <c r="AJ32" s="3">
        <v>31378</v>
      </c>
      <c r="AK32">
        <v>6.774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6">
        <f t="shared" si="10"/>
        <v>213.56612156751299</v>
      </c>
      <c r="AU32" s="17">
        <f t="shared" si="11"/>
        <v>6962.4573141621204</v>
      </c>
      <c r="AW32" s="6">
        <f t="shared" si="12"/>
        <v>182.65246025508554</v>
      </c>
      <c r="AX32" s="7">
        <f t="shared" si="13"/>
        <v>6357.0061468803196</v>
      </c>
      <c r="AZ32" s="11">
        <f t="shared" si="14"/>
        <v>220.29418641432704</v>
      </c>
      <c r="BA32" s="12">
        <f t="shared" si="15"/>
        <v>7185.4455710075999</v>
      </c>
      <c r="BC32" s="13">
        <f t="shared" si="16"/>
        <v>223.06024032888882</v>
      </c>
      <c r="BD32" s="14">
        <f t="shared" si="17"/>
        <v>6407.7121827368001</v>
      </c>
      <c r="BF32" s="16">
        <f t="shared" si="18"/>
        <v>213.56612156751299</v>
      </c>
      <c r="BG32" s="17">
        <f t="shared" si="19"/>
        <v>6962.4573141621204</v>
      </c>
      <c r="BI32">
        <v>68</v>
      </c>
      <c r="BJ32" t="s">
        <v>58</v>
      </c>
      <c r="BK32" s="2">
        <v>45973.090694444443</v>
      </c>
      <c r="BL32">
        <v>175</v>
      </c>
      <c r="BM32" t="s">
        <v>13</v>
      </c>
      <c r="BN32">
        <v>0</v>
      </c>
      <c r="BO32">
        <v>2.8959999999999999</v>
      </c>
      <c r="BP32" s="3">
        <v>857251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45973.111967592595</v>
      </c>
      <c r="D33">
        <v>172</v>
      </c>
      <c r="E33" t="s">
        <v>13</v>
      </c>
      <c r="F33">
        <v>0</v>
      </c>
      <c r="G33">
        <v>6.077</v>
      </c>
      <c r="H33" s="3">
        <v>56856</v>
      </c>
      <c r="I33">
        <v>0.129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45973.111967592595</v>
      </c>
      <c r="R33">
        <v>172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45973.111967592595</v>
      </c>
      <c r="AF33">
        <v>172</v>
      </c>
      <c r="AG33" t="s">
        <v>13</v>
      </c>
      <c r="AH33">
        <v>0</v>
      </c>
      <c r="AI33">
        <v>12.2</v>
      </c>
      <c r="AJ33" s="3">
        <v>146036</v>
      </c>
      <c r="AK33">
        <v>31.614000000000001</v>
      </c>
      <c r="AL33" t="s">
        <v>14</v>
      </c>
      <c r="AM33" t="s">
        <v>14</v>
      </c>
      <c r="AN33" t="s">
        <v>14</v>
      </c>
      <c r="AO33" t="s">
        <v>14</v>
      </c>
      <c r="AQ33">
        <v>2</v>
      </c>
      <c r="AR33" t="s">
        <v>67</v>
      </c>
      <c r="AS33" s="10">
        <v>69</v>
      </c>
      <c r="AT33" s="16">
        <f t="shared" si="10"/>
        <v>154.81661695443199</v>
      </c>
      <c r="AU33" s="17">
        <f t="shared" si="11"/>
        <v>31718.041628796476</v>
      </c>
      <c r="AW33" s="6">
        <f t="shared" si="12"/>
        <v>130.76753401456256</v>
      </c>
      <c r="AX33" s="7">
        <f t="shared" si="13"/>
        <v>29537.688580686077</v>
      </c>
      <c r="AZ33" s="11">
        <f t="shared" si="14"/>
        <v>157.49499033132801</v>
      </c>
      <c r="BA33" s="12">
        <f t="shared" si="15"/>
        <v>33523.862806193603</v>
      </c>
      <c r="BC33" s="13">
        <f t="shared" si="16"/>
        <v>159.57096775224321</v>
      </c>
      <c r="BD33" s="14">
        <f t="shared" si="17"/>
        <v>29064.050685497121</v>
      </c>
      <c r="BF33" s="16">
        <f t="shared" si="18"/>
        <v>154.81661695443199</v>
      </c>
      <c r="BG33" s="17">
        <f t="shared" si="19"/>
        <v>31718.041628796476</v>
      </c>
      <c r="BI33">
        <v>69</v>
      </c>
      <c r="BJ33" t="s">
        <v>59</v>
      </c>
      <c r="BK33" s="2">
        <v>45973.111967592595</v>
      </c>
      <c r="BL33">
        <v>172</v>
      </c>
      <c r="BM33" t="s">
        <v>13</v>
      </c>
      <c r="BN33">
        <v>0</v>
      </c>
      <c r="BO33">
        <v>2.8849999999999998</v>
      </c>
      <c r="BP33" s="3">
        <v>903960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45973.133206018516</v>
      </c>
      <c r="D34">
        <v>316</v>
      </c>
      <c r="E34" t="s">
        <v>13</v>
      </c>
      <c r="F34">
        <v>0</v>
      </c>
      <c r="G34">
        <v>6.077</v>
      </c>
      <c r="H34" s="3">
        <v>170019</v>
      </c>
      <c r="I34">
        <v>0.38400000000000001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45973.133206018516</v>
      </c>
      <c r="R34">
        <v>316</v>
      </c>
      <c r="S34" t="s">
        <v>13</v>
      </c>
      <c r="T34">
        <v>0</v>
      </c>
      <c r="U34">
        <v>6.0289999999999999</v>
      </c>
      <c r="V34" s="3">
        <v>1472</v>
      </c>
      <c r="W34">
        <v>0.45500000000000002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45973.133206018516</v>
      </c>
      <c r="AF34">
        <v>316</v>
      </c>
      <c r="AG34" t="s">
        <v>13</v>
      </c>
      <c r="AH34">
        <v>0</v>
      </c>
      <c r="AI34">
        <v>12.269</v>
      </c>
      <c r="AJ34" s="3">
        <v>59813</v>
      </c>
      <c r="AK34">
        <v>12.973000000000001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10"/>
        <v>451.56755892505697</v>
      </c>
      <c r="AU34" s="17">
        <f t="shared" si="11"/>
        <v>13394.457041429219</v>
      </c>
      <c r="AW34" s="6">
        <f t="shared" si="12"/>
        <v>394.40648568252504</v>
      </c>
      <c r="AX34" s="7">
        <f t="shared" si="13"/>
        <v>12168.346876391119</v>
      </c>
      <c r="AZ34" s="11">
        <f t="shared" si="14"/>
        <v>461.36232901070304</v>
      </c>
      <c r="BA34" s="12">
        <f t="shared" si="15"/>
        <v>12892.3564657679</v>
      </c>
      <c r="BC34" s="13">
        <f t="shared" si="16"/>
        <v>480.21589524774316</v>
      </c>
      <c r="BD34" s="14">
        <f t="shared" si="17"/>
        <v>11702.752292894931</v>
      </c>
      <c r="BF34" s="16">
        <f t="shared" si="18"/>
        <v>451.56755892505697</v>
      </c>
      <c r="BG34" s="17">
        <f t="shared" si="19"/>
        <v>13394.457041429219</v>
      </c>
      <c r="BI34">
        <v>70</v>
      </c>
      <c r="BJ34" t="s">
        <v>60</v>
      </c>
      <c r="BK34" s="2">
        <v>45973.133206018516</v>
      </c>
      <c r="BL34">
        <v>316</v>
      </c>
      <c r="BM34" t="s">
        <v>13</v>
      </c>
      <c r="BN34">
        <v>0</v>
      </c>
      <c r="BO34">
        <v>2.875</v>
      </c>
      <c r="BP34" s="3">
        <v>1087066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45973.154421296298</v>
      </c>
      <c r="D35">
        <v>76</v>
      </c>
      <c r="E35" t="s">
        <v>13</v>
      </c>
      <c r="F35">
        <v>0</v>
      </c>
      <c r="G35">
        <v>6.0780000000000003</v>
      </c>
      <c r="H35" s="3">
        <v>76268</v>
      </c>
      <c r="I35">
        <v>0.17199999999999999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45973.154421296298</v>
      </c>
      <c r="R35">
        <v>76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45973.154421296298</v>
      </c>
      <c r="AF35">
        <v>76</v>
      </c>
      <c r="AG35" t="s">
        <v>13</v>
      </c>
      <c r="AH35">
        <v>0</v>
      </c>
      <c r="AI35">
        <v>12.329000000000001</v>
      </c>
      <c r="AJ35" s="3">
        <v>28454</v>
      </c>
      <c r="AK35">
        <v>6.1349999999999998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10"/>
        <v>206.199955542288</v>
      </c>
      <c r="AU35" s="17">
        <f t="shared" si="11"/>
        <v>6305.2472502078799</v>
      </c>
      <c r="AW35" s="6">
        <f t="shared" si="12"/>
        <v>176.13877829785503</v>
      </c>
      <c r="AX35" s="7">
        <f t="shared" si="13"/>
        <v>5757.0800394396801</v>
      </c>
      <c r="AZ35" s="11">
        <f t="shared" si="14"/>
        <v>212.49041806155202</v>
      </c>
      <c r="BA35" s="12">
        <f t="shared" si="15"/>
        <v>6551.7837040923996</v>
      </c>
      <c r="BC35" s="13">
        <f t="shared" si="16"/>
        <v>215.10003790042882</v>
      </c>
      <c r="BD35" s="14">
        <f t="shared" si="17"/>
        <v>5818.7541190632001</v>
      </c>
      <c r="BF35" s="16">
        <f t="shared" si="18"/>
        <v>206.199955542288</v>
      </c>
      <c r="BG35" s="17">
        <f t="shared" si="19"/>
        <v>6305.2472502078799</v>
      </c>
      <c r="BI35">
        <v>71</v>
      </c>
      <c r="BJ35" t="s">
        <v>61</v>
      </c>
      <c r="BK35" s="2">
        <v>45973.154421296298</v>
      </c>
      <c r="BL35">
        <v>76</v>
      </c>
      <c r="BM35" t="s">
        <v>13</v>
      </c>
      <c r="BN35">
        <v>0</v>
      </c>
      <c r="BO35">
        <v>2.8740000000000001</v>
      </c>
      <c r="BP35" s="3">
        <v>1141098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45973.175659722219</v>
      </c>
      <c r="D36">
        <v>414</v>
      </c>
      <c r="E36" t="s">
        <v>13</v>
      </c>
      <c r="F36">
        <v>0</v>
      </c>
      <c r="G36">
        <v>6.085</v>
      </c>
      <c r="H36" s="3">
        <v>12321</v>
      </c>
      <c r="I36">
        <v>2.8000000000000001E-2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45973.175659722219</v>
      </c>
      <c r="R36">
        <v>414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45973.175659722219</v>
      </c>
      <c r="AF36">
        <v>414</v>
      </c>
      <c r="AG36" t="s">
        <v>13</v>
      </c>
      <c r="AH36">
        <v>0</v>
      </c>
      <c r="AI36">
        <v>12.34</v>
      </c>
      <c r="AJ36" s="3">
        <v>22919</v>
      </c>
      <c r="AK36">
        <v>4.9249999999999998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10"/>
        <v>36.183996748216998</v>
      </c>
      <c r="AU36" s="17">
        <f t="shared" si="11"/>
        <v>5058.8807828717308</v>
      </c>
      <c r="AW36" s="6">
        <f t="shared" si="12"/>
        <v>26.44748146091786</v>
      </c>
      <c r="AX36" s="7">
        <f t="shared" si="13"/>
        <v>4620.2521400832802</v>
      </c>
      <c r="AZ36" s="11">
        <f t="shared" si="14"/>
        <v>26.833403296343</v>
      </c>
      <c r="BA36" s="12">
        <f t="shared" si="15"/>
        <v>5330.9355361278995</v>
      </c>
      <c r="BC36" s="13">
        <f t="shared" si="16"/>
        <v>31.353737126559203</v>
      </c>
      <c r="BD36" s="14">
        <f t="shared" si="17"/>
        <v>4701.0832224522001</v>
      </c>
      <c r="BF36" s="16">
        <f t="shared" si="18"/>
        <v>36.183996748216998</v>
      </c>
      <c r="BG36" s="17">
        <f t="shared" si="19"/>
        <v>5058.8807828717308</v>
      </c>
      <c r="BI36">
        <v>72</v>
      </c>
      <c r="BJ36" t="s">
        <v>62</v>
      </c>
      <c r="BK36" s="2">
        <v>45973.175659722219</v>
      </c>
      <c r="BL36">
        <v>414</v>
      </c>
      <c r="BM36" t="s">
        <v>13</v>
      </c>
      <c r="BN36">
        <v>0</v>
      </c>
      <c r="BO36">
        <v>2.8769999999999998</v>
      </c>
      <c r="BP36" s="3">
        <v>1090018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45973.196898148148</v>
      </c>
      <c r="D37">
        <v>311</v>
      </c>
      <c r="E37" t="s">
        <v>13</v>
      </c>
      <c r="F37">
        <v>0</v>
      </c>
      <c r="G37">
        <v>6.08</v>
      </c>
      <c r="H37" s="3">
        <v>24205</v>
      </c>
      <c r="I37">
        <v>5.5E-2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45973.196898148148</v>
      </c>
      <c r="R37">
        <v>311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45973.196898148148</v>
      </c>
      <c r="AF37">
        <v>311</v>
      </c>
      <c r="AG37" t="s">
        <v>13</v>
      </c>
      <c r="AH37">
        <v>0</v>
      </c>
      <c r="AI37">
        <v>12.315</v>
      </c>
      <c r="AJ37" s="3">
        <v>44738</v>
      </c>
      <c r="AK37">
        <v>9.69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10"/>
        <v>67.942723027425004</v>
      </c>
      <c r="AU37" s="17">
        <f t="shared" si="11"/>
        <v>9954.6295522389191</v>
      </c>
      <c r="AW37" s="6">
        <f t="shared" si="12"/>
        <v>54.316153061706494</v>
      </c>
      <c r="AX37" s="7">
        <f t="shared" si="13"/>
        <v>9092.5666098051188</v>
      </c>
      <c r="AZ37" s="11">
        <f t="shared" si="14"/>
        <v>62.311879046575001</v>
      </c>
      <c r="BA37" s="12">
        <f t="shared" si="15"/>
        <v>9981.473029471601</v>
      </c>
      <c r="BC37" s="13">
        <f t="shared" si="16"/>
        <v>65.680092271180001</v>
      </c>
      <c r="BD37" s="14">
        <f t="shared" si="17"/>
        <v>9085.7009790887987</v>
      </c>
      <c r="BF37" s="16">
        <f t="shared" si="18"/>
        <v>67.942723027425004</v>
      </c>
      <c r="BG37" s="17">
        <f t="shared" si="19"/>
        <v>9954.6295522389191</v>
      </c>
      <c r="BI37">
        <v>73</v>
      </c>
      <c r="BJ37" t="s">
        <v>63</v>
      </c>
      <c r="BK37" s="2">
        <v>45973.196898148148</v>
      </c>
      <c r="BL37">
        <v>311</v>
      </c>
      <c r="BM37" t="s">
        <v>13</v>
      </c>
      <c r="BN37">
        <v>0</v>
      </c>
      <c r="BO37">
        <v>2.887</v>
      </c>
      <c r="BP37" s="3">
        <v>872859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45973.218148148146</v>
      </c>
      <c r="D38">
        <v>150</v>
      </c>
      <c r="E38" t="s">
        <v>13</v>
      </c>
      <c r="F38">
        <v>0</v>
      </c>
      <c r="G38">
        <v>6.0810000000000004</v>
      </c>
      <c r="H38" s="3">
        <v>21949</v>
      </c>
      <c r="I38">
        <v>0.05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45973.218148148146</v>
      </c>
      <c r="R38">
        <v>150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45973.218148148146</v>
      </c>
      <c r="AF38">
        <v>150</v>
      </c>
      <c r="AG38" t="s">
        <v>13</v>
      </c>
      <c r="AH38">
        <v>0</v>
      </c>
      <c r="AI38">
        <v>12.345000000000001</v>
      </c>
      <c r="AJ38" s="3">
        <v>14793</v>
      </c>
      <c r="AK38">
        <v>3.1469999999999998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10">
        <v>74</v>
      </c>
      <c r="AT38" s="16">
        <f t="shared" si="10"/>
        <v>61.919515487937005</v>
      </c>
      <c r="AU38" s="17">
        <f t="shared" si="11"/>
        <v>3223.6279720995703</v>
      </c>
      <c r="AW38" s="6">
        <f t="shared" si="12"/>
        <v>49.027451162275462</v>
      </c>
      <c r="AX38" s="7">
        <f t="shared" si="13"/>
        <v>2948.4284856935201</v>
      </c>
      <c r="AZ38" s="11">
        <f t="shared" si="14"/>
        <v>55.611073686222994</v>
      </c>
      <c r="BA38" s="12">
        <f t="shared" si="15"/>
        <v>3487.9623375710999</v>
      </c>
      <c r="BC38" s="13">
        <f t="shared" si="16"/>
        <v>59.170019116031206</v>
      </c>
      <c r="BD38" s="14">
        <f t="shared" si="17"/>
        <v>3053.5787956297995</v>
      </c>
      <c r="BF38" s="16">
        <f t="shared" si="18"/>
        <v>61.919515487937005</v>
      </c>
      <c r="BG38" s="17">
        <f t="shared" si="19"/>
        <v>3223.6279720995703</v>
      </c>
      <c r="BI38">
        <v>74</v>
      </c>
      <c r="BJ38" t="s">
        <v>64</v>
      </c>
      <c r="BK38" s="2">
        <v>45973.218148148146</v>
      </c>
      <c r="BL38">
        <v>150</v>
      </c>
      <c r="BM38" t="s">
        <v>13</v>
      </c>
      <c r="BN38">
        <v>0</v>
      </c>
      <c r="BO38">
        <v>2.883</v>
      </c>
      <c r="BP38" s="3">
        <v>985606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75</v>
      </c>
      <c r="B39" t="s">
        <v>65</v>
      </c>
      <c r="C39" s="2">
        <v>45973.239386574074</v>
      </c>
      <c r="D39">
        <v>87</v>
      </c>
      <c r="E39" t="s">
        <v>13</v>
      </c>
      <c r="F39">
        <v>0</v>
      </c>
      <c r="G39">
        <v>6.0839999999999996</v>
      </c>
      <c r="H39" s="3">
        <v>13228</v>
      </c>
      <c r="I39">
        <v>0.03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65</v>
      </c>
      <c r="Q39" s="2">
        <v>45973.239386574074</v>
      </c>
      <c r="R39">
        <v>87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65</v>
      </c>
      <c r="AE39" s="2">
        <v>45973.239386574074</v>
      </c>
      <c r="AF39">
        <v>87</v>
      </c>
      <c r="AG39" t="s">
        <v>13</v>
      </c>
      <c r="AH39">
        <v>0</v>
      </c>
      <c r="AI39">
        <v>12.339</v>
      </c>
      <c r="AJ39" s="3">
        <v>28594</v>
      </c>
      <c r="AK39">
        <v>6.1660000000000004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10">
        <v>75</v>
      </c>
      <c r="AT39" s="16">
        <f t="shared" si="10"/>
        <v>38.610476264208003</v>
      </c>
      <c r="AU39" s="17">
        <f t="shared" si="11"/>
        <v>6336.7333418574808</v>
      </c>
      <c r="AW39" s="6">
        <f t="shared" si="12"/>
        <v>28.57525111208864</v>
      </c>
      <c r="AX39" s="7">
        <f t="shared" si="13"/>
        <v>5785.8142183452801</v>
      </c>
      <c r="AZ39" s="11">
        <f t="shared" si="14"/>
        <v>29.556860565232</v>
      </c>
      <c r="BA39" s="12">
        <f t="shared" si="15"/>
        <v>6582.300961100399</v>
      </c>
      <c r="BC39" s="13">
        <f t="shared" si="16"/>
        <v>33.976437780620799</v>
      </c>
      <c r="BD39" s="14">
        <f t="shared" si="17"/>
        <v>5846.9765132071998</v>
      </c>
      <c r="BF39" s="16">
        <f t="shared" si="18"/>
        <v>38.610476264208003</v>
      </c>
      <c r="BG39" s="17">
        <f t="shared" si="19"/>
        <v>6336.7333418574808</v>
      </c>
      <c r="BI39">
        <v>75</v>
      </c>
      <c r="BJ39" t="s">
        <v>65</v>
      </c>
      <c r="BK39" s="2">
        <v>45973.239386574074</v>
      </c>
      <c r="BL39">
        <v>87</v>
      </c>
      <c r="BM39" t="s">
        <v>13</v>
      </c>
      <c r="BN39">
        <v>0</v>
      </c>
      <c r="BO39">
        <v>2.8849999999999998</v>
      </c>
      <c r="BP39" s="3">
        <v>922886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1:73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1:73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1:73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2025-11-12T18:26:21Z</dcterms:modified>
</cp:coreProperties>
</file>