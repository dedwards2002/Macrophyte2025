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ACL Data\GC\"/>
    </mc:Choice>
  </mc:AlternateContent>
  <xr:revisionPtr revIDLastSave="0" documentId="13_ncr:1_{41BD71A5-6C96-485B-B114-B273C2859E8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5" i="1" l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</calcChain>
</file>

<file path=xl/sharedStrings.xml><?xml version="1.0" encoding="utf-8"?>
<sst xmlns="http://schemas.openxmlformats.org/spreadsheetml/2006/main" count="644" uniqueCount="57">
  <si>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</si>
  <si>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</si>
  <si>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</si>
  <si>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</si>
  <si>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</si>
  <si>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</si>
  <si>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</si>
  <si>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</si>
  <si>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</si>
  <si>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</si>
  <si>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</si>
  <si>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</si>
  <si>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</si>
  <si>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</si>
  <si>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</si>
  <si>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</si>
  <si>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</si>
  <si>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</si>
  <si>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</si>
  <si>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</si>
  <si>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</si>
  <si>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</si>
  <si>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</si>
  <si>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</si>
  <si>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</si>
  <si>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</si>
  <si>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</si>
  <si>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</si>
  <si>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</si>
  <si>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</si>
  <si>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</si>
  <si>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</si>
  <si>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</si>
  <si>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</si>
  <si>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</si>
  <si>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FMI20251027_001.gcd</t>
  </si>
  <si>
    <t>FMI20251027_002.gcd</t>
  </si>
  <si>
    <t>FMI20251027_003.gcd</t>
  </si>
  <si>
    <t>FMI20251027_004.gcd</t>
  </si>
  <si>
    <t>FMI20251027_005.gcd</t>
  </si>
  <si>
    <t>FMI20251027_006.gcd</t>
  </si>
  <si>
    <t>FMI20251027_007.gcd</t>
  </si>
  <si>
    <t>FMI20251027_008.gcd</t>
  </si>
  <si>
    <t>FMI20251027_009.gcd</t>
  </si>
  <si>
    <t>FMI20251027_010.gcd</t>
  </si>
  <si>
    <t>FMI20251027_011.gcd</t>
  </si>
  <si>
    <t>FMI20251027_012.gcd</t>
  </si>
  <si>
    <t>FMI20251027_013.gcd</t>
  </si>
  <si>
    <t>FMI20251027_014.gcd</t>
  </si>
  <si>
    <t>FMI20251027_015.gcd</t>
  </si>
  <si>
    <t>FMI20251027_016.gcd</t>
  </si>
  <si>
    <t>FMI20251027_017.gcd</t>
  </si>
  <si>
    <t>FMI20251027_018.gcd</t>
  </si>
  <si>
    <t>FMI20251027_019.gcd</t>
  </si>
  <si>
    <t>FMI20251027_020.gcd</t>
  </si>
  <si>
    <t>FMI20251027_021.gcd</t>
  </si>
  <si>
    <t>resampled due to AOC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</si>
</sst>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D1" workbookViewId="0">
      <selection activeCell="AQ21" sqref="AQ21:AR21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29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32</v>
      </c>
      <c r="BE8" s="8"/>
      <c r="BF8" s="5" t="s">
        <v>30</v>
      </c>
      <c r="BG8" s="5" t="s">
        <v>31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45957.763726851852</v>
      </c>
      <c r="D9" t="s">
        <v>33</v>
      </c>
      <c r="E9" t="s">
        <v>13</v>
      </c>
      <c r="F9">
        <v>0</v>
      </c>
      <c r="G9">
        <v>6.1189999999999998</v>
      </c>
      <c r="H9" s="3">
        <v>1512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45957.763726851852</v>
      </c>
      <c r="R9" t="s">
        <v>33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45957.763726851852</v>
      </c>
      <c r="AF9" t="s">
        <v>33</v>
      </c>
      <c r="AG9" t="s">
        <v>13</v>
      </c>
      <c r="AH9">
        <v>0</v>
      </c>
      <c r="AI9">
        <v>12.385999999999999</v>
      </c>
      <c r="AJ9" s="3">
        <v>2060</v>
      </c>
      <c r="AK9">
        <v>0.35499999999999998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4" si="0">IF(H9&lt;10000,((H9^2*0.000000008493)+(H9*0.003482)+(-3.269)),(IF(H9&lt;200000,((H9^2*-0.000000000263)+(H9*0.002682)+(3.179)),(IF(H9&lt;8000000,((H9^2*-0.000000000005099)+(H9*0.002054)+(174.8)),((V9^2*-0.00000001014)+(V9*0.2415)+(1123)))))))</f>
        <v>2.0152002209919999</v>
      </c>
      <c r="AU9" s="17">
        <f t="shared" ref="AU9:AU14" si="1">IF(AJ9&lt;45000,((-0.00000004907*AJ9^2)+(0.2277*AJ9)+(-134)),((-0.00000001062*AJ9^2)+(0.2147*AJ9)+(590.6)))</f>
        <v>334.85376654800001</v>
      </c>
      <c r="AW9" s="6">
        <f t="shared" ref="AW9:AW14" si="2">IF(H9&lt;10000,((0.0000001453*H9^2)+(0.0008349*H9)+(-1.805)),(IF(H9&lt;700000,((-0.00000000008054*H9^2)+(0.002348*H9)+(-2.47)), ((-0.00000001938*V9^2)+(0.2471*V9)+(226.8)))))</f>
        <v>-0.21045447680000007</v>
      </c>
      <c r="AX9" s="7">
        <f t="shared" ref="AX9:AX14" si="3">(-0.00000002552*AJ9^2)+(0.2067*AJ9)+(-103.7)</f>
        <v>321.99370332799998</v>
      </c>
      <c r="AZ9" s="11">
        <f t="shared" ref="AZ9:AZ14" si="4">IF(H9&lt;10000,((H9^2*0.00000054)+(H9*-0.004765)+(12.72)),(IF(H9&lt;200000,((H9^2*-0.000000001577)+(H9*0.003043)+(-10.42)),(IF(H9&lt;8000000,((H9^2*-0.0000000000186)+(H9*0.00194)+(154.1)),((V9^2*-0.00000002)+(V9*0.2565)+(-1032)))))))</f>
        <v>6.7498377600000001</v>
      </c>
      <c r="BA9" s="12">
        <f t="shared" ref="BA9:BA14" si="5">IF(AJ9&lt;45000,((-0.0000004561*AJ9^2)+(0.244*AJ9)+(-21.72)),((-0.0000000409*AJ9^2)+(0.2477*AJ9)+(-1777)))</f>
        <v>478.98449403999996</v>
      </c>
      <c r="BC9" s="13">
        <f t="shared" ref="BC9:BC14" si="6">IF(H9&lt;10000,((H9^2*0.00000005714)+(H9*0.002453)+(-3.811)),(IF(H9&lt;200000,((H9^2*-0.0000000002888)+(H9*0.002899)+(-4.321)),(IF(H9&lt;8000000,((H9^2*-0.0000000000062)+(H9*0.002143)+(157)),((V9^2*-0.000000031)+(V9*0.2771)+(-709.5)))))))</f>
        <v>2.8566268160000075E-2</v>
      </c>
      <c r="BD9" s="14">
        <f t="shared" ref="BD9:BD14" si="7">IF(AJ9&lt;45000,((-0.0000000598*AJ9^2)+(0.205*AJ9)+(34.1)),((-0.00000002403*AJ9^2)+(0.2063*AJ9)+(-550.7)))</f>
        <v>456.14623272</v>
      </c>
      <c r="BF9" s="16">
        <f t="shared" ref="BF9:BF14" si="8">IF(H9&lt;10000,((H9^2*0.000000008493)+(H9*0.003482)+(-3.269)),(IF(H9&lt;200000,((H9^2*-0.000000000263)+(H9*0.002682)+(3.179)),(IF(H9&lt;8000000,((H9^2*-0.000000000005099)+(H9*0.002054)+(174.8)),((V9^2*-0.00000001014)+(V9*0.2415)+(1123)))))))</f>
        <v>2.0152002209919999</v>
      </c>
      <c r="BG9" s="17">
        <f t="shared" ref="BG9:BG14" si="9">IF(AJ9&lt;45000,((-0.00000004907*AJ9^2)+(0.2277*AJ9)+(-134)),((-0.00000001062*AJ9^2)+(0.2147*AJ9)+(590.6)))</f>
        <v>334.85376654800001</v>
      </c>
      <c r="BI9">
        <v>45</v>
      </c>
      <c r="BJ9" t="s">
        <v>35</v>
      </c>
      <c r="BK9" s="2">
        <v>45957.763726851852</v>
      </c>
      <c r="BL9" t="s">
        <v>33</v>
      </c>
      <c r="BM9" t="s">
        <v>13</v>
      </c>
      <c r="BN9">
        <v>0</v>
      </c>
      <c r="BO9">
        <v>2.7349999999999999</v>
      </c>
      <c r="BP9" s="3">
        <v>4780460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45958.413402777776</v>
      </c>
      <c r="D10" t="s">
        <v>34</v>
      </c>
      <c r="E10" t="s">
        <v>13</v>
      </c>
      <c r="F10">
        <v>0</v>
      </c>
      <c r="G10">
        <v>6.08</v>
      </c>
      <c r="H10" s="3">
        <v>690676</v>
      </c>
      <c r="I10">
        <v>1.5589999999999999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45958.413402777776</v>
      </c>
      <c r="R10" t="s">
        <v>34</v>
      </c>
      <c r="S10" t="s">
        <v>13</v>
      </c>
      <c r="T10">
        <v>0</v>
      </c>
      <c r="U10">
        <v>6.0339999999999998</v>
      </c>
      <c r="V10" s="3">
        <v>5829</v>
      </c>
      <c r="W10">
        <v>1.532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45958.413402777776</v>
      </c>
      <c r="AF10" t="s">
        <v>34</v>
      </c>
      <c r="AG10" t="s">
        <v>13</v>
      </c>
      <c r="AH10">
        <v>0</v>
      </c>
      <c r="AI10">
        <v>12.404999999999999</v>
      </c>
      <c r="AJ10" s="3">
        <v>7590</v>
      </c>
      <c r="AK10">
        <v>1.5680000000000001</v>
      </c>
      <c r="AL10" t="s">
        <v>14</v>
      </c>
      <c r="AM10" t="s">
        <v>14</v>
      </c>
      <c r="AN10" t="s">
        <v>14</v>
      </c>
      <c r="AO10" t="s">
        <v>14</v>
      </c>
      <c r="AQ10">
        <v>2</v>
      </c>
      <c r="AR10" t="s">
        <v>56</v>
      </c>
      <c r="AS10" s="10">
        <v>46</v>
      </c>
      <c r="AT10" s="16">
        <f t="shared" si="0"/>
        <v>1591.0161110147592</v>
      </c>
      <c r="AU10" s="17">
        <f t="shared" si="1"/>
        <v>1591.4161705330002</v>
      </c>
      <c r="AW10" s="6">
        <f t="shared" si="2"/>
        <v>1580.8169830399529</v>
      </c>
      <c r="AX10" s="7">
        <f t="shared" si="3"/>
        <v>1463.682841288</v>
      </c>
      <c r="AZ10" s="11">
        <f t="shared" si="4"/>
        <v>1485.1386199322465</v>
      </c>
      <c r="BA10" s="12">
        <f t="shared" si="5"/>
        <v>1803.9649455900001</v>
      </c>
      <c r="BC10" s="13">
        <f t="shared" si="6"/>
        <v>1634.1610613107489</v>
      </c>
      <c r="BD10" s="14">
        <f t="shared" si="7"/>
        <v>1586.6050356199996</v>
      </c>
      <c r="BF10" s="16">
        <f t="shared" si="8"/>
        <v>1591.0161110147592</v>
      </c>
      <c r="BG10" s="17">
        <f t="shared" si="9"/>
        <v>1591.4161705330002</v>
      </c>
      <c r="BI10">
        <v>46</v>
      </c>
      <c r="BJ10" t="s">
        <v>36</v>
      </c>
      <c r="BK10" s="2">
        <v>45958.413402777776</v>
      </c>
      <c r="BL10" t="s">
        <v>34</v>
      </c>
      <c r="BM10" t="s">
        <v>13</v>
      </c>
      <c r="BN10">
        <v>0</v>
      </c>
      <c r="BO10">
        <v>2.7410000000000001</v>
      </c>
      <c r="BP10" s="3">
        <v>4809625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45958.434606481482</v>
      </c>
      <c r="D11" t="s">
        <v>28</v>
      </c>
      <c r="E11" t="s">
        <v>13</v>
      </c>
      <c r="F11">
        <v>0</v>
      </c>
      <c r="G11">
        <v>6.09</v>
      </c>
      <c r="H11" s="3">
        <v>2430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45958.434606481482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45958.434606481482</v>
      </c>
      <c r="AF11" t="s">
        <v>28</v>
      </c>
      <c r="AG11" t="s">
        <v>13</v>
      </c>
      <c r="AH11">
        <v>0</v>
      </c>
      <c r="AI11">
        <v>12.382999999999999</v>
      </c>
      <c r="AJ11" s="3">
        <v>1517</v>
      </c>
      <c r="AK11">
        <v>0.23599999999999999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5.242410315699999</v>
      </c>
      <c r="AU11" s="17">
        <f t="shared" si="1"/>
        <v>211.30797574876999</v>
      </c>
      <c r="AW11" s="6">
        <f t="shared" si="2"/>
        <v>1.0817889700000001</v>
      </c>
      <c r="AX11" s="7">
        <f t="shared" si="3"/>
        <v>209.80517110471999</v>
      </c>
      <c r="AZ11" s="11">
        <f t="shared" si="4"/>
        <v>4.3296960000000002</v>
      </c>
      <c r="BA11" s="12">
        <f t="shared" si="5"/>
        <v>347.37838208710002</v>
      </c>
      <c r="BC11" s="13">
        <f t="shared" si="6"/>
        <v>2.4871959859999997</v>
      </c>
      <c r="BD11" s="14">
        <f t="shared" si="7"/>
        <v>344.94738291779998</v>
      </c>
      <c r="BF11" s="16">
        <f t="shared" si="8"/>
        <v>5.242410315699999</v>
      </c>
      <c r="BG11" s="17">
        <f t="shared" si="9"/>
        <v>211.30797574876999</v>
      </c>
      <c r="BI11">
        <v>47</v>
      </c>
      <c r="BJ11" t="s">
        <v>37</v>
      </c>
      <c r="BK11" s="2">
        <v>45958.434606481482</v>
      </c>
      <c r="BL11" t="s">
        <v>28</v>
      </c>
      <c r="BM11" t="s">
        <v>13</v>
      </c>
      <c r="BN11">
        <v>0</v>
      </c>
      <c r="BO11">
        <v>2.7320000000000002</v>
      </c>
      <c r="BP11" s="3">
        <v>4919959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45958.455810185187</v>
      </c>
      <c r="D12">
        <v>27</v>
      </c>
      <c r="E12" t="s">
        <v>13</v>
      </c>
      <c r="F12">
        <v>0</v>
      </c>
      <c r="G12">
        <v>6.0670000000000002</v>
      </c>
      <c r="H12" s="3">
        <v>19519</v>
      </c>
      <c r="I12">
        <v>4.3999999999999997E-2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45958.455810185187</v>
      </c>
      <c r="R12">
        <v>27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45958.455810185187</v>
      </c>
      <c r="AF12">
        <v>27</v>
      </c>
      <c r="AG12" t="s">
        <v>13</v>
      </c>
      <c r="AH12">
        <v>0</v>
      </c>
      <c r="AI12">
        <v>12.304</v>
      </c>
      <c r="AJ12" s="3">
        <v>22825</v>
      </c>
      <c r="AK12">
        <v>4.9050000000000002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55.428757272057005</v>
      </c>
      <c r="AU12" s="17">
        <f t="shared" si="1"/>
        <v>5037.6879807312507</v>
      </c>
      <c r="AW12" s="6">
        <f t="shared" si="2"/>
        <v>43.329926955785055</v>
      </c>
      <c r="AX12" s="7">
        <f t="shared" si="3"/>
        <v>4600.9320744500001</v>
      </c>
      <c r="AZ12" s="11">
        <f t="shared" si="4"/>
        <v>48.375493623703001</v>
      </c>
      <c r="BA12" s="12">
        <f t="shared" si="5"/>
        <v>5309.9607369374999</v>
      </c>
      <c r="BC12" s="13">
        <f t="shared" si="6"/>
        <v>52.154550694943204</v>
      </c>
      <c r="BD12" s="14">
        <f t="shared" si="7"/>
        <v>4682.0703586250002</v>
      </c>
      <c r="BF12" s="16">
        <f t="shared" si="8"/>
        <v>55.428757272057005</v>
      </c>
      <c r="BG12" s="17">
        <f t="shared" si="9"/>
        <v>5037.6879807312507</v>
      </c>
      <c r="BI12">
        <v>48</v>
      </c>
      <c r="BJ12" t="s">
        <v>38</v>
      </c>
      <c r="BK12" s="2">
        <v>45958.455810185187</v>
      </c>
      <c r="BL12">
        <v>27</v>
      </c>
      <c r="BM12" t="s">
        <v>13</v>
      </c>
      <c r="BN12">
        <v>0</v>
      </c>
      <c r="BO12">
        <v>2.8759999999999999</v>
      </c>
      <c r="BP12" s="3">
        <v>990322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45958.496527777781</v>
      </c>
      <c r="D13">
        <v>326</v>
      </c>
      <c r="E13" t="s">
        <v>13</v>
      </c>
      <c r="F13">
        <v>0</v>
      </c>
      <c r="G13">
        <v>6.0839999999999996</v>
      </c>
      <c r="H13" s="3">
        <v>83754</v>
      </c>
      <c r="I13">
        <v>0.189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45958.496527777781</v>
      </c>
      <c r="R13">
        <v>326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45958.496527777781</v>
      </c>
      <c r="AF13">
        <v>326</v>
      </c>
      <c r="AG13" t="s">
        <v>13</v>
      </c>
      <c r="AH13">
        <v>0</v>
      </c>
      <c r="AI13">
        <v>12.348000000000001</v>
      </c>
      <c r="AJ13" s="3">
        <v>17366</v>
      </c>
      <c r="AK13">
        <v>3.71</v>
      </c>
      <c r="AL13" t="s">
        <v>14</v>
      </c>
      <c r="AM13" t="s">
        <v>14</v>
      </c>
      <c r="AN13" t="s">
        <v>14</v>
      </c>
      <c r="AO13" t="s">
        <v>14</v>
      </c>
      <c r="AQ13">
        <v>2</v>
      </c>
      <c r="AR13" t="s">
        <v>56</v>
      </c>
      <c r="AS13" s="10">
        <v>49</v>
      </c>
      <c r="AT13" s="16">
        <f t="shared" si="0"/>
        <v>225.962353348292</v>
      </c>
      <c r="AU13" s="17">
        <f t="shared" si="1"/>
        <v>3805.4397696990804</v>
      </c>
      <c r="AW13" s="6">
        <f t="shared" si="2"/>
        <v>193.61942544316133</v>
      </c>
      <c r="AX13" s="7">
        <f t="shared" si="3"/>
        <v>3478.1559305628803</v>
      </c>
      <c r="AZ13" s="11">
        <f t="shared" si="4"/>
        <v>233.38118882226803</v>
      </c>
      <c r="BA13" s="12">
        <f t="shared" si="5"/>
        <v>4078.0342942684006</v>
      </c>
      <c r="BC13" s="13">
        <f t="shared" si="6"/>
        <v>236.45599124937922</v>
      </c>
      <c r="BD13" s="14">
        <f t="shared" si="7"/>
        <v>3576.0956382311997</v>
      </c>
      <c r="BF13" s="16">
        <f t="shared" si="8"/>
        <v>225.962353348292</v>
      </c>
      <c r="BG13" s="17">
        <f t="shared" si="9"/>
        <v>3805.4397696990804</v>
      </c>
      <c r="BI13">
        <v>49</v>
      </c>
      <c r="BJ13" t="s">
        <v>39</v>
      </c>
      <c r="BK13" s="2">
        <v>45958.496527777781</v>
      </c>
      <c r="BL13">
        <v>326</v>
      </c>
      <c r="BM13" t="s">
        <v>13</v>
      </c>
      <c r="BN13">
        <v>0</v>
      </c>
      <c r="BO13">
        <v>2.85</v>
      </c>
      <c r="BP13" s="3">
        <v>1655017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45958.539189814815</v>
      </c>
      <c r="D14">
        <v>24</v>
      </c>
      <c r="E14" t="s">
        <v>13</v>
      </c>
      <c r="F14">
        <v>0</v>
      </c>
      <c r="G14">
        <v>6.0780000000000003</v>
      </c>
      <c r="H14" s="3">
        <v>44561</v>
      </c>
      <c r="I14">
        <v>0.10100000000000001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45958.539189814815</v>
      </c>
      <c r="R14">
        <v>24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45958.539189814815</v>
      </c>
      <c r="AF14">
        <v>24</v>
      </c>
      <c r="AG14" t="s">
        <v>13</v>
      </c>
      <c r="AH14">
        <v>0</v>
      </c>
      <c r="AI14">
        <v>12.367000000000001</v>
      </c>
      <c r="AJ14" s="3">
        <v>10756</v>
      </c>
      <c r="AK14">
        <v>2.262</v>
      </c>
      <c r="AL14" t="s">
        <v>14</v>
      </c>
      <c r="AM14" t="s">
        <v>14</v>
      </c>
      <c r="AN14" t="s">
        <v>14</v>
      </c>
      <c r="AO14" t="s">
        <v>14</v>
      </c>
      <c r="AQ14">
        <v>2</v>
      </c>
      <c r="AR14" t="s">
        <v>56</v>
      </c>
      <c r="AS14" s="10">
        <v>50</v>
      </c>
      <c r="AT14" s="16">
        <f t="shared" si="0"/>
        <v>122.169367444377</v>
      </c>
      <c r="AU14" s="17">
        <f t="shared" si="1"/>
        <v>2309.4642163284802</v>
      </c>
      <c r="AW14" s="6">
        <f t="shared" si="2"/>
        <v>101.99930111365066</v>
      </c>
      <c r="AX14" s="7">
        <f t="shared" si="3"/>
        <v>2116.6127520012801</v>
      </c>
      <c r="AZ14" s="11">
        <f t="shared" si="4"/>
        <v>122.04770134898301</v>
      </c>
      <c r="BA14" s="12">
        <f t="shared" si="5"/>
        <v>2549.9770904304</v>
      </c>
      <c r="BC14" s="13">
        <f t="shared" si="6"/>
        <v>124.28787383017522</v>
      </c>
      <c r="BD14" s="14">
        <f t="shared" si="7"/>
        <v>2232.1616461471999</v>
      </c>
      <c r="BF14" s="16">
        <f t="shared" si="8"/>
        <v>122.169367444377</v>
      </c>
      <c r="BG14" s="17">
        <f t="shared" si="9"/>
        <v>2309.4642163284802</v>
      </c>
      <c r="BI14">
        <v>50</v>
      </c>
      <c r="BJ14" t="s">
        <v>40</v>
      </c>
      <c r="BK14" s="2">
        <v>45958.539189814815</v>
      </c>
      <c r="BL14">
        <v>24</v>
      </c>
      <c r="BM14" t="s">
        <v>13</v>
      </c>
      <c r="BN14">
        <v>0</v>
      </c>
      <c r="BO14">
        <v>2.8380000000000001</v>
      </c>
      <c r="BP14" s="3">
        <v>1809253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45958.560393518521</v>
      </c>
      <c r="D15">
        <v>33</v>
      </c>
      <c r="E15" t="s">
        <v>13</v>
      </c>
      <c r="F15">
        <v>0</v>
      </c>
      <c r="G15">
        <v>6.0659999999999998</v>
      </c>
      <c r="H15" s="3">
        <v>27566</v>
      </c>
      <c r="I15">
        <v>6.3E-2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45958.560393518521</v>
      </c>
      <c r="R15">
        <v>33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45958.560393518521</v>
      </c>
      <c r="AF15">
        <v>33</v>
      </c>
      <c r="AG15" t="s">
        <v>13</v>
      </c>
      <c r="AH15">
        <v>0</v>
      </c>
      <c r="AI15">
        <v>12.303000000000001</v>
      </c>
      <c r="AJ15" s="3">
        <v>25186</v>
      </c>
      <c r="AK15">
        <v>5.4210000000000003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ref="AT15:AT29" si="10">IF(H15&lt;10000,((H15^2*0.000000008493)+(H15*0.003482)+(-3.269)),(IF(H15&lt;200000,((H15^2*-0.000000000263)+(H15*0.002682)+(3.179)),(IF(H15&lt;8000000,((H15^2*-0.000000000005099)+(H15*0.002054)+(174.8)),((V15^2*-0.00000001014)+(V15*0.2415)+(1123)))))))</f>
        <v>76.911162414372001</v>
      </c>
      <c r="AU15" s="17">
        <f t="shared" ref="AU15:AU29" si="11">IF(AJ15&lt;45000,((-0.00000004907*AJ15^2)+(0.2277*AJ15)+(-134)),((-0.00000001062*AJ15^2)+(0.2147*AJ15)+(590.6)))</f>
        <v>5569.7254013742804</v>
      </c>
      <c r="AW15" s="6">
        <f t="shared" ref="AW15:AW29" si="12">IF(H15&lt;10000,((0.0000001453*H15^2)+(0.0008349*H15)+(-1.805)),(IF(H15&lt;700000,((-0.00000000008054*H15^2)+(0.002348*H15)+(-2.47)), ((-0.00000001938*V15^2)+(0.2471*V15)+(226.8)))))</f>
        <v>62.19376691396775</v>
      </c>
      <c r="AX15" s="7">
        <f t="shared" ref="AX15:AX29" si="13">(-0.00000002552*AJ15^2)+(0.2067*AJ15)+(-103.7)</f>
        <v>5086.0579811100806</v>
      </c>
      <c r="AZ15" s="11">
        <f t="shared" ref="AZ15:AZ29" si="14">IF(H15&lt;10000,((H15^2*0.00000054)+(H15*-0.004765)+(12.72)),(IF(H15&lt;200000,((H15^2*-0.000000001577)+(H15*0.003043)+(-10.42)),(IF(H15&lt;8000000,((H15^2*-0.0000000000186)+(H15*0.00194)+(154.1)),((V15^2*-0.00000002)+(V15*0.2565)+(-1032)))))))</f>
        <v>72.265000370588012</v>
      </c>
      <c r="BA15" s="12">
        <f t="shared" ref="BA15:BA29" si="15">IF(AJ15&lt;45000,((-0.0000004561*AJ15^2)+(0.244*AJ15)+(-21.72)),((-0.0000000409*AJ15^2)+(0.2477*AJ15)+(-1777)))</f>
        <v>5834.3439907643997</v>
      </c>
      <c r="BC15" s="13">
        <f t="shared" ref="BC15:BC29" si="16">IF(H15&lt;10000,((H15^2*0.00000005714)+(H15*0.002453)+(-3.811)),(IF(H15&lt;200000,((H15^2*-0.0000000002888)+(H15*0.002899)+(-4.321)),(IF(H15&lt;8000000,((H15^2*-0.0000000000062)+(H15*0.002143)+(157)),((V15^2*-0.000000031)+(V15*0.2771)+(-709.5)))))))</f>
        <v>75.373379397987208</v>
      </c>
      <c r="BD15" s="14">
        <f t="shared" ref="BD15:BD29" si="17">IF(AJ15&lt;45000,((-0.0000000598*AJ15^2)+(0.205*AJ15)+(34.1)),((-0.00000002403*AJ15^2)+(0.2063*AJ15)+(-550.7)))</f>
        <v>5159.2967911592004</v>
      </c>
      <c r="BF15" s="16">
        <f t="shared" ref="BF15:BF29" si="18">IF(H15&lt;10000,((H15^2*0.000000008493)+(H15*0.003482)+(-3.269)),(IF(H15&lt;200000,((H15^2*-0.000000000263)+(H15*0.002682)+(3.179)),(IF(H15&lt;8000000,((H15^2*-0.000000000005099)+(H15*0.002054)+(174.8)),((V15^2*-0.00000001014)+(V15*0.2415)+(1123)))))))</f>
        <v>76.911162414372001</v>
      </c>
      <c r="BG15" s="17">
        <f t="shared" ref="BG15:BG29" si="19">IF(AJ15&lt;45000,((-0.00000004907*AJ15^2)+(0.2277*AJ15)+(-134)),((-0.00000001062*AJ15^2)+(0.2147*AJ15)+(590.6)))</f>
        <v>5569.7254013742804</v>
      </c>
      <c r="BI15">
        <v>51</v>
      </c>
      <c r="BJ15" t="s">
        <v>41</v>
      </c>
      <c r="BK15" s="2">
        <v>45958.560393518521</v>
      </c>
      <c r="BL15">
        <v>33</v>
      </c>
      <c r="BM15" t="s">
        <v>13</v>
      </c>
      <c r="BN15">
        <v>0</v>
      </c>
      <c r="BO15">
        <v>2.8759999999999999</v>
      </c>
      <c r="BP15" s="3">
        <v>982901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45958.581597222219</v>
      </c>
      <c r="D16">
        <v>191</v>
      </c>
      <c r="E16" t="s">
        <v>13</v>
      </c>
      <c r="F16">
        <v>0</v>
      </c>
      <c r="G16">
        <v>6.0679999999999996</v>
      </c>
      <c r="H16" s="3">
        <v>459117</v>
      </c>
      <c r="I16">
        <v>1.036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45958.581597222219</v>
      </c>
      <c r="R16">
        <v>191</v>
      </c>
      <c r="S16" t="s">
        <v>13</v>
      </c>
      <c r="T16">
        <v>0</v>
      </c>
      <c r="U16">
        <v>6.0190000000000001</v>
      </c>
      <c r="V16" s="3">
        <v>3799</v>
      </c>
      <c r="W16">
        <v>1.03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45958.581597222219</v>
      </c>
      <c r="AF16">
        <v>191</v>
      </c>
      <c r="AG16" t="s">
        <v>13</v>
      </c>
      <c r="AH16">
        <v>0</v>
      </c>
      <c r="AI16">
        <v>12.286</v>
      </c>
      <c r="AJ16" s="3">
        <v>47205</v>
      </c>
      <c r="AK16">
        <v>10.228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10"/>
        <v>1116.7515078480058</v>
      </c>
      <c r="AU16" s="17">
        <f t="shared" si="11"/>
        <v>10701.848826294501</v>
      </c>
      <c r="AW16" s="6">
        <f t="shared" si="12"/>
        <v>1058.5598166782477</v>
      </c>
      <c r="AX16" s="7">
        <f t="shared" si="13"/>
        <v>9596.7069771219994</v>
      </c>
      <c r="AZ16" s="11">
        <f t="shared" si="14"/>
        <v>1040.8663153937846</v>
      </c>
      <c r="BA16" s="12">
        <f t="shared" si="15"/>
        <v>9824.5405381774999</v>
      </c>
      <c r="BC16" s="13">
        <f t="shared" si="16"/>
        <v>1139.5808427979282</v>
      </c>
      <c r="BD16" s="14">
        <f t="shared" si="17"/>
        <v>9134.145162039249</v>
      </c>
      <c r="BF16" s="16">
        <f t="shared" si="18"/>
        <v>1116.7515078480058</v>
      </c>
      <c r="BG16" s="17">
        <f t="shared" si="19"/>
        <v>10701.848826294501</v>
      </c>
      <c r="BI16">
        <v>52</v>
      </c>
      <c r="BJ16" t="s">
        <v>42</v>
      </c>
      <c r="BK16" s="2">
        <v>45958.581597222219</v>
      </c>
      <c r="BL16">
        <v>191</v>
      </c>
      <c r="BM16" t="s">
        <v>13</v>
      </c>
      <c r="BN16">
        <v>0</v>
      </c>
      <c r="BO16">
        <v>2.8780000000000001</v>
      </c>
      <c r="BP16" s="3">
        <v>1047036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45958.602824074071</v>
      </c>
      <c r="D17">
        <v>304</v>
      </c>
      <c r="E17" t="s">
        <v>13</v>
      </c>
      <c r="F17">
        <v>0</v>
      </c>
      <c r="G17">
        <v>6.0750000000000002</v>
      </c>
      <c r="H17" s="3">
        <v>5210</v>
      </c>
      <c r="I17">
        <v>1.2E-2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45958.602824074071</v>
      </c>
      <c r="R17">
        <v>304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45958.602824074071</v>
      </c>
      <c r="AF17">
        <v>304</v>
      </c>
      <c r="AG17" t="s">
        <v>13</v>
      </c>
      <c r="AH17">
        <v>0</v>
      </c>
      <c r="AI17">
        <v>12.313000000000001</v>
      </c>
      <c r="AJ17" s="3">
        <v>17320</v>
      </c>
      <c r="AK17">
        <v>3.7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10"/>
        <v>15.102754841299999</v>
      </c>
      <c r="AU17" s="17">
        <f t="shared" si="11"/>
        <v>3795.043863632</v>
      </c>
      <c r="AW17" s="6">
        <f t="shared" si="12"/>
        <v>6.4888667299999998</v>
      </c>
      <c r="AX17" s="7">
        <f t="shared" si="13"/>
        <v>3468.688449152</v>
      </c>
      <c r="AZ17" s="11">
        <f t="shared" si="14"/>
        <v>2.5521640000000012</v>
      </c>
      <c r="BA17" s="12">
        <f t="shared" si="15"/>
        <v>4067.5380273599999</v>
      </c>
      <c r="BC17" s="13">
        <f t="shared" si="16"/>
        <v>10.520143874</v>
      </c>
      <c r="BD17" s="14">
        <f t="shared" si="17"/>
        <v>3566.7610524799998</v>
      </c>
      <c r="BF17" s="16">
        <f t="shared" si="18"/>
        <v>15.102754841299999</v>
      </c>
      <c r="BG17" s="17">
        <f t="shared" si="19"/>
        <v>3795.043863632</v>
      </c>
      <c r="BI17">
        <v>53</v>
      </c>
      <c r="BJ17" t="s">
        <v>43</v>
      </c>
      <c r="BK17" s="2">
        <v>45958.602824074071</v>
      </c>
      <c r="BL17">
        <v>304</v>
      </c>
      <c r="BM17" t="s">
        <v>13</v>
      </c>
      <c r="BN17">
        <v>0</v>
      </c>
      <c r="BO17">
        <v>2.863</v>
      </c>
      <c r="BP17" s="3">
        <v>1233535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45958.717650462961</v>
      </c>
      <c r="D18">
        <v>313</v>
      </c>
      <c r="E18" t="s">
        <v>13</v>
      </c>
      <c r="F18">
        <v>0</v>
      </c>
      <c r="G18">
        <v>6.0890000000000004</v>
      </c>
      <c r="H18" s="3">
        <v>22966</v>
      </c>
      <c r="I18">
        <v>5.1999999999999998E-2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45958.717650462961</v>
      </c>
      <c r="R18">
        <v>313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45958.717650462961</v>
      </c>
      <c r="AF18">
        <v>313</v>
      </c>
      <c r="AG18" t="s">
        <v>13</v>
      </c>
      <c r="AH18">
        <v>0</v>
      </c>
      <c r="AI18">
        <v>12.323</v>
      </c>
      <c r="AJ18" s="3">
        <v>15909</v>
      </c>
      <c r="AK18">
        <v>3.391</v>
      </c>
      <c r="AL18" t="s">
        <v>14</v>
      </c>
      <c r="AM18" t="s">
        <v>14</v>
      </c>
      <c r="AN18" t="s">
        <v>14</v>
      </c>
      <c r="AO18" t="s">
        <v>14</v>
      </c>
      <c r="AQ18">
        <v>2</v>
      </c>
      <c r="AR18" t="s">
        <v>56</v>
      </c>
      <c r="AS18" s="10">
        <v>54</v>
      </c>
      <c r="AT18" s="16">
        <f t="shared" si="10"/>
        <v>64.635096027971997</v>
      </c>
      <c r="AU18" s="17">
        <f t="shared" si="11"/>
        <v>3476.0598654913306</v>
      </c>
      <c r="AW18" s="6">
        <f t="shared" si="12"/>
        <v>51.411688211455754</v>
      </c>
      <c r="AX18" s="7">
        <f t="shared" si="13"/>
        <v>3178.2312829088801</v>
      </c>
      <c r="AZ18" s="11">
        <f t="shared" si="14"/>
        <v>58.63376960498799</v>
      </c>
      <c r="BA18" s="12">
        <f t="shared" si="15"/>
        <v>3744.6387862359002</v>
      </c>
      <c r="BC18" s="13">
        <f t="shared" si="16"/>
        <v>62.105110149347198</v>
      </c>
      <c r="BD18" s="14">
        <f t="shared" si="17"/>
        <v>3280.3098423961997</v>
      </c>
      <c r="BF18" s="16">
        <f t="shared" si="18"/>
        <v>64.635096027971997</v>
      </c>
      <c r="BG18" s="17">
        <f t="shared" si="19"/>
        <v>3476.0598654913306</v>
      </c>
      <c r="BI18">
        <v>54</v>
      </c>
      <c r="BJ18" t="s">
        <v>44</v>
      </c>
      <c r="BK18" s="2">
        <v>45958.717650462961</v>
      </c>
      <c r="BL18">
        <v>313</v>
      </c>
      <c r="BM18" t="s">
        <v>13</v>
      </c>
      <c r="BN18">
        <v>0</v>
      </c>
      <c r="BO18">
        <v>2.8479999999999999</v>
      </c>
      <c r="BP18" s="3">
        <v>1772196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45958.738854166666</v>
      </c>
      <c r="D19">
        <v>216</v>
      </c>
      <c r="E19" t="s">
        <v>13</v>
      </c>
      <c r="F19">
        <v>0</v>
      </c>
      <c r="G19">
        <v>6.0629999999999997</v>
      </c>
      <c r="H19" s="3">
        <v>119407</v>
      </c>
      <c r="I19">
        <v>0.27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45958.738854166666</v>
      </c>
      <c r="R19">
        <v>216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45958.738854166666</v>
      </c>
      <c r="AF19">
        <v>216</v>
      </c>
      <c r="AG19" t="s">
        <v>13</v>
      </c>
      <c r="AH19">
        <v>0</v>
      </c>
      <c r="AI19">
        <v>12.31</v>
      </c>
      <c r="AJ19" s="3">
        <v>18335</v>
      </c>
      <c r="AK19">
        <v>3.9220000000000002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6">
        <f t="shared" si="10"/>
        <v>319.67871167631296</v>
      </c>
      <c r="AU19" s="17">
        <f t="shared" si="11"/>
        <v>4024.3835289192502</v>
      </c>
      <c r="AW19" s="6">
        <f t="shared" si="12"/>
        <v>276.74929413098954</v>
      </c>
      <c r="AX19" s="7">
        <f t="shared" si="13"/>
        <v>3677.565384818</v>
      </c>
      <c r="AZ19" s="11">
        <f t="shared" si="14"/>
        <v>330.45058508952701</v>
      </c>
      <c r="BA19" s="12">
        <f t="shared" si="15"/>
        <v>4298.6918481774992</v>
      </c>
      <c r="BC19" s="13">
        <f t="shared" si="16"/>
        <v>337.72217345976878</v>
      </c>
      <c r="BD19" s="14">
        <f t="shared" si="17"/>
        <v>3772.6719009449998</v>
      </c>
      <c r="BF19" s="16">
        <f t="shared" si="18"/>
        <v>319.67871167631296</v>
      </c>
      <c r="BG19" s="17">
        <f t="shared" si="19"/>
        <v>4024.3835289192502</v>
      </c>
      <c r="BI19">
        <v>55</v>
      </c>
      <c r="BJ19" t="s">
        <v>45</v>
      </c>
      <c r="BK19" s="2">
        <v>45958.738854166666</v>
      </c>
      <c r="BL19">
        <v>216</v>
      </c>
      <c r="BM19" t="s">
        <v>13</v>
      </c>
      <c r="BN19">
        <v>0</v>
      </c>
      <c r="BO19">
        <v>2.8740000000000001</v>
      </c>
      <c r="BP19" s="3">
        <v>1025800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45958.760023148148</v>
      </c>
      <c r="D20">
        <v>358</v>
      </c>
      <c r="E20" t="s">
        <v>13</v>
      </c>
      <c r="F20">
        <v>0</v>
      </c>
      <c r="G20">
        <v>6.0780000000000003</v>
      </c>
      <c r="H20" s="3">
        <v>6495</v>
      </c>
      <c r="I20">
        <v>1.4999999999999999E-2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45958.760023148148</v>
      </c>
      <c r="R20">
        <v>358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45958.760023148148</v>
      </c>
      <c r="AF20">
        <v>358</v>
      </c>
      <c r="AG20" t="s">
        <v>13</v>
      </c>
      <c r="AH20">
        <v>0</v>
      </c>
      <c r="AI20">
        <v>12.319000000000001</v>
      </c>
      <c r="AJ20" s="3">
        <v>11578</v>
      </c>
      <c r="AK20">
        <v>2.4420000000000002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6">
        <f t="shared" si="10"/>
        <v>19.704867417324998</v>
      </c>
      <c r="AU20" s="17">
        <f t="shared" si="11"/>
        <v>2495.7327623781202</v>
      </c>
      <c r="AW20" s="6">
        <f t="shared" si="12"/>
        <v>9.7471596325000007</v>
      </c>
      <c r="AX20" s="7">
        <f t="shared" si="13"/>
        <v>2286.0516418563202</v>
      </c>
      <c r="AZ20" s="11">
        <f t="shared" si="14"/>
        <v>4.5512384999999984</v>
      </c>
      <c r="BA20" s="12">
        <f t="shared" si="15"/>
        <v>2742.1717566876005</v>
      </c>
      <c r="BC20" s="13">
        <f t="shared" si="16"/>
        <v>14.531687328499999</v>
      </c>
      <c r="BD20" s="14">
        <f t="shared" si="17"/>
        <v>2399.5738049767997</v>
      </c>
      <c r="BF20" s="16">
        <f t="shared" si="18"/>
        <v>19.704867417324998</v>
      </c>
      <c r="BG20" s="17">
        <f t="shared" si="19"/>
        <v>2495.7327623781202</v>
      </c>
      <c r="BI20">
        <v>56</v>
      </c>
      <c r="BJ20" t="s">
        <v>46</v>
      </c>
      <c r="BK20" s="2">
        <v>45958.760023148148</v>
      </c>
      <c r="BL20">
        <v>358</v>
      </c>
      <c r="BM20" t="s">
        <v>13</v>
      </c>
      <c r="BN20">
        <v>0</v>
      </c>
      <c r="BO20">
        <v>2.8719999999999999</v>
      </c>
      <c r="BP20" s="3">
        <v>1058650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45959.42664351852</v>
      </c>
      <c r="D21">
        <v>359</v>
      </c>
      <c r="E21" t="s">
        <v>13</v>
      </c>
      <c r="F21">
        <v>0</v>
      </c>
      <c r="G21">
        <v>6.0890000000000004</v>
      </c>
      <c r="H21" s="3">
        <v>9580</v>
      </c>
      <c r="I21">
        <v>2.1999999999999999E-2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45959.42664351852</v>
      </c>
      <c r="R21">
        <v>359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45959.42664351852</v>
      </c>
      <c r="AF21">
        <v>359</v>
      </c>
      <c r="AG21" t="s">
        <v>13</v>
      </c>
      <c r="AH21">
        <v>0</v>
      </c>
      <c r="AI21">
        <v>12.351000000000001</v>
      </c>
      <c r="AJ21" s="3">
        <v>20420</v>
      </c>
      <c r="AK21">
        <v>4.3780000000000001</v>
      </c>
      <c r="AL21" t="s">
        <v>14</v>
      </c>
      <c r="AM21" t="s">
        <v>14</v>
      </c>
      <c r="AN21" t="s">
        <v>14</v>
      </c>
      <c r="AO21" t="s">
        <v>14</v>
      </c>
      <c r="AQ21">
        <v>2</v>
      </c>
      <c r="AR21" t="s">
        <v>56</v>
      </c>
      <c r="AS21" s="10">
        <v>57</v>
      </c>
      <c r="AT21" s="16">
        <f t="shared" si="10"/>
        <v>30.868016965199999</v>
      </c>
      <c r="AU21" s="17">
        <f t="shared" si="11"/>
        <v>4495.1729680520002</v>
      </c>
      <c r="AW21" s="6">
        <f t="shared" si="12"/>
        <v>19.528452920000003</v>
      </c>
      <c r="AX21" s="7">
        <f t="shared" si="13"/>
        <v>4106.4727622720002</v>
      </c>
      <c r="AZ21" s="11">
        <f t="shared" si="14"/>
        <v>16.630556000000006</v>
      </c>
      <c r="BA21" s="12">
        <f t="shared" si="15"/>
        <v>4770.5770639599996</v>
      </c>
      <c r="BC21" s="13">
        <f t="shared" si="16"/>
        <v>24.932843496</v>
      </c>
      <c r="BD21" s="14">
        <f t="shared" si="17"/>
        <v>4195.2648112799998</v>
      </c>
      <c r="BF21" s="16">
        <f t="shared" si="18"/>
        <v>30.868016965199999</v>
      </c>
      <c r="BG21" s="17">
        <f t="shared" si="19"/>
        <v>4495.1729680520002</v>
      </c>
      <c r="BI21">
        <v>57</v>
      </c>
      <c r="BJ21" t="s">
        <v>47</v>
      </c>
      <c r="BK21" s="2">
        <v>45959.42664351852</v>
      </c>
      <c r="BL21">
        <v>359</v>
      </c>
      <c r="BM21" t="s">
        <v>13</v>
      </c>
      <c r="BN21">
        <v>0</v>
      </c>
      <c r="BO21">
        <v>2.85</v>
      </c>
      <c r="BP21" s="3">
        <v>1668123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45959.447858796295</v>
      </c>
      <c r="D22">
        <v>280</v>
      </c>
      <c r="E22" t="s">
        <v>13</v>
      </c>
      <c r="F22">
        <v>0</v>
      </c>
      <c r="G22">
        <v>6.0640000000000001</v>
      </c>
      <c r="H22" s="3">
        <v>159848</v>
      </c>
      <c r="I22">
        <v>0.36099999999999999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45959.447858796295</v>
      </c>
      <c r="R22">
        <v>280</v>
      </c>
      <c r="S22" t="s">
        <v>13</v>
      </c>
      <c r="T22">
        <v>0</v>
      </c>
      <c r="U22">
        <v>6.0039999999999996</v>
      </c>
      <c r="V22" s="3">
        <v>1161</v>
      </c>
      <c r="W22">
        <v>0.378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45959.447858796295</v>
      </c>
      <c r="AF22">
        <v>280</v>
      </c>
      <c r="AG22" t="s">
        <v>13</v>
      </c>
      <c r="AH22">
        <v>0</v>
      </c>
      <c r="AI22">
        <v>12.244</v>
      </c>
      <c r="AJ22" s="3">
        <v>78492</v>
      </c>
      <c r="AK22">
        <v>17.032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10"/>
        <v>425.17132224364798</v>
      </c>
      <c r="AU22" s="17">
        <f t="shared" si="11"/>
        <v>17377.402643040321</v>
      </c>
      <c r="AW22" s="6">
        <f t="shared" si="12"/>
        <v>370.79519560480384</v>
      </c>
      <c r="AX22" s="7">
        <f t="shared" si="13"/>
        <v>15963.367831486719</v>
      </c>
      <c r="AZ22" s="11">
        <f t="shared" si="14"/>
        <v>435.70293284499195</v>
      </c>
      <c r="BA22" s="12">
        <f t="shared" si="15"/>
        <v>17413.483742782402</v>
      </c>
      <c r="BC22" s="13">
        <f t="shared" si="16"/>
        <v>451.69911255956481</v>
      </c>
      <c r="BD22" s="14">
        <f t="shared" si="17"/>
        <v>15494.150912642081</v>
      </c>
      <c r="BF22" s="16">
        <f t="shared" si="18"/>
        <v>425.17132224364798</v>
      </c>
      <c r="BG22" s="17">
        <f t="shared" si="19"/>
        <v>17377.402643040321</v>
      </c>
      <c r="BI22">
        <v>58</v>
      </c>
      <c r="BJ22" t="s">
        <v>48</v>
      </c>
      <c r="BK22" s="2">
        <v>45959.447858796295</v>
      </c>
      <c r="BL22">
        <v>280</v>
      </c>
      <c r="BM22" t="s">
        <v>13</v>
      </c>
      <c r="BN22">
        <v>0</v>
      </c>
      <c r="BO22">
        <v>2.87</v>
      </c>
      <c r="BP22" s="3">
        <v>1064790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45959.469085648147</v>
      </c>
      <c r="D23">
        <v>407</v>
      </c>
      <c r="E23" t="s">
        <v>13</v>
      </c>
      <c r="F23">
        <v>0</v>
      </c>
      <c r="G23">
        <v>6.0810000000000004</v>
      </c>
      <c r="H23" s="3">
        <v>3109</v>
      </c>
      <c r="I23">
        <v>7.0000000000000001E-3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45959.469085648147</v>
      </c>
      <c r="R23">
        <v>407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45959.469085648147</v>
      </c>
      <c r="AF23">
        <v>407</v>
      </c>
      <c r="AG23" t="s">
        <v>13</v>
      </c>
      <c r="AH23">
        <v>0</v>
      </c>
      <c r="AI23">
        <v>12.311</v>
      </c>
      <c r="AJ23" s="3">
        <v>22753</v>
      </c>
      <c r="AK23">
        <v>4.8890000000000002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10"/>
        <v>7.638630327332999</v>
      </c>
      <c r="AU23" s="17">
        <f t="shared" si="11"/>
        <v>5021.4546096283702</v>
      </c>
      <c r="AW23" s="6">
        <f t="shared" si="12"/>
        <v>2.1951566093000006</v>
      </c>
      <c r="AX23" s="7">
        <f t="shared" si="13"/>
        <v>4586.1334212903203</v>
      </c>
      <c r="AZ23" s="11">
        <f t="shared" si="14"/>
        <v>3.1251907400000007</v>
      </c>
      <c r="BA23" s="12">
        <f t="shared" si="15"/>
        <v>5293.8894819951001</v>
      </c>
      <c r="BC23" s="13">
        <f t="shared" si="16"/>
        <v>4.3676854403400007</v>
      </c>
      <c r="BD23" s="14">
        <f t="shared" si="17"/>
        <v>4667.5065992618001</v>
      </c>
      <c r="BF23" s="16">
        <f t="shared" si="18"/>
        <v>7.638630327332999</v>
      </c>
      <c r="BG23" s="17">
        <f t="shared" si="19"/>
        <v>5021.4546096283702</v>
      </c>
      <c r="BI23">
        <v>59</v>
      </c>
      <c r="BJ23" t="s">
        <v>49</v>
      </c>
      <c r="BK23" s="2">
        <v>45959.469085648147</v>
      </c>
      <c r="BL23">
        <v>407</v>
      </c>
      <c r="BM23" t="s">
        <v>13</v>
      </c>
      <c r="BN23">
        <v>0</v>
      </c>
      <c r="BO23">
        <v>2.879</v>
      </c>
      <c r="BP23" s="3">
        <v>932750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45959.490300925929</v>
      </c>
      <c r="D24">
        <v>314</v>
      </c>
      <c r="E24" t="s">
        <v>13</v>
      </c>
      <c r="F24">
        <v>0</v>
      </c>
      <c r="G24">
        <v>6.08</v>
      </c>
      <c r="H24" s="3">
        <v>4907</v>
      </c>
      <c r="I24">
        <v>1.0999999999999999E-2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45959.490300925929</v>
      </c>
      <c r="R24">
        <v>314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45959.490300925929</v>
      </c>
      <c r="AF24">
        <v>314</v>
      </c>
      <c r="AG24" t="s">
        <v>13</v>
      </c>
      <c r="AH24">
        <v>0</v>
      </c>
      <c r="AI24">
        <v>12.305</v>
      </c>
      <c r="AJ24" s="3">
        <v>24124</v>
      </c>
      <c r="AK24">
        <v>5.1890000000000001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6">
        <f t="shared" si="10"/>
        <v>14.021673965957001</v>
      </c>
      <c r="AU24" s="17">
        <f t="shared" si="11"/>
        <v>5330.4776608596803</v>
      </c>
      <c r="AW24" s="6">
        <f t="shared" si="12"/>
        <v>5.7904819996999999</v>
      </c>
      <c r="AX24" s="7">
        <f t="shared" si="13"/>
        <v>4867.8789925644805</v>
      </c>
      <c r="AZ24" s="11">
        <f t="shared" si="14"/>
        <v>2.3406154599999986</v>
      </c>
      <c r="BA24" s="12">
        <f t="shared" si="15"/>
        <v>5599.1006798064</v>
      </c>
      <c r="BC24" s="13">
        <f t="shared" si="16"/>
        <v>9.6017250038600004</v>
      </c>
      <c r="BD24" s="14">
        <f t="shared" si="17"/>
        <v>4944.7183509152001</v>
      </c>
      <c r="BF24" s="16">
        <f t="shared" si="18"/>
        <v>14.021673965957001</v>
      </c>
      <c r="BG24" s="17">
        <f t="shared" si="19"/>
        <v>5330.4776608596803</v>
      </c>
      <c r="BI24">
        <v>60</v>
      </c>
      <c r="BJ24" t="s">
        <v>50</v>
      </c>
      <c r="BK24" s="2">
        <v>45959.490300925929</v>
      </c>
      <c r="BL24">
        <v>314</v>
      </c>
      <c r="BM24" t="s">
        <v>13</v>
      </c>
      <c r="BN24">
        <v>0</v>
      </c>
      <c r="BO24">
        <v>2.879</v>
      </c>
      <c r="BP24" s="3">
        <v>933171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45959.51153935185</v>
      </c>
      <c r="D25">
        <v>184</v>
      </c>
      <c r="E25" t="s">
        <v>13</v>
      </c>
      <c r="F25">
        <v>0</v>
      </c>
      <c r="G25">
        <v>6.0839999999999996</v>
      </c>
      <c r="H25" s="3">
        <v>3006</v>
      </c>
      <c r="I25">
        <v>7.0000000000000001E-3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45959.51153935185</v>
      </c>
      <c r="R25">
        <v>184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45959.51153935185</v>
      </c>
      <c r="AF25">
        <v>184</v>
      </c>
      <c r="AG25" t="s">
        <v>13</v>
      </c>
      <c r="AH25">
        <v>0</v>
      </c>
      <c r="AI25">
        <v>12.327999999999999</v>
      </c>
      <c r="AJ25" s="3">
        <v>9100</v>
      </c>
      <c r="AK25">
        <v>1.899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10">
        <v>61</v>
      </c>
      <c r="AT25" s="16">
        <f t="shared" si="10"/>
        <v>7.2746350537479998</v>
      </c>
      <c r="AU25" s="17">
        <f t="shared" si="11"/>
        <v>1934.0065133000003</v>
      </c>
      <c r="AW25" s="6">
        <f t="shared" si="12"/>
        <v>2.0176454308</v>
      </c>
      <c r="AX25" s="7">
        <f t="shared" si="13"/>
        <v>1775.1566888</v>
      </c>
      <c r="AZ25" s="11">
        <f t="shared" si="14"/>
        <v>3.2758694399999992</v>
      </c>
      <c r="BA25" s="12">
        <f t="shared" si="15"/>
        <v>2160.9103590000004</v>
      </c>
      <c r="BC25" s="13">
        <f t="shared" si="16"/>
        <v>4.0790370970399996</v>
      </c>
      <c r="BD25" s="14">
        <f t="shared" si="17"/>
        <v>1894.647962</v>
      </c>
      <c r="BF25" s="16">
        <f t="shared" si="18"/>
        <v>7.2746350537479998</v>
      </c>
      <c r="BG25" s="17">
        <f t="shared" si="19"/>
        <v>1934.0065133000003</v>
      </c>
      <c r="BI25">
        <v>61</v>
      </c>
      <c r="BJ25" t="s">
        <v>51</v>
      </c>
      <c r="BK25" s="2">
        <v>45959.51153935185</v>
      </c>
      <c r="BL25">
        <v>184</v>
      </c>
      <c r="BM25" t="s">
        <v>13</v>
      </c>
      <c r="BN25">
        <v>0</v>
      </c>
      <c r="BO25">
        <v>2.8740000000000001</v>
      </c>
      <c r="BP25" s="3">
        <v>1032628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45959.532754629632</v>
      </c>
      <c r="D26">
        <v>279</v>
      </c>
      <c r="E26" t="s">
        <v>13</v>
      </c>
      <c r="F26">
        <v>0</v>
      </c>
      <c r="G26">
        <v>6.0830000000000002</v>
      </c>
      <c r="H26" s="3">
        <v>3302</v>
      </c>
      <c r="I26">
        <v>8.0000000000000002E-3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45959.532754629632</v>
      </c>
      <c r="R26">
        <v>279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45959.532754629632</v>
      </c>
      <c r="AF26">
        <v>279</v>
      </c>
      <c r="AG26" t="s">
        <v>13</v>
      </c>
      <c r="AH26">
        <v>0</v>
      </c>
      <c r="AI26">
        <v>12.305999999999999</v>
      </c>
      <c r="AJ26" s="3">
        <v>24514</v>
      </c>
      <c r="AK26">
        <v>5.274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10">
        <v>62</v>
      </c>
      <c r="AT26" s="16">
        <f t="shared" si="10"/>
        <v>8.3211649115719979</v>
      </c>
      <c r="AU26" s="17">
        <f t="shared" si="11"/>
        <v>5418.3498608622804</v>
      </c>
      <c r="AW26" s="6">
        <f t="shared" si="12"/>
        <v>2.5360753412000001</v>
      </c>
      <c r="AX26" s="7">
        <f t="shared" si="13"/>
        <v>4948.0079082780794</v>
      </c>
      <c r="AZ26" s="11">
        <f t="shared" si="14"/>
        <v>2.8737001600000003</v>
      </c>
      <c r="BA26" s="12">
        <f t="shared" si="15"/>
        <v>5685.6090010043999</v>
      </c>
      <c r="BC26" s="13">
        <f t="shared" si="16"/>
        <v>4.9118150765599999</v>
      </c>
      <c r="BD26" s="14">
        <f t="shared" si="17"/>
        <v>5023.5340154792002</v>
      </c>
      <c r="BF26" s="16">
        <f t="shared" si="18"/>
        <v>8.3211649115719979</v>
      </c>
      <c r="BG26" s="17">
        <f t="shared" si="19"/>
        <v>5418.3498608622804</v>
      </c>
      <c r="BI26">
        <v>62</v>
      </c>
      <c r="BJ26" t="s">
        <v>52</v>
      </c>
      <c r="BK26" s="2">
        <v>45959.532754629632</v>
      </c>
      <c r="BL26">
        <v>279</v>
      </c>
      <c r="BM26" t="s">
        <v>13</v>
      </c>
      <c r="BN26">
        <v>0</v>
      </c>
      <c r="BO26">
        <v>2.879</v>
      </c>
      <c r="BP26" s="3">
        <v>923998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45959.55395833333</v>
      </c>
      <c r="D27">
        <v>154</v>
      </c>
      <c r="E27" t="s">
        <v>13</v>
      </c>
      <c r="F27">
        <v>0</v>
      </c>
      <c r="G27">
        <v>6.0919999999999996</v>
      </c>
      <c r="H27" s="3">
        <v>2961</v>
      </c>
      <c r="I27">
        <v>7.0000000000000001E-3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45959.55395833333</v>
      </c>
      <c r="R27">
        <v>154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45959.55395833333</v>
      </c>
      <c r="AF27">
        <v>154</v>
      </c>
      <c r="AG27" t="s">
        <v>13</v>
      </c>
      <c r="AH27">
        <v>0</v>
      </c>
      <c r="AI27">
        <v>12.329000000000001</v>
      </c>
      <c r="AJ27" s="3">
        <v>8553</v>
      </c>
      <c r="AK27">
        <v>1.7789999999999999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10">
        <v>63</v>
      </c>
      <c r="AT27" s="16">
        <f t="shared" si="10"/>
        <v>7.1156645558529998</v>
      </c>
      <c r="AU27" s="17">
        <f t="shared" si="11"/>
        <v>1809.9284425923699</v>
      </c>
      <c r="AW27" s="6">
        <f t="shared" si="12"/>
        <v>1.9410597013000002</v>
      </c>
      <c r="AX27" s="7">
        <f t="shared" si="13"/>
        <v>1662.3382147943198</v>
      </c>
      <c r="AZ27" s="11">
        <f t="shared" si="14"/>
        <v>3.3452963399999991</v>
      </c>
      <c r="BA27" s="12">
        <f t="shared" si="15"/>
        <v>2031.8465477150996</v>
      </c>
      <c r="BC27" s="13">
        <f t="shared" si="16"/>
        <v>3.953309149939999</v>
      </c>
      <c r="BD27" s="14">
        <f t="shared" si="17"/>
        <v>1783.0904022217999</v>
      </c>
      <c r="BF27" s="16">
        <f t="shared" si="18"/>
        <v>7.1156645558529998</v>
      </c>
      <c r="BG27" s="17">
        <f t="shared" si="19"/>
        <v>1809.9284425923699</v>
      </c>
      <c r="BI27">
        <v>63</v>
      </c>
      <c r="BJ27" t="s">
        <v>53</v>
      </c>
      <c r="BK27" s="2">
        <v>45959.55395833333</v>
      </c>
      <c r="BL27">
        <v>154</v>
      </c>
      <c r="BM27" t="s">
        <v>13</v>
      </c>
      <c r="BN27">
        <v>0</v>
      </c>
      <c r="BO27">
        <v>2.8730000000000002</v>
      </c>
      <c r="BP27" s="3">
        <v>1072391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45959.575185185182</v>
      </c>
      <c r="D28">
        <v>261</v>
      </c>
      <c r="E28" t="s">
        <v>13</v>
      </c>
      <c r="F28">
        <v>0</v>
      </c>
      <c r="G28">
        <v>6.0830000000000002</v>
      </c>
      <c r="H28" s="3">
        <v>3562</v>
      </c>
      <c r="I28">
        <v>8.0000000000000002E-3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45959.575185185182</v>
      </c>
      <c r="R28">
        <v>261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45959.575185185182</v>
      </c>
      <c r="AF28">
        <v>261</v>
      </c>
      <c r="AG28" t="s">
        <v>13</v>
      </c>
      <c r="AH28">
        <v>0</v>
      </c>
      <c r="AI28">
        <v>12.307</v>
      </c>
      <c r="AJ28" s="3">
        <v>22305</v>
      </c>
      <c r="AK28">
        <v>4.7910000000000004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10">
        <v>64</v>
      </c>
      <c r="AT28" s="16">
        <f t="shared" si="10"/>
        <v>9.2416418590920006</v>
      </c>
      <c r="AU28" s="17">
        <f t="shared" si="11"/>
        <v>4920.4355358632502</v>
      </c>
      <c r="AW28" s="6">
        <f t="shared" si="12"/>
        <v>3.012457533200001</v>
      </c>
      <c r="AX28" s="7">
        <f t="shared" si="13"/>
        <v>4494.0469676020002</v>
      </c>
      <c r="AZ28" s="11">
        <f t="shared" si="14"/>
        <v>2.5985057600000001</v>
      </c>
      <c r="BA28" s="12">
        <f t="shared" si="15"/>
        <v>5193.7843092974999</v>
      </c>
      <c r="BC28" s="13">
        <f t="shared" si="16"/>
        <v>5.6515694061600001</v>
      </c>
      <c r="BD28" s="14">
        <f t="shared" si="17"/>
        <v>4576.8737211050002</v>
      </c>
      <c r="BF28" s="16">
        <f t="shared" si="18"/>
        <v>9.2416418590920006</v>
      </c>
      <c r="BG28" s="17">
        <f t="shared" si="19"/>
        <v>4920.4355358632502</v>
      </c>
      <c r="BI28">
        <v>64</v>
      </c>
      <c r="BJ28" t="s">
        <v>54</v>
      </c>
      <c r="BK28" s="2">
        <v>45959.575185185182</v>
      </c>
      <c r="BL28">
        <v>261</v>
      </c>
      <c r="BM28" t="s">
        <v>13</v>
      </c>
      <c r="BN28">
        <v>0</v>
      </c>
      <c r="BO28">
        <v>2.8730000000000002</v>
      </c>
      <c r="BP28" s="3">
        <v>1021540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45959.59642361111</v>
      </c>
      <c r="D29">
        <v>312</v>
      </c>
      <c r="E29" t="s">
        <v>13</v>
      </c>
      <c r="F29">
        <v>0</v>
      </c>
      <c r="G29">
        <v>6.0650000000000004</v>
      </c>
      <c r="H29" s="3">
        <v>64348</v>
      </c>
      <c r="I29">
        <v>0.14499999999999999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45959.59642361111</v>
      </c>
      <c r="R29">
        <v>312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45959.59642361111</v>
      </c>
      <c r="AF29">
        <v>312</v>
      </c>
      <c r="AG29" t="s">
        <v>13</v>
      </c>
      <c r="AH29">
        <v>0</v>
      </c>
      <c r="AI29">
        <v>12.246</v>
      </c>
      <c r="AJ29" s="3">
        <v>83818</v>
      </c>
      <c r="AK29" s="15">
        <v>18.187000000000001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10">
        <v>65</v>
      </c>
      <c r="AT29" s="16">
        <f t="shared" si="10"/>
        <v>174.67134107764801</v>
      </c>
      <c r="AU29" s="17">
        <f t="shared" si="11"/>
        <v>18511.714245343119</v>
      </c>
      <c r="AW29" s="6">
        <f t="shared" si="12"/>
        <v>148.28561483252383</v>
      </c>
      <c r="AX29" s="7">
        <f t="shared" si="13"/>
        <v>17042.190934195518</v>
      </c>
      <c r="AZ29" s="11">
        <f t="shared" si="14"/>
        <v>178.86113513099204</v>
      </c>
      <c r="BA29" s="12">
        <f t="shared" si="15"/>
        <v>18697.377403628401</v>
      </c>
      <c r="BC29" s="13">
        <f t="shared" si="16"/>
        <v>181.02802791796483</v>
      </c>
      <c r="BD29" s="14">
        <f t="shared" si="17"/>
        <v>16572.131665310277</v>
      </c>
      <c r="BF29" s="16">
        <f t="shared" si="18"/>
        <v>174.67134107764801</v>
      </c>
      <c r="BG29" s="17">
        <f t="shared" si="19"/>
        <v>18511.714245343119</v>
      </c>
      <c r="BI29">
        <v>65</v>
      </c>
      <c r="BJ29" t="s">
        <v>55</v>
      </c>
      <c r="BK29" s="2">
        <v>45959.59642361111</v>
      </c>
      <c r="BL29">
        <v>312</v>
      </c>
      <c r="BM29" t="s">
        <v>13</v>
      </c>
      <c r="BN29">
        <v>0</v>
      </c>
      <c r="BO29">
        <v>2.871</v>
      </c>
      <c r="BP29" s="3">
        <v>1062787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C30" s="2"/>
      <c r="H30" s="3"/>
      <c r="Q30" s="2"/>
      <c r="AE30" s="2"/>
      <c r="AJ30" s="3"/>
      <c r="AS30" s="10"/>
      <c r="AT30" s="16"/>
      <c r="AU30" s="17"/>
      <c r="AW30" s="6"/>
      <c r="AX30" s="7"/>
      <c r="AZ30" s="11"/>
      <c r="BA30" s="12"/>
      <c r="BC30" s="13"/>
      <c r="BD30" s="14"/>
      <c r="BF30" s="16"/>
      <c r="BG30" s="17"/>
      <c r="BK30" s="2"/>
      <c r="BP30" s="3"/>
    </row>
    <row r="31" spans="1:73" x14ac:dyDescent="0.35">
      <c r="C31" s="2"/>
      <c r="H31" s="3"/>
      <c r="Q31" s="2"/>
      <c r="AE31" s="2"/>
      <c r="AJ31" s="3"/>
      <c r="AS31" s="10"/>
      <c r="AT31" s="16"/>
      <c r="AU31" s="17"/>
      <c r="AW31" s="6"/>
      <c r="AX31" s="7"/>
      <c r="AZ31" s="11"/>
      <c r="BA31" s="12"/>
      <c r="BC31" s="13"/>
      <c r="BD31" s="14"/>
      <c r="BF31" s="16"/>
      <c r="BG31" s="17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10"/>
      <c r="AT32" s="16"/>
      <c r="AU32" s="17"/>
      <c r="AW32" s="6"/>
      <c r="AX32" s="7"/>
      <c r="AZ32" s="11"/>
      <c r="BA32" s="12"/>
      <c r="BC32" s="13"/>
      <c r="BD32" s="14"/>
      <c r="BF32" s="16"/>
      <c r="BG32" s="17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10"/>
      <c r="AT33" s="16"/>
      <c r="AU33" s="17"/>
      <c r="AW33" s="6"/>
      <c r="AX33" s="7"/>
      <c r="AZ33" s="11"/>
      <c r="BA33" s="12"/>
      <c r="BC33" s="13"/>
      <c r="BD33" s="14"/>
      <c r="BF33" s="16"/>
      <c r="BG33" s="17"/>
      <c r="BK33" s="2"/>
      <c r="BP33" s="3"/>
    </row>
    <row r="34" spans="3:68" x14ac:dyDescent="0.35">
      <c r="C34" s="2"/>
      <c r="H34" s="3"/>
      <c r="Q34" s="2"/>
      <c r="AE34" s="2"/>
      <c r="AJ34" s="3"/>
      <c r="AS34" s="10"/>
      <c r="AT34" s="16"/>
      <c r="AU34" s="17"/>
      <c r="AW34" s="6"/>
      <c r="AX34" s="7"/>
      <c r="AZ34" s="11"/>
      <c r="BA34" s="12"/>
      <c r="BC34" s="13"/>
      <c r="BD34" s="14"/>
      <c r="BF34" s="16"/>
      <c r="BG34" s="17"/>
      <c r="BK34" s="2"/>
      <c r="BP34" s="3"/>
    </row>
    <row r="35" spans="3:68" x14ac:dyDescent="0.35">
      <c r="C35" s="2"/>
      <c r="H35" s="3"/>
      <c r="Q35" s="2"/>
      <c r="AE35" s="2"/>
      <c r="AS35" s="10"/>
      <c r="AT35" s="16"/>
      <c r="AU35" s="17"/>
      <c r="AW35" s="6"/>
      <c r="AX35" s="7"/>
      <c r="AZ35" s="11"/>
      <c r="BA35" s="12"/>
      <c r="BC35" s="13"/>
      <c r="BD35" s="14"/>
      <c r="BF35" s="16"/>
      <c r="BG35" s="17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10"/>
      <c r="AT36" s="16"/>
      <c r="AU36" s="17"/>
      <c r="AW36" s="6"/>
      <c r="AX36" s="7"/>
      <c r="AZ36" s="11"/>
      <c r="BA36" s="12"/>
      <c r="BC36" s="13"/>
      <c r="BD36" s="14"/>
      <c r="BF36" s="16"/>
      <c r="BG36" s="17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10"/>
      <c r="AT37" s="16"/>
      <c r="AU37" s="17"/>
      <c r="AW37" s="6"/>
      <c r="AX37" s="7"/>
      <c r="AZ37" s="11"/>
      <c r="BA37" s="12"/>
      <c r="BC37" s="13"/>
      <c r="BD37" s="14"/>
      <c r="BF37" s="16"/>
      <c r="BG37" s="17"/>
      <c r="BK37" s="2"/>
      <c r="BP37" s="3"/>
    </row>
    <row r="38" spans="3:68" x14ac:dyDescent="0.35">
      <c r="C38" s="2"/>
      <c r="H38" s="3"/>
      <c r="Q38" s="2"/>
      <c r="AE38" s="2"/>
      <c r="AJ38" s="3"/>
      <c r="AS38" s="10"/>
      <c r="AT38" s="16"/>
      <c r="AU38" s="17"/>
      <c r="AW38" s="6"/>
      <c r="AX38" s="7"/>
      <c r="AZ38" s="11"/>
      <c r="BA38" s="12"/>
      <c r="BC38" s="13"/>
      <c r="BD38" s="14"/>
      <c r="BF38" s="16"/>
      <c r="BG38" s="17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10"/>
      <c r="AT39" s="16"/>
      <c r="AU39" s="17"/>
      <c r="AW39" s="6"/>
      <c r="AX39" s="7"/>
      <c r="AZ39" s="11"/>
      <c r="BA39" s="12"/>
      <c r="BC39" s="13"/>
      <c r="BD39" s="14"/>
      <c r="BF39" s="16"/>
      <c r="BG39" s="17"/>
      <c r="BK39" s="2"/>
      <c r="BP39" s="3"/>
    </row>
    <row r="40" spans="3:68" x14ac:dyDescent="0.35">
      <c r="C40" s="2"/>
      <c r="H40" s="3"/>
      <c r="Q40" s="2"/>
      <c r="AE40" s="2"/>
      <c r="AJ40" s="3"/>
      <c r="AS40" s="10"/>
      <c r="AT40" s="16"/>
      <c r="AU40" s="17"/>
      <c r="AW40" s="6"/>
      <c r="AX40" s="7"/>
      <c r="AZ40" s="11"/>
      <c r="BA40" s="12"/>
      <c r="BC40" s="13"/>
      <c r="BD40" s="14"/>
      <c r="BF40" s="16"/>
      <c r="BG40" s="17"/>
      <c r="BK40" s="2"/>
      <c r="BP40" s="3"/>
    </row>
    <row r="41" spans="3:68" x14ac:dyDescent="0.35">
      <c r="C41" s="2"/>
      <c r="H41" s="3"/>
      <c r="Q41" s="2"/>
      <c r="AE41" s="2"/>
      <c r="AJ41" s="3"/>
      <c r="AS41" s="10"/>
      <c r="AT41" s="16"/>
      <c r="AU41" s="17"/>
      <c r="AW41" s="6"/>
      <c r="AX41" s="7"/>
      <c r="AZ41" s="11"/>
      <c r="BA41" s="12"/>
      <c r="BC41" s="13"/>
      <c r="BD41" s="14"/>
      <c r="BF41" s="16"/>
      <c r="BG41" s="17"/>
      <c r="BK41" s="2"/>
      <c r="BP41" s="3"/>
    </row>
    <row r="42" spans="3:68" x14ac:dyDescent="0.35">
      <c r="C42" s="2"/>
      <c r="H42" s="3"/>
      <c r="Q42" s="2"/>
      <c r="AE42" s="2"/>
      <c r="AS42" s="10"/>
      <c r="AT42" s="16"/>
      <c r="AU42" s="17"/>
      <c r="AW42" s="6"/>
      <c r="AX42" s="7"/>
      <c r="AZ42" s="11"/>
      <c r="BA42" s="12"/>
      <c r="BC42" s="13"/>
      <c r="BD42" s="14"/>
      <c r="BF42" s="16"/>
      <c r="BG42" s="17"/>
      <c r="BK42" s="2"/>
      <c r="BP42" s="3"/>
    </row>
    <row r="43" spans="3:68" x14ac:dyDescent="0.35">
      <c r="C43" s="2"/>
      <c r="H43" s="3"/>
      <c r="Q43" s="2"/>
      <c r="AE43" s="2"/>
      <c r="AS43" s="10"/>
      <c r="AT43" s="16"/>
      <c r="AU43" s="17"/>
      <c r="AW43" s="6"/>
      <c r="AX43" s="7"/>
      <c r="AZ43" s="11"/>
      <c r="BA43" s="12"/>
      <c r="BC43" s="13"/>
      <c r="BD43" s="14"/>
      <c r="BF43" s="16"/>
      <c r="BG43" s="17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2025-11-10T18:29:34Z</dcterms:modified>
</cp:coreProperties>
</file>