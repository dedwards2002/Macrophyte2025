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um CH4 CO2" sheetId="1" r:id="rId4"/>
  </sheets>
  <definedNames/>
  <calcPr/>
  <extLst>
    <ext uri="GoogleSheetsCustomDataVersion2">
      <go:sheetsCustomData xmlns:go="http://customooxmlschemas.google.com/" r:id="rId5" roundtripDataChecksum="sgBlhUbi6OGkFbI78mT9AczQX7RPq4O3B+OvdOH5Mpw="/>
    </ext>
  </extLst>
</workbook>
</file>

<file path=xl/sharedStrings.xml><?xml version="1.0" encoding="utf-8"?>
<sst xmlns="http://schemas.openxmlformats.org/spreadsheetml/2006/main" count="634" uniqueCount="57">
  <si>
    <t>CH4 by FID</t>
  </si>
  <si>
    <t>CH4 by TCD</t>
  </si>
  <si>
    <t>CO2 by TCD</t>
  </si>
  <si>
    <t>AIR</t>
  </si>
  <si>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</si>
  <si>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</si>
  <si>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</si>
  <si>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</si>
  <si>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</si>
  <si>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</si>
  <si>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</si>
  <si>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</si>
  <si>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</si>
  <si>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</si>
  <si>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</si>
  <si>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</si>
  <si>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</si>
  <si>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Analyst Data Quality Code (1=no problems, 2=note, 3=fatal flaws)</t>
  </si>
  <si>
    <t>Note</t>
  </si>
  <si>
    <t>Order</t>
  </si>
  <si>
    <t>Season specific ranged CAL Measured headspace CH4  in ppm from GC in ppm</t>
  </si>
  <si>
    <t>Season specific CAL Measured headspace CO2 in ppm from GC in ppm</t>
  </si>
  <si>
    <t>2022 ranged CAL Measured headspace CH4  in ppm from GC in ppm</t>
  </si>
  <si>
    <t>2022 CAL Measured headspace CO2 in ppm from GC in ppm</t>
  </si>
  <si>
    <t>2023 ranged CAL Measured headspace CH4  in ppm from GC in ppm</t>
  </si>
  <si>
    <t>2023 CAL Measured headspace CO2 in ppm from GC in ppm</t>
  </si>
  <si>
    <t>2024 ranged CAL Measured headspace CH4  in ppm from GC in ppm</t>
  </si>
  <si>
    <t>2024 CAL Measured headspace CO2 in ppm from GC in ppm</t>
  </si>
  <si>
    <t>2025 ranged CAL Measured headspace CH4  in ppm from GC in ppm</t>
  </si>
  <si>
    <t>2025 CAL Measured headspace CO2 in ppm from GC in ppm</t>
  </si>
  <si>
    <t>DXE20250731_001.gcd</t>
  </si>
  <si>
    <t>QC outside air</t>
  </si>
  <si>
    <t>Unknown</t>
  </si>
  <si>
    <t>-----</t>
  </si>
  <si>
    <t>DXE20250731_002.gcd</t>
  </si>
  <si>
    <t xml:space="preserve">QC spiked air </t>
  </si>
  <si>
    <t>DXE20250731_003.gcd</t>
  </si>
  <si>
    <t>QC reference tank</t>
  </si>
  <si>
    <t>DXE20250731_004.gcd</t>
  </si>
  <si>
    <t>DXE20250731_005.gcd</t>
  </si>
  <si>
    <t>DXE20250731_006.gcd</t>
  </si>
  <si>
    <t>DXE20250731_007.gcd</t>
  </si>
  <si>
    <t>DXE20250731_008.gcd</t>
  </si>
  <si>
    <t>DXE20250731_009.gcd</t>
  </si>
  <si>
    <t>DXE20250731_010.gcd</t>
  </si>
  <si>
    <t>DXE20250731_011.gcd</t>
  </si>
  <si>
    <t>DXE20250731_012.gcd</t>
  </si>
  <si>
    <t>DXE20250731_013.gcd</t>
  </si>
  <si>
    <t>DXE20250731_014.gcd</t>
  </si>
  <si>
    <t>DXE20250731_015.gcd</t>
  </si>
  <si>
    <t>DXE20250731_016.gcd</t>
  </si>
  <si>
    <t>DXE20250731_017.gcd</t>
  </si>
  <si>
    <t>DXE20250731_018.gcd</t>
  </si>
  <si>
    <t>DXE20250731_019.gcd</t>
  </si>
  <si>
    <t>DXE20250731_020.gcd</t>
  </si>
  <si>
    <t>DXE20250731_021.gcd</t>
  </si>
  <si>
    <t>injected water instead of air- do not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</si>
</sst>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trike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  <xf borderId="0" fillId="0" fontId="1" numFmtId="22" xfId="0" applyFont="1" applyNumberFormat="1"/>
    <xf borderId="0" fillId="2" fontId="1" numFmtId="0" xfId="0" applyAlignment="1" applyFill="1" applyFont="1">
      <alignment shrinkToFit="0" wrapText="1"/>
    </xf>
    <xf borderId="0" fillId="2" fontId="2" numFmtId="0" xfId="0" applyFont="1"/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3" xfId="0" applyFont="1" applyNumberFormat="1"/>
    <xf borderId="1" fillId="3" fontId="1" numFmtId="2" xfId="0" applyBorder="1" applyFill="1" applyFont="1" applyNumberFormat="1"/>
    <xf borderId="1" fillId="3" fontId="1" numFmtId="3" xfId="0" applyBorder="1" applyFont="1" applyNumberFormat="1"/>
    <xf borderId="1" fillId="4" fontId="1" numFmtId="2" xfId="0" applyBorder="1" applyFill="1" applyFont="1" applyNumberFormat="1"/>
    <xf borderId="1" fillId="4" fontId="1" numFmtId="1" xfId="0" applyBorder="1" applyFont="1" applyNumberFormat="1"/>
    <xf borderId="1" fillId="5" fontId="1" numFmtId="2" xfId="0" applyBorder="1" applyFill="1" applyFont="1" applyNumberFormat="1"/>
    <xf borderId="1" fillId="5" fontId="1" numFmtId="3" xfId="0" applyBorder="1" applyFont="1" applyNumberFormat="1"/>
    <xf borderId="1" fillId="6" fontId="1" numFmtId="2" xfId="0" applyBorder="1" applyFill="1" applyFont="1" applyNumberFormat="1"/>
    <xf borderId="1" fillId="6" fontId="1" numFmtId="3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57"/>
    <col customWidth="1" min="3" max="3" width="17.86"/>
    <col customWidth="1" min="4" max="30" width="8.71"/>
    <col customWidth="1" min="31" max="31" width="21.43"/>
    <col customWidth="1" min="32" max="42" width="8.71"/>
    <col customWidth="1" min="43" max="43" width="9.14"/>
    <col customWidth="1" min="44" max="45" width="8.71"/>
    <col customWidth="1" min="46" max="46" width="9.86"/>
    <col customWidth="1" min="47" max="47" width="10.0"/>
    <col customWidth="1" min="48" max="48" width="8.71"/>
    <col customWidth="1" min="49" max="49" width="9.71"/>
    <col customWidth="1" min="50" max="50" width="10.0"/>
    <col customWidth="1" min="51" max="51" width="8.71"/>
    <col customWidth="1" min="52" max="53" width="9.57"/>
    <col customWidth="1" min="54" max="54" width="8.71"/>
    <col customWidth="1" min="55" max="56" width="9.57"/>
    <col customWidth="1" min="57" max="57" width="8.71"/>
    <col customWidth="1" min="58" max="59" width="9.86"/>
    <col customWidth="1" min="60" max="73" width="8.71"/>
  </cols>
  <sheetData>
    <row r="1" ht="14.25" customHeight="1">
      <c r="BE1" s="1"/>
    </row>
    <row r="2" ht="14.25" customHeight="1">
      <c r="BE2" s="1"/>
    </row>
    <row r="3" ht="14.25" customHeight="1">
      <c r="BE3" s="1"/>
    </row>
    <row r="4" ht="14.25" customHeight="1">
      <c r="BE4" s="1"/>
    </row>
    <row r="5" ht="14.25" customHeight="1">
      <c r="BE5" s="1"/>
    </row>
    <row r="6" ht="14.25" customHeight="1">
      <c r="BE6" s="1"/>
    </row>
    <row r="7" ht="14.25" customHeight="1">
      <c r="A7" s="2" t="s">
        <v>0</v>
      </c>
      <c r="O7" s="2" t="s">
        <v>1</v>
      </c>
      <c r="AC7" s="2" t="s">
        <v>2</v>
      </c>
      <c r="BE7" s="1"/>
      <c r="BI7" s="2" t="s">
        <v>3</v>
      </c>
    </row>
    <row r="8" ht="14.25" customHeight="1">
      <c r="A8" s="3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  <c r="O8" s="4" t="s">
        <v>4</v>
      </c>
      <c r="P8" s="2" t="s">
        <v>5</v>
      </c>
      <c r="Q8" s="2" t="s">
        <v>6</v>
      </c>
      <c r="R8" s="2" t="s">
        <v>7</v>
      </c>
      <c r="S8" s="2" t="s">
        <v>8</v>
      </c>
      <c r="T8" s="2" t="s">
        <v>9</v>
      </c>
      <c r="U8" s="2" t="s">
        <v>10</v>
      </c>
      <c r="V8" s="2" t="s">
        <v>11</v>
      </c>
      <c r="W8" s="2" t="s">
        <v>12</v>
      </c>
      <c r="X8" s="2" t="s">
        <v>13</v>
      </c>
      <c r="Y8" s="2" t="s">
        <v>14</v>
      </c>
      <c r="Z8" s="2" t="s">
        <v>15</v>
      </c>
      <c r="AA8" s="2" t="s">
        <v>16</v>
      </c>
      <c r="AC8" s="2" t="s">
        <v>4</v>
      </c>
      <c r="AD8" s="2" t="s">
        <v>5</v>
      </c>
      <c r="AE8" s="2" t="s">
        <v>6</v>
      </c>
      <c r="AF8" s="2" t="s">
        <v>7</v>
      </c>
      <c r="AG8" s="2" t="s">
        <v>8</v>
      </c>
      <c r="AH8" s="2" t="s">
        <v>9</v>
      </c>
      <c r="AI8" s="2" t="s">
        <v>10</v>
      </c>
      <c r="AJ8" s="2" t="s">
        <v>11</v>
      </c>
      <c r="AK8" s="2" t="s">
        <v>12</v>
      </c>
      <c r="AL8" s="2" t="s">
        <v>13</v>
      </c>
      <c r="AM8" s="2" t="s">
        <v>14</v>
      </c>
      <c r="AN8" s="2" t="s">
        <v>15</v>
      </c>
      <c r="AO8" s="2" t="s">
        <v>16</v>
      </c>
      <c r="AQ8" s="5" t="s">
        <v>17</v>
      </c>
      <c r="AR8" s="5" t="s">
        <v>18</v>
      </c>
      <c r="AS8" s="6" t="s">
        <v>19</v>
      </c>
      <c r="AT8" s="5" t="s">
        <v>20</v>
      </c>
      <c r="AU8" s="5" t="s">
        <v>21</v>
      </c>
      <c r="AV8" s="7"/>
      <c r="AW8" s="7" t="s">
        <v>22</v>
      </c>
      <c r="AX8" s="7" t="s">
        <v>23</v>
      </c>
      <c r="AZ8" s="7" t="s">
        <v>24</v>
      </c>
      <c r="BA8" s="7" t="s">
        <v>25</v>
      </c>
      <c r="BC8" s="7" t="s">
        <v>26</v>
      </c>
      <c r="BD8" s="7" t="s">
        <v>27</v>
      </c>
      <c r="BE8" s="8"/>
      <c r="BF8" s="7" t="s">
        <v>28</v>
      </c>
      <c r="BG8" s="7" t="s">
        <v>29</v>
      </c>
      <c r="BH8" s="7"/>
      <c r="BI8" s="8" t="s">
        <v>4</v>
      </c>
      <c r="BJ8" s="2" t="s">
        <v>5</v>
      </c>
      <c r="BK8" s="2" t="s">
        <v>6</v>
      </c>
      <c r="BL8" s="2" t="s">
        <v>7</v>
      </c>
      <c r="BM8" s="2" t="s">
        <v>8</v>
      </c>
      <c r="BN8" s="2" t="s">
        <v>9</v>
      </c>
      <c r="BO8" s="2" t="s">
        <v>10</v>
      </c>
      <c r="BP8" s="2" t="s">
        <v>11</v>
      </c>
      <c r="BQ8" s="2" t="s">
        <v>12</v>
      </c>
      <c r="BR8" s="2" t="s">
        <v>13</v>
      </c>
      <c r="BS8" s="2" t="s">
        <v>14</v>
      </c>
      <c r="BT8" s="2" t="s">
        <v>15</v>
      </c>
      <c r="BU8" s="2" t="s">
        <v>16</v>
      </c>
    </row>
    <row r="9" ht="14.25" customHeight="1">
      <c r="A9" s="2">
        <v>45.0</v>
      </c>
      <c r="B9" s="2" t="s">
        <v>30</v>
      </c>
      <c r="C9" s="4">
        <v>45869.70819444444</v>
      </c>
      <c r="D9" s="2" t="s">
        <v>31</v>
      </c>
      <c r="E9" s="2" t="s">
        <v>32</v>
      </c>
      <c r="F9" s="2">
        <v>0.0</v>
      </c>
      <c r="G9" s="2">
        <v>6.032</v>
      </c>
      <c r="H9" s="9">
        <v>1362.0</v>
      </c>
      <c r="I9" s="2">
        <v>0.003</v>
      </c>
      <c r="J9" s="2" t="s">
        <v>33</v>
      </c>
      <c r="K9" s="2" t="s">
        <v>33</v>
      </c>
      <c r="L9" s="2" t="s">
        <v>33</v>
      </c>
      <c r="M9" s="2" t="s">
        <v>33</v>
      </c>
      <c r="O9" s="2">
        <v>45.0</v>
      </c>
      <c r="P9" s="2" t="s">
        <v>30</v>
      </c>
      <c r="Q9" s="4">
        <v>45869.70819444444</v>
      </c>
      <c r="R9" s="2" t="s">
        <v>31</v>
      </c>
      <c r="S9" s="2" t="s">
        <v>32</v>
      </c>
      <c r="T9" s="2">
        <v>0.0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C9" s="2">
        <v>45.0</v>
      </c>
      <c r="AD9" s="2" t="s">
        <v>30</v>
      </c>
      <c r="AE9" s="4">
        <v>45869.70819444444</v>
      </c>
      <c r="AF9" s="2" t="s">
        <v>31</v>
      </c>
      <c r="AG9" s="2" t="s">
        <v>32</v>
      </c>
      <c r="AH9" s="2">
        <v>0.0</v>
      </c>
      <c r="AI9" s="2">
        <v>12.196</v>
      </c>
      <c r="AJ9" s="9">
        <v>2089.0</v>
      </c>
      <c r="AK9" s="2">
        <v>0.362</v>
      </c>
      <c r="AL9" s="2" t="s">
        <v>33</v>
      </c>
      <c r="AM9" s="2" t="s">
        <v>33</v>
      </c>
      <c r="AN9" s="2" t="s">
        <v>33</v>
      </c>
      <c r="AO9" s="2" t="s">
        <v>33</v>
      </c>
      <c r="AQ9" s="2">
        <v>1.0</v>
      </c>
      <c r="AS9" s="1">
        <v>45.0</v>
      </c>
      <c r="AT9" s="10">
        <f t="shared" ref="AT9:AT29" si="1">IF(H9&lt;10000,((H9^2*0.000000008493)+(H9*0.003482)+(-3.269)),(IF(H9&lt;200000,((H9^2*-0.000000000263)+(H9*0.002682)+(3.179)),(IF(H9&lt;8000000,((H9^2*-5.099E-12)+(H9*0.002054)+(174.8)),((V9^2*-0.00000001014)+(V9*0.2415)+(1123)))))))</f>
        <v>1.489238889</v>
      </c>
      <c r="AU9" s="11">
        <f t="shared" ref="AU9:AU29" si="2">IF(AJ9&lt;45000,((-0.00000004907*AJ9^2)+(0.2277*AJ9)+(-134)),((-0.00000001062*AJ9^2)+(0.2147*AJ9)+(590.6)))</f>
        <v>341.4511624</v>
      </c>
      <c r="AW9" s="12">
        <f t="shared" ref="AW9:AW29" si="3">IF(H9&lt;10000,((0.0000001453*H9^2)+(0.0008349*H9)+(-1.805)),(IF(H9&lt;700000,((-8.054E-11*H9^2)+(0.002348*H9)+(-2.47)), ((-0.00000001938*V9^2)+(0.2471*V9)+(226.8)))))</f>
        <v>-0.3983283068</v>
      </c>
      <c r="AX9" s="13">
        <f t="shared" ref="AX9:AX29" si="4">(-0.00000002552*AJ9^2)+(0.2067*AJ9)+(-103.7)</f>
        <v>327.9849327</v>
      </c>
      <c r="AZ9" s="14">
        <f t="shared" ref="AZ9:AZ29" si="5">IF(H9&lt;10000,((H9^2*0.00000054)+(H9*-0.004765)+(12.72)),(IF(H9&lt;200000,((H9^2*-0.000000001577)+(H9*0.003043)+(-10.42)),(IF(H9&lt;8000000,((H9^2*-1.86E-11)+(H9*0.00194)+(154.1)),((V9^2*-0.00000002)+(V9*0.2565)+(-1032)))))))</f>
        <v>7.23179376</v>
      </c>
      <c r="BA9" s="15">
        <f t="shared" ref="BA9:BA29" si="6">IF(AJ9&lt;45000,((-0.0000004561*AJ9^2)+(0.244*AJ9)+(-21.72)),((-0.0000000409*AJ9^2)+(0.2477*AJ9)+(-1777)))</f>
        <v>486.0056156</v>
      </c>
      <c r="BC9" s="16">
        <f t="shared" ref="BC9:BC29" si="7">IF(H9&lt;10000,((H9^2*0.00000005714)+(H9*0.002453)+(-3.811)),(IF(H9&lt;200000,((H9^2*-0.0000000002888)+(H9*0.002899)+(-4.321)),(IF(H9&lt;8000000,((H9^2*-6.2E-12)+(H9*0.002143)+(157)),((V9^2*-0.000000031)+(V9*0.2771)+(-709.5)))))))</f>
        <v>-0.3640167858</v>
      </c>
      <c r="BD9" s="17">
        <f t="shared" ref="BD9:BD29" si="8">IF(AJ9&lt;45000,((-0.0000000598*AJ9^2)+(0.205*AJ9)+(34.1)),((-0.00000002403*AJ9^2)+(0.2063*AJ9)+(-550.7)))</f>
        <v>462.0840375</v>
      </c>
      <c r="BE9" s="1"/>
      <c r="BF9" s="10">
        <f t="shared" ref="BF9:BF29" si="9">IF(H9&lt;10000,((H9^2*0.000000008493)+(H9*0.003482)+(-3.269)),(IF(H9&lt;200000,((H9^2*-0.000000000263)+(H9*0.002682)+(3.179)),(IF(H9&lt;8000000,((H9^2*-5.099E-12)+(H9*0.002054)+(174.8)),((V9^2*-0.00000001014)+(V9*0.2415)+(1123)))))))</f>
        <v>1.489238889</v>
      </c>
      <c r="BG9" s="11">
        <f t="shared" ref="BG9:BG29" si="10">IF(AJ9&lt;45000,((-0.00000004907*AJ9^2)+(0.2277*AJ9)+(-134)),((-0.00000001062*AJ9^2)+(0.2147*AJ9)+(590.6)))</f>
        <v>341.4511624</v>
      </c>
      <c r="BI9" s="2">
        <v>45.0</v>
      </c>
      <c r="BJ9" s="2" t="s">
        <v>30</v>
      </c>
      <c r="BK9" s="4">
        <v>45869.70819444444</v>
      </c>
      <c r="BL9" s="2" t="s">
        <v>31</v>
      </c>
      <c r="BM9" s="2" t="s">
        <v>32</v>
      </c>
      <c r="BN9" s="2">
        <v>0.0</v>
      </c>
      <c r="BO9" s="2">
        <v>2.703</v>
      </c>
      <c r="BP9" s="9">
        <v>4847057.0</v>
      </c>
      <c r="BQ9" s="2">
        <v>0.0</v>
      </c>
      <c r="BR9" s="2" t="s">
        <v>33</v>
      </c>
      <c r="BS9" s="2" t="s">
        <v>33</v>
      </c>
      <c r="BT9" s="2" t="s">
        <v>33</v>
      </c>
      <c r="BU9" s="2" t="s">
        <v>33</v>
      </c>
    </row>
    <row r="10" ht="14.25" customHeight="1">
      <c r="A10" s="2">
        <v>46.0</v>
      </c>
      <c r="B10" s="2" t="s">
        <v>34</v>
      </c>
      <c r="C10" s="4">
        <v>45869.72945601852</v>
      </c>
      <c r="D10" s="2" t="s">
        <v>35</v>
      </c>
      <c r="E10" s="2" t="s">
        <v>32</v>
      </c>
      <c r="F10" s="2">
        <v>0.0</v>
      </c>
      <c r="G10" s="2">
        <v>5.983</v>
      </c>
      <c r="H10" s="9">
        <v>939422.0</v>
      </c>
      <c r="I10" s="2">
        <v>2.122</v>
      </c>
      <c r="J10" s="2" t="s">
        <v>33</v>
      </c>
      <c r="K10" s="2" t="s">
        <v>33</v>
      </c>
      <c r="L10" s="2" t="s">
        <v>33</v>
      </c>
      <c r="M10" s="2" t="s">
        <v>33</v>
      </c>
      <c r="O10" s="2">
        <v>46.0</v>
      </c>
      <c r="P10" s="2" t="s">
        <v>34</v>
      </c>
      <c r="Q10" s="4">
        <v>45869.72945601852</v>
      </c>
      <c r="R10" s="2" t="s">
        <v>35</v>
      </c>
      <c r="S10" s="2" t="s">
        <v>32</v>
      </c>
      <c r="T10" s="2">
        <v>0.0</v>
      </c>
      <c r="U10" s="2">
        <v>5.937</v>
      </c>
      <c r="V10" s="9">
        <v>7411.0</v>
      </c>
      <c r="W10" s="2">
        <v>1.923</v>
      </c>
      <c r="X10" s="2" t="s">
        <v>33</v>
      </c>
      <c r="Y10" s="2" t="s">
        <v>33</v>
      </c>
      <c r="Z10" s="2" t="s">
        <v>33</v>
      </c>
      <c r="AA10" s="2" t="s">
        <v>33</v>
      </c>
      <c r="AC10" s="2">
        <v>46.0</v>
      </c>
      <c r="AD10" s="2" t="s">
        <v>34</v>
      </c>
      <c r="AE10" s="4">
        <v>45869.72945601852</v>
      </c>
      <c r="AF10" s="2" t="s">
        <v>35</v>
      </c>
      <c r="AG10" s="2" t="s">
        <v>32</v>
      </c>
      <c r="AH10" s="2">
        <v>0.0</v>
      </c>
      <c r="AI10" s="2">
        <v>12.156</v>
      </c>
      <c r="AJ10" s="9">
        <v>7221.0</v>
      </c>
      <c r="AK10" s="2">
        <v>1.487</v>
      </c>
      <c r="AL10" s="2" t="s">
        <v>33</v>
      </c>
      <c r="AM10" s="2" t="s">
        <v>33</v>
      </c>
      <c r="AN10" s="2" t="s">
        <v>33</v>
      </c>
      <c r="AO10" s="2" t="s">
        <v>33</v>
      </c>
      <c r="AQ10" s="2">
        <v>1.0</v>
      </c>
      <c r="AS10" s="1">
        <v>46.0</v>
      </c>
      <c r="AT10" s="10">
        <f t="shared" si="1"/>
        <v>2099.872851</v>
      </c>
      <c r="AU10" s="11">
        <f t="shared" si="2"/>
        <v>1507.663051</v>
      </c>
      <c r="AW10" s="12">
        <f t="shared" si="3"/>
        <v>2056.993694</v>
      </c>
      <c r="AX10" s="13">
        <f t="shared" si="4"/>
        <v>1387.550015</v>
      </c>
      <c r="AZ10" s="14">
        <f t="shared" si="5"/>
        <v>1960.163925</v>
      </c>
      <c r="BA10" s="15">
        <f t="shared" si="6"/>
        <v>1716.42165</v>
      </c>
      <c r="BC10" s="16">
        <f t="shared" si="7"/>
        <v>2164.709761</v>
      </c>
      <c r="BD10" s="17">
        <f t="shared" si="8"/>
        <v>1511.286858</v>
      </c>
      <c r="BE10" s="1"/>
      <c r="BF10" s="10">
        <f t="shared" si="9"/>
        <v>2099.872851</v>
      </c>
      <c r="BG10" s="11">
        <f t="shared" si="10"/>
        <v>1507.663051</v>
      </c>
      <c r="BI10" s="2">
        <v>46.0</v>
      </c>
      <c r="BJ10" s="2" t="s">
        <v>34</v>
      </c>
      <c r="BK10" s="4">
        <v>45869.72945601852</v>
      </c>
      <c r="BL10" s="2" t="s">
        <v>35</v>
      </c>
      <c r="BM10" s="2" t="s">
        <v>32</v>
      </c>
      <c r="BN10" s="2">
        <v>0.0</v>
      </c>
      <c r="BO10" s="2">
        <v>2.696</v>
      </c>
      <c r="BP10" s="9">
        <v>4970619.0</v>
      </c>
      <c r="BQ10" s="2">
        <v>0.0</v>
      </c>
      <c r="BR10" s="2" t="s">
        <v>33</v>
      </c>
      <c r="BS10" s="2" t="s">
        <v>33</v>
      </c>
      <c r="BT10" s="2" t="s">
        <v>33</v>
      </c>
      <c r="BU10" s="2" t="s">
        <v>33</v>
      </c>
    </row>
    <row r="11" ht="14.25" customHeight="1">
      <c r="A11" s="2">
        <v>47.0</v>
      </c>
      <c r="B11" s="2" t="s">
        <v>36</v>
      </c>
      <c r="C11" s="4">
        <v>45869.75074074074</v>
      </c>
      <c r="D11" s="2" t="s">
        <v>37</v>
      </c>
      <c r="E11" s="2" t="s">
        <v>32</v>
      </c>
      <c r="F11" s="2">
        <v>0.0</v>
      </c>
      <c r="G11" s="2">
        <v>6.004</v>
      </c>
      <c r="H11" s="9">
        <v>2413.0</v>
      </c>
      <c r="I11" s="2">
        <v>0.006</v>
      </c>
      <c r="J11" s="2" t="s">
        <v>33</v>
      </c>
      <c r="K11" s="2" t="s">
        <v>33</v>
      </c>
      <c r="L11" s="2" t="s">
        <v>33</v>
      </c>
      <c r="M11" s="2" t="s">
        <v>33</v>
      </c>
      <c r="O11" s="2">
        <v>47.0</v>
      </c>
      <c r="P11" s="2" t="s">
        <v>36</v>
      </c>
      <c r="Q11" s="4">
        <v>45869.75074074074</v>
      </c>
      <c r="R11" s="2" t="s">
        <v>37</v>
      </c>
      <c r="S11" s="2" t="s">
        <v>32</v>
      </c>
      <c r="T11" s="2">
        <v>0.0</v>
      </c>
      <c r="U11" s="2" t="s">
        <v>33</v>
      </c>
      <c r="V11" s="2" t="s">
        <v>33</v>
      </c>
      <c r="W11" s="2" t="s">
        <v>33</v>
      </c>
      <c r="X11" s="2" t="s">
        <v>33</v>
      </c>
      <c r="Y11" s="2" t="s">
        <v>33</v>
      </c>
      <c r="Z11" s="2" t="s">
        <v>33</v>
      </c>
      <c r="AA11" s="2" t="s">
        <v>33</v>
      </c>
      <c r="AC11" s="2">
        <v>47.0</v>
      </c>
      <c r="AD11" s="2" t="s">
        <v>36</v>
      </c>
      <c r="AE11" s="4">
        <v>45869.75074074074</v>
      </c>
      <c r="AF11" s="2" t="s">
        <v>37</v>
      </c>
      <c r="AG11" s="2" t="s">
        <v>32</v>
      </c>
      <c r="AH11" s="2">
        <v>0.0</v>
      </c>
      <c r="AI11" s="2">
        <v>12.158</v>
      </c>
      <c r="AJ11" s="9">
        <v>1371.0</v>
      </c>
      <c r="AK11" s="2">
        <v>0.204</v>
      </c>
      <c r="AL11" s="2" t="s">
        <v>33</v>
      </c>
      <c r="AM11" s="2" t="s">
        <v>33</v>
      </c>
      <c r="AN11" s="2" t="s">
        <v>33</v>
      </c>
      <c r="AO11" s="2" t="s">
        <v>33</v>
      </c>
      <c r="AQ11" s="2">
        <v>1.0</v>
      </c>
      <c r="AS11" s="1">
        <v>47.0</v>
      </c>
      <c r="AT11" s="10">
        <f t="shared" si="1"/>
        <v>5.182517079</v>
      </c>
      <c r="AU11" s="11">
        <f t="shared" si="2"/>
        <v>178.084466</v>
      </c>
      <c r="AW11" s="12">
        <f t="shared" si="3"/>
        <v>1.055632976</v>
      </c>
      <c r="AX11" s="13">
        <f t="shared" si="4"/>
        <v>179.6377316</v>
      </c>
      <c r="AZ11" s="14">
        <f t="shared" si="5"/>
        <v>4.36624226</v>
      </c>
      <c r="BA11" s="15">
        <f t="shared" si="6"/>
        <v>311.9466957</v>
      </c>
      <c r="BC11" s="16">
        <f t="shared" si="7"/>
        <v>2.440790593</v>
      </c>
      <c r="BD11" s="17">
        <f t="shared" si="8"/>
        <v>315.0425975</v>
      </c>
      <c r="BE11" s="1"/>
      <c r="BF11" s="10">
        <f t="shared" si="9"/>
        <v>5.182517079</v>
      </c>
      <c r="BG11" s="11">
        <f t="shared" si="10"/>
        <v>178.084466</v>
      </c>
      <c r="BI11" s="2">
        <v>47.0</v>
      </c>
      <c r="BJ11" s="2" t="s">
        <v>36</v>
      </c>
      <c r="BK11" s="4">
        <v>45869.75074074074</v>
      </c>
      <c r="BL11" s="2" t="s">
        <v>37</v>
      </c>
      <c r="BM11" s="2" t="s">
        <v>32</v>
      </c>
      <c r="BN11" s="2">
        <v>0.0</v>
      </c>
      <c r="BO11" s="2">
        <v>2.696</v>
      </c>
      <c r="BP11" s="9">
        <v>4986562.0</v>
      </c>
      <c r="BQ11" s="2">
        <v>0.0</v>
      </c>
      <c r="BR11" s="2" t="s">
        <v>33</v>
      </c>
      <c r="BS11" s="2" t="s">
        <v>33</v>
      </c>
      <c r="BT11" s="2" t="s">
        <v>33</v>
      </c>
      <c r="BU11" s="2" t="s">
        <v>33</v>
      </c>
    </row>
    <row r="12" ht="14.25" customHeight="1">
      <c r="A12" s="2">
        <v>48.0</v>
      </c>
      <c r="B12" s="2" t="s">
        <v>38</v>
      </c>
      <c r="C12" s="4">
        <v>45869.77199074074</v>
      </c>
      <c r="D12" s="2">
        <v>368.0</v>
      </c>
      <c r="E12" s="2" t="s">
        <v>32</v>
      </c>
      <c r="F12" s="2">
        <v>0.0</v>
      </c>
      <c r="G12" s="2">
        <v>5.988</v>
      </c>
      <c r="H12" s="9">
        <v>15667.0</v>
      </c>
      <c r="I12" s="2">
        <v>0.036</v>
      </c>
      <c r="J12" s="2" t="s">
        <v>33</v>
      </c>
      <c r="K12" s="2" t="s">
        <v>33</v>
      </c>
      <c r="L12" s="2" t="s">
        <v>33</v>
      </c>
      <c r="M12" s="2" t="s">
        <v>33</v>
      </c>
      <c r="O12" s="2">
        <v>48.0</v>
      </c>
      <c r="P12" s="2" t="s">
        <v>38</v>
      </c>
      <c r="Q12" s="4">
        <v>45869.77199074074</v>
      </c>
      <c r="R12" s="2">
        <v>368.0</v>
      </c>
      <c r="S12" s="2" t="s">
        <v>32</v>
      </c>
      <c r="T12" s="2">
        <v>0.0</v>
      </c>
      <c r="U12" s="2" t="s">
        <v>33</v>
      </c>
      <c r="V12" s="9" t="s">
        <v>33</v>
      </c>
      <c r="W12" s="2" t="s">
        <v>33</v>
      </c>
      <c r="X12" s="2" t="s">
        <v>33</v>
      </c>
      <c r="Y12" s="2" t="s">
        <v>33</v>
      </c>
      <c r="Z12" s="2" t="s">
        <v>33</v>
      </c>
      <c r="AA12" s="2" t="s">
        <v>33</v>
      </c>
      <c r="AC12" s="2">
        <v>48.0</v>
      </c>
      <c r="AD12" s="2" t="s">
        <v>38</v>
      </c>
      <c r="AE12" s="4">
        <v>45869.77199074074</v>
      </c>
      <c r="AF12" s="2">
        <v>368.0</v>
      </c>
      <c r="AG12" s="2" t="s">
        <v>32</v>
      </c>
      <c r="AH12" s="2">
        <v>0.0</v>
      </c>
      <c r="AI12" s="2">
        <v>12.142</v>
      </c>
      <c r="AJ12" s="9">
        <v>5433.0</v>
      </c>
      <c r="AK12" s="2">
        <v>1.095</v>
      </c>
      <c r="AL12" s="2" t="s">
        <v>33</v>
      </c>
      <c r="AM12" s="2" t="s">
        <v>33</v>
      </c>
      <c r="AN12" s="2" t="s">
        <v>33</v>
      </c>
      <c r="AO12" s="2" t="s">
        <v>33</v>
      </c>
      <c r="AQ12" s="2">
        <v>1.0</v>
      </c>
      <c r="AS12" s="1">
        <v>48.0</v>
      </c>
      <c r="AT12" s="10">
        <f t="shared" si="1"/>
        <v>45.13333936</v>
      </c>
      <c r="AU12" s="11">
        <f t="shared" si="2"/>
        <v>1101.645677</v>
      </c>
      <c r="AW12" s="12">
        <f t="shared" si="3"/>
        <v>34.29634706</v>
      </c>
      <c r="AX12" s="13">
        <f t="shared" si="4"/>
        <v>1018.547814</v>
      </c>
      <c r="AZ12" s="14">
        <f t="shared" si="5"/>
        <v>36.86759864</v>
      </c>
      <c r="BA12" s="15">
        <f t="shared" si="6"/>
        <v>1290.469073</v>
      </c>
      <c r="BC12" s="16">
        <f t="shared" si="7"/>
        <v>41.02674563</v>
      </c>
      <c r="BD12" s="17">
        <f t="shared" si="8"/>
        <v>1146.099854</v>
      </c>
      <c r="BE12" s="1"/>
      <c r="BF12" s="10">
        <f t="shared" si="9"/>
        <v>45.13333936</v>
      </c>
      <c r="BG12" s="11">
        <f t="shared" si="10"/>
        <v>1101.645677</v>
      </c>
      <c r="BI12" s="2">
        <v>48.0</v>
      </c>
      <c r="BJ12" s="2" t="s">
        <v>38</v>
      </c>
      <c r="BK12" s="4">
        <v>45869.77199074074</v>
      </c>
      <c r="BL12" s="2">
        <v>368.0</v>
      </c>
      <c r="BM12" s="2" t="s">
        <v>32</v>
      </c>
      <c r="BN12" s="2">
        <v>0.0</v>
      </c>
      <c r="BO12" s="2">
        <v>2.838</v>
      </c>
      <c r="BP12" s="9">
        <v>988595.0</v>
      </c>
      <c r="BQ12" s="2">
        <v>0.0</v>
      </c>
      <c r="BR12" s="2" t="s">
        <v>33</v>
      </c>
      <c r="BS12" s="2" t="s">
        <v>33</v>
      </c>
      <c r="BT12" s="2" t="s">
        <v>33</v>
      </c>
      <c r="BU12" s="2" t="s">
        <v>33</v>
      </c>
    </row>
    <row r="13" ht="14.25" customHeight="1">
      <c r="A13" s="2">
        <v>49.0</v>
      </c>
      <c r="B13" s="2" t="s">
        <v>39</v>
      </c>
      <c r="C13" s="4">
        <v>45869.79325231481</v>
      </c>
      <c r="D13" s="2">
        <v>287.0</v>
      </c>
      <c r="E13" s="2" t="s">
        <v>32</v>
      </c>
      <c r="F13" s="2">
        <v>0.0</v>
      </c>
      <c r="G13" s="2">
        <v>5.988</v>
      </c>
      <c r="H13" s="9">
        <v>30006.0</v>
      </c>
      <c r="I13" s="2">
        <v>0.068</v>
      </c>
      <c r="J13" s="2" t="s">
        <v>33</v>
      </c>
      <c r="K13" s="2" t="s">
        <v>33</v>
      </c>
      <c r="L13" s="2" t="s">
        <v>33</v>
      </c>
      <c r="M13" s="2" t="s">
        <v>33</v>
      </c>
      <c r="O13" s="2">
        <v>49.0</v>
      </c>
      <c r="P13" s="2" t="s">
        <v>39</v>
      </c>
      <c r="Q13" s="4">
        <v>45869.79325231481</v>
      </c>
      <c r="R13" s="2">
        <v>287.0</v>
      </c>
      <c r="S13" s="2" t="s">
        <v>32</v>
      </c>
      <c r="T13" s="2">
        <v>0.0</v>
      </c>
      <c r="U13" s="2" t="s">
        <v>33</v>
      </c>
      <c r="V13" s="9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C13" s="2">
        <v>49.0</v>
      </c>
      <c r="AD13" s="2" t="s">
        <v>39</v>
      </c>
      <c r="AE13" s="4">
        <v>45869.79325231481</v>
      </c>
      <c r="AF13" s="2">
        <v>287.0</v>
      </c>
      <c r="AG13" s="2" t="s">
        <v>32</v>
      </c>
      <c r="AH13" s="2">
        <v>0.0</v>
      </c>
      <c r="AI13" s="2">
        <v>12.148</v>
      </c>
      <c r="AJ13" s="9">
        <v>7644.0</v>
      </c>
      <c r="AK13" s="2">
        <v>1.58</v>
      </c>
      <c r="AL13" s="2" t="s">
        <v>33</v>
      </c>
      <c r="AM13" s="2" t="s">
        <v>33</v>
      </c>
      <c r="AN13" s="2" t="s">
        <v>33</v>
      </c>
      <c r="AO13" s="2" t="s">
        <v>33</v>
      </c>
      <c r="AQ13" s="2">
        <v>1.0</v>
      </c>
      <c r="AS13" s="1">
        <v>49.0</v>
      </c>
      <c r="AT13" s="10">
        <f t="shared" si="1"/>
        <v>83.41829731</v>
      </c>
      <c r="AU13" s="11">
        <f t="shared" si="2"/>
        <v>1603.671604</v>
      </c>
      <c r="AW13" s="12">
        <f t="shared" si="3"/>
        <v>67.911573</v>
      </c>
      <c r="AX13" s="13">
        <f t="shared" si="4"/>
        <v>1474.823648</v>
      </c>
      <c r="AZ13" s="14">
        <f t="shared" si="5"/>
        <v>79.46839022</v>
      </c>
      <c r="BA13" s="15">
        <f t="shared" si="6"/>
        <v>1816.765741</v>
      </c>
      <c r="BC13" s="16">
        <f t="shared" si="7"/>
        <v>82.40637002</v>
      </c>
      <c r="BD13" s="17">
        <f t="shared" si="8"/>
        <v>1597.625842</v>
      </c>
      <c r="BE13" s="1"/>
      <c r="BF13" s="10">
        <f t="shared" si="9"/>
        <v>83.41829731</v>
      </c>
      <c r="BG13" s="11">
        <f t="shared" si="10"/>
        <v>1603.671604</v>
      </c>
      <c r="BI13" s="2">
        <v>49.0</v>
      </c>
      <c r="BJ13" s="2" t="s">
        <v>39</v>
      </c>
      <c r="BK13" s="4">
        <v>45869.79325231481</v>
      </c>
      <c r="BL13" s="2">
        <v>287.0</v>
      </c>
      <c r="BM13" s="2" t="s">
        <v>32</v>
      </c>
      <c r="BN13" s="2">
        <v>0.0</v>
      </c>
      <c r="BO13" s="2">
        <v>2.835</v>
      </c>
      <c r="BP13" s="9">
        <v>1060877.0</v>
      </c>
      <c r="BQ13" s="2">
        <v>0.0</v>
      </c>
      <c r="BR13" s="2" t="s">
        <v>33</v>
      </c>
      <c r="BS13" s="2" t="s">
        <v>33</v>
      </c>
      <c r="BT13" s="2" t="s">
        <v>33</v>
      </c>
      <c r="BU13" s="2" t="s">
        <v>33</v>
      </c>
    </row>
    <row r="14" ht="14.25" customHeight="1">
      <c r="A14" s="2">
        <v>50.0</v>
      </c>
      <c r="B14" s="2" t="s">
        <v>40</v>
      </c>
      <c r="C14" s="4">
        <v>45869.81451388889</v>
      </c>
      <c r="D14" s="2">
        <v>392.0</v>
      </c>
      <c r="E14" s="2" t="s">
        <v>32</v>
      </c>
      <c r="F14" s="2">
        <v>0.0</v>
      </c>
      <c r="G14" s="2">
        <v>5.988</v>
      </c>
      <c r="H14" s="9">
        <v>22081.0</v>
      </c>
      <c r="I14" s="2">
        <v>0.05</v>
      </c>
      <c r="J14" s="2" t="s">
        <v>33</v>
      </c>
      <c r="K14" s="2" t="s">
        <v>33</v>
      </c>
      <c r="L14" s="2" t="s">
        <v>33</v>
      </c>
      <c r="M14" s="2" t="s">
        <v>33</v>
      </c>
      <c r="O14" s="2">
        <v>50.0</v>
      </c>
      <c r="P14" s="2" t="s">
        <v>40</v>
      </c>
      <c r="Q14" s="4">
        <v>45869.81451388889</v>
      </c>
      <c r="R14" s="2">
        <v>392.0</v>
      </c>
      <c r="S14" s="2" t="s">
        <v>32</v>
      </c>
      <c r="T14" s="2">
        <v>0.0</v>
      </c>
      <c r="U14" s="2" t="s">
        <v>33</v>
      </c>
      <c r="V14" s="9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C14" s="2">
        <v>50.0</v>
      </c>
      <c r="AD14" s="2" t="s">
        <v>40</v>
      </c>
      <c r="AE14" s="4">
        <v>45869.81451388889</v>
      </c>
      <c r="AF14" s="2">
        <v>392.0</v>
      </c>
      <c r="AG14" s="2" t="s">
        <v>32</v>
      </c>
      <c r="AH14" s="2">
        <v>0.0</v>
      </c>
      <c r="AI14" s="2">
        <v>12.15</v>
      </c>
      <c r="AJ14" s="9">
        <v>5466.0</v>
      </c>
      <c r="AK14" s="2">
        <v>1.103</v>
      </c>
      <c r="AL14" s="2" t="s">
        <v>33</v>
      </c>
      <c r="AM14" s="2" t="s">
        <v>33</v>
      </c>
      <c r="AN14" s="2" t="s">
        <v>33</v>
      </c>
      <c r="AO14" s="2" t="s">
        <v>33</v>
      </c>
      <c r="AQ14" s="2">
        <v>1.0</v>
      </c>
      <c r="AS14" s="1">
        <v>50.0</v>
      </c>
      <c r="AT14" s="10">
        <f t="shared" si="1"/>
        <v>62.27201094</v>
      </c>
      <c r="AU14" s="11">
        <f t="shared" si="2"/>
        <v>1109.142128</v>
      </c>
      <c r="AW14" s="12">
        <f t="shared" si="3"/>
        <v>49.33691907</v>
      </c>
      <c r="AX14" s="13">
        <f t="shared" si="4"/>
        <v>1025.359735</v>
      </c>
      <c r="AZ14" s="14">
        <f t="shared" si="5"/>
        <v>56.00358423</v>
      </c>
      <c r="BA14" s="15">
        <f t="shared" si="6"/>
        <v>1298.357029</v>
      </c>
      <c r="BC14" s="16">
        <f t="shared" si="7"/>
        <v>59.55100862</v>
      </c>
      <c r="BD14" s="17">
        <f t="shared" si="8"/>
        <v>1152.843346</v>
      </c>
      <c r="BE14" s="1"/>
      <c r="BF14" s="10">
        <f t="shared" si="9"/>
        <v>62.27201094</v>
      </c>
      <c r="BG14" s="11">
        <f t="shared" si="10"/>
        <v>1109.142128</v>
      </c>
      <c r="BI14" s="2">
        <v>50.0</v>
      </c>
      <c r="BJ14" s="2" t="s">
        <v>40</v>
      </c>
      <c r="BK14" s="4">
        <v>45869.81451388889</v>
      </c>
      <c r="BL14" s="2">
        <v>392.0</v>
      </c>
      <c r="BM14" s="2" t="s">
        <v>32</v>
      </c>
      <c r="BN14" s="2">
        <v>0.0</v>
      </c>
      <c r="BO14" s="2">
        <v>2.837</v>
      </c>
      <c r="BP14" s="9">
        <v>1035155.0</v>
      </c>
      <c r="BQ14" s="2">
        <v>0.0</v>
      </c>
      <c r="BR14" s="2" t="s">
        <v>33</v>
      </c>
      <c r="BS14" s="2" t="s">
        <v>33</v>
      </c>
      <c r="BT14" s="2" t="s">
        <v>33</v>
      </c>
      <c r="BU14" s="2" t="s">
        <v>33</v>
      </c>
    </row>
    <row r="15" ht="14.25" customHeight="1">
      <c r="A15" s="2">
        <v>51.0</v>
      </c>
      <c r="B15" s="2" t="s">
        <v>41</v>
      </c>
      <c r="C15" s="4">
        <v>45869.83578703704</v>
      </c>
      <c r="D15" s="2">
        <v>173.0</v>
      </c>
      <c r="E15" s="2" t="s">
        <v>32</v>
      </c>
      <c r="F15" s="2">
        <v>0.0</v>
      </c>
      <c r="G15" s="2">
        <v>5.978</v>
      </c>
      <c r="H15" s="9">
        <v>2932394.0</v>
      </c>
      <c r="I15" s="2">
        <v>6.656</v>
      </c>
      <c r="J15" s="2" t="s">
        <v>33</v>
      </c>
      <c r="K15" s="2" t="s">
        <v>33</v>
      </c>
      <c r="L15" s="2" t="s">
        <v>33</v>
      </c>
      <c r="M15" s="2" t="s">
        <v>33</v>
      </c>
      <c r="O15" s="2">
        <v>51.0</v>
      </c>
      <c r="P15" s="2" t="s">
        <v>41</v>
      </c>
      <c r="Q15" s="4">
        <v>45869.83578703704</v>
      </c>
      <c r="R15" s="2">
        <v>173.0</v>
      </c>
      <c r="S15" s="2" t="s">
        <v>32</v>
      </c>
      <c r="T15" s="2">
        <v>0.0</v>
      </c>
      <c r="U15" s="2">
        <v>5.931</v>
      </c>
      <c r="V15" s="9">
        <v>22918.0</v>
      </c>
      <c r="W15" s="2">
        <v>5.753</v>
      </c>
      <c r="X15" s="2" t="s">
        <v>33</v>
      </c>
      <c r="Y15" s="2" t="s">
        <v>33</v>
      </c>
      <c r="Z15" s="2" t="s">
        <v>33</v>
      </c>
      <c r="AA15" s="2" t="s">
        <v>33</v>
      </c>
      <c r="AC15" s="2">
        <v>51.0</v>
      </c>
      <c r="AD15" s="2" t="s">
        <v>41</v>
      </c>
      <c r="AE15" s="4">
        <v>45869.83578703704</v>
      </c>
      <c r="AF15" s="2">
        <v>173.0</v>
      </c>
      <c r="AG15" s="2" t="s">
        <v>32</v>
      </c>
      <c r="AH15" s="2">
        <v>0.0</v>
      </c>
      <c r="AI15" s="2">
        <v>12.047</v>
      </c>
      <c r="AJ15" s="9">
        <v>98073.0</v>
      </c>
      <c r="AK15" s="2">
        <v>21.274</v>
      </c>
      <c r="AL15" s="2" t="s">
        <v>33</v>
      </c>
      <c r="AM15" s="2" t="s">
        <v>33</v>
      </c>
      <c r="AN15" s="2" t="s">
        <v>33</v>
      </c>
      <c r="AO15" s="2" t="s">
        <v>33</v>
      </c>
      <c r="AQ15" s="2">
        <v>1.0</v>
      </c>
      <c r="AS15" s="1">
        <v>51.0</v>
      </c>
      <c r="AT15" s="10">
        <f t="shared" si="1"/>
        <v>6154.091309</v>
      </c>
      <c r="AU15" s="11">
        <f t="shared" si="2"/>
        <v>21544.72661</v>
      </c>
      <c r="AW15" s="12">
        <f t="shared" si="3"/>
        <v>5879.658751</v>
      </c>
      <c r="AX15" s="13">
        <f t="shared" si="4"/>
        <v>19922.52974</v>
      </c>
      <c r="AZ15" s="14">
        <f t="shared" si="5"/>
        <v>5683.004177</v>
      </c>
      <c r="BA15" s="15">
        <f t="shared" si="6"/>
        <v>22122.29308</v>
      </c>
      <c r="BC15" s="16">
        <f t="shared" si="7"/>
        <v>6387.806948</v>
      </c>
      <c r="BD15" s="17">
        <f t="shared" si="8"/>
        <v>19450.63183</v>
      </c>
      <c r="BE15" s="1"/>
      <c r="BF15" s="10">
        <f t="shared" si="9"/>
        <v>6154.091309</v>
      </c>
      <c r="BG15" s="11">
        <f t="shared" si="10"/>
        <v>21544.72661</v>
      </c>
      <c r="BI15" s="2">
        <v>51.0</v>
      </c>
      <c r="BJ15" s="2" t="s">
        <v>41</v>
      </c>
      <c r="BK15" s="4">
        <v>45869.83578703704</v>
      </c>
      <c r="BL15" s="2">
        <v>173.0</v>
      </c>
      <c r="BM15" s="2" t="s">
        <v>32</v>
      </c>
      <c r="BN15" s="2">
        <v>0.0</v>
      </c>
      <c r="BO15" s="2">
        <v>2.841</v>
      </c>
      <c r="BP15" s="9">
        <v>902002.0</v>
      </c>
      <c r="BQ15" s="2">
        <v>0.0</v>
      </c>
      <c r="BR15" s="2" t="s">
        <v>33</v>
      </c>
      <c r="BS15" s="2" t="s">
        <v>33</v>
      </c>
      <c r="BT15" s="2" t="s">
        <v>33</v>
      </c>
      <c r="BU15" s="2" t="s">
        <v>33</v>
      </c>
    </row>
    <row r="16" ht="14.25" customHeight="1">
      <c r="A16" s="2">
        <v>52.0</v>
      </c>
      <c r="B16" s="2" t="s">
        <v>42</v>
      </c>
      <c r="C16" s="4">
        <v>45869.85706018518</v>
      </c>
      <c r="D16" s="2">
        <v>120.0</v>
      </c>
      <c r="E16" s="2" t="s">
        <v>32</v>
      </c>
      <c r="F16" s="2">
        <v>0.0</v>
      </c>
      <c r="G16" s="2">
        <v>5.988</v>
      </c>
      <c r="H16" s="9">
        <v>54812.0</v>
      </c>
      <c r="I16" s="2">
        <v>0.124</v>
      </c>
      <c r="J16" s="2" t="s">
        <v>33</v>
      </c>
      <c r="K16" s="2" t="s">
        <v>33</v>
      </c>
      <c r="L16" s="2" t="s">
        <v>33</v>
      </c>
      <c r="M16" s="2" t="s">
        <v>33</v>
      </c>
      <c r="O16" s="2">
        <v>52.0</v>
      </c>
      <c r="P16" s="2" t="s">
        <v>42</v>
      </c>
      <c r="Q16" s="4">
        <v>45869.85706018518</v>
      </c>
      <c r="R16" s="2">
        <v>120.0</v>
      </c>
      <c r="S16" s="2" t="s">
        <v>32</v>
      </c>
      <c r="T16" s="2">
        <v>0.0</v>
      </c>
      <c r="U16" s="2">
        <v>5.935</v>
      </c>
      <c r="V16" s="9">
        <v>537.0</v>
      </c>
      <c r="W16" s="2">
        <v>0.223</v>
      </c>
      <c r="X16" s="2" t="s">
        <v>33</v>
      </c>
      <c r="Y16" s="2" t="s">
        <v>33</v>
      </c>
      <c r="Z16" s="2" t="s">
        <v>33</v>
      </c>
      <c r="AA16" s="2" t="s">
        <v>33</v>
      </c>
      <c r="AC16" s="2">
        <v>52.0</v>
      </c>
      <c r="AD16" s="2" t="s">
        <v>42</v>
      </c>
      <c r="AE16" s="4">
        <v>45869.85706018518</v>
      </c>
      <c r="AF16" s="2">
        <v>120.0</v>
      </c>
      <c r="AG16" s="2" t="s">
        <v>32</v>
      </c>
      <c r="AH16" s="2">
        <v>0.0</v>
      </c>
      <c r="AI16" s="2">
        <v>12.157</v>
      </c>
      <c r="AJ16" s="9">
        <v>393.0</v>
      </c>
      <c r="AK16" s="2">
        <v>-0.01</v>
      </c>
      <c r="AL16" s="2" t="s">
        <v>33</v>
      </c>
      <c r="AM16" s="2" t="s">
        <v>33</v>
      </c>
      <c r="AN16" s="2" t="s">
        <v>33</v>
      </c>
      <c r="AO16" s="2" t="s">
        <v>33</v>
      </c>
      <c r="AQ16" s="2">
        <v>1.0</v>
      </c>
      <c r="AS16" s="1">
        <v>52.0</v>
      </c>
      <c r="AT16" s="10">
        <f t="shared" si="1"/>
        <v>149.3946385</v>
      </c>
      <c r="AU16" s="11">
        <f t="shared" si="2"/>
        <v>-44.52147881</v>
      </c>
      <c r="AW16" s="12">
        <f t="shared" si="3"/>
        <v>125.9866052</v>
      </c>
      <c r="AX16" s="13">
        <f t="shared" si="4"/>
        <v>-22.47084154</v>
      </c>
      <c r="AZ16" s="14">
        <f t="shared" si="5"/>
        <v>151.6350476</v>
      </c>
      <c r="BA16" s="15">
        <f t="shared" si="6"/>
        <v>74.10155581</v>
      </c>
      <c r="BC16" s="16">
        <f t="shared" si="7"/>
        <v>153.7113302</v>
      </c>
      <c r="BD16" s="17">
        <f t="shared" si="8"/>
        <v>114.6557639</v>
      </c>
      <c r="BE16" s="1"/>
      <c r="BF16" s="10">
        <f t="shared" si="9"/>
        <v>149.3946385</v>
      </c>
      <c r="BG16" s="11">
        <f t="shared" si="10"/>
        <v>-44.52147881</v>
      </c>
      <c r="BI16" s="2">
        <v>52.0</v>
      </c>
      <c r="BJ16" s="2" t="s">
        <v>42</v>
      </c>
      <c r="BK16" s="4">
        <v>45869.85706018518</v>
      </c>
      <c r="BL16" s="2">
        <v>120.0</v>
      </c>
      <c r="BM16" s="2" t="s">
        <v>32</v>
      </c>
      <c r="BN16" s="2">
        <v>0.0</v>
      </c>
      <c r="BO16" s="2">
        <v>2.836</v>
      </c>
      <c r="BP16" s="9">
        <v>1066125.0</v>
      </c>
      <c r="BQ16" s="2">
        <v>0.0</v>
      </c>
      <c r="BR16" s="2" t="s">
        <v>33</v>
      </c>
      <c r="BS16" s="2" t="s">
        <v>33</v>
      </c>
      <c r="BT16" s="2" t="s">
        <v>33</v>
      </c>
      <c r="BU16" s="2" t="s">
        <v>33</v>
      </c>
    </row>
    <row r="17" ht="14.25" customHeight="1">
      <c r="A17" s="2">
        <v>53.0</v>
      </c>
      <c r="B17" s="2" t="s">
        <v>43</v>
      </c>
      <c r="C17" s="4">
        <v>45869.87834490741</v>
      </c>
      <c r="D17" s="2">
        <v>167.0</v>
      </c>
      <c r="E17" s="2" t="s">
        <v>32</v>
      </c>
      <c r="F17" s="2">
        <v>0.0</v>
      </c>
      <c r="G17" s="2">
        <v>5.977</v>
      </c>
      <c r="H17" s="9">
        <v>3107701.0</v>
      </c>
      <c r="I17" s="2">
        <v>7.056</v>
      </c>
      <c r="J17" s="2" t="s">
        <v>33</v>
      </c>
      <c r="K17" s="2" t="s">
        <v>33</v>
      </c>
      <c r="L17" s="2" t="s">
        <v>33</v>
      </c>
      <c r="M17" s="2" t="s">
        <v>33</v>
      </c>
      <c r="O17" s="2">
        <v>53.0</v>
      </c>
      <c r="P17" s="2" t="s">
        <v>43</v>
      </c>
      <c r="Q17" s="4">
        <v>45869.87834490741</v>
      </c>
      <c r="R17" s="2">
        <v>167.0</v>
      </c>
      <c r="S17" s="2" t="s">
        <v>32</v>
      </c>
      <c r="T17" s="2">
        <v>0.0</v>
      </c>
      <c r="U17" s="2">
        <v>5.929</v>
      </c>
      <c r="V17" s="9">
        <v>23412.0</v>
      </c>
      <c r="W17" s="2">
        <v>5.876</v>
      </c>
      <c r="X17" s="2" t="s">
        <v>33</v>
      </c>
      <c r="Y17" s="2" t="s">
        <v>33</v>
      </c>
      <c r="Z17" s="2" t="s">
        <v>33</v>
      </c>
      <c r="AA17" s="2" t="s">
        <v>33</v>
      </c>
      <c r="AC17" s="2">
        <v>53.0</v>
      </c>
      <c r="AD17" s="2" t="s">
        <v>43</v>
      </c>
      <c r="AE17" s="4">
        <v>45869.87834490741</v>
      </c>
      <c r="AF17" s="2">
        <v>167.0</v>
      </c>
      <c r="AG17" s="2" t="s">
        <v>32</v>
      </c>
      <c r="AH17" s="2">
        <v>0.0</v>
      </c>
      <c r="AI17" s="2">
        <v>12.039</v>
      </c>
      <c r="AJ17" s="9">
        <v>106332.0</v>
      </c>
      <c r="AK17" s="2">
        <v>23.059</v>
      </c>
      <c r="AL17" s="2" t="s">
        <v>33</v>
      </c>
      <c r="AM17" s="2" t="s">
        <v>33</v>
      </c>
      <c r="AN17" s="2" t="s">
        <v>33</v>
      </c>
      <c r="AO17" s="2" t="s">
        <v>33</v>
      </c>
      <c r="AQ17" s="2">
        <v>1.0</v>
      </c>
      <c r="AS17" s="1">
        <v>53.0</v>
      </c>
      <c r="AT17" s="10">
        <f t="shared" si="1"/>
        <v>6508.772704</v>
      </c>
      <c r="AU17" s="11">
        <f t="shared" si="2"/>
        <v>23300.00543</v>
      </c>
      <c r="AW17" s="12">
        <f t="shared" si="3"/>
        <v>6001.282601</v>
      </c>
      <c r="AX17" s="13">
        <f t="shared" si="4"/>
        <v>21586.58267</v>
      </c>
      <c r="AZ17" s="14">
        <f t="shared" si="5"/>
        <v>6003.404758</v>
      </c>
      <c r="BA17" s="15">
        <f t="shared" si="6"/>
        <v>24099.00079</v>
      </c>
      <c r="BC17" s="16">
        <f t="shared" si="7"/>
        <v>6756.924849</v>
      </c>
      <c r="BD17" s="17">
        <f t="shared" si="8"/>
        <v>21113.89654</v>
      </c>
      <c r="BE17" s="1"/>
      <c r="BF17" s="10">
        <f t="shared" si="9"/>
        <v>6508.772704</v>
      </c>
      <c r="BG17" s="11">
        <f t="shared" si="10"/>
        <v>23300.00543</v>
      </c>
      <c r="BI17" s="2">
        <v>53.0</v>
      </c>
      <c r="BJ17" s="2" t="s">
        <v>43</v>
      </c>
      <c r="BK17" s="4">
        <v>45869.87834490741</v>
      </c>
      <c r="BL17" s="2">
        <v>167.0</v>
      </c>
      <c r="BM17" s="2" t="s">
        <v>32</v>
      </c>
      <c r="BN17" s="2">
        <v>0.0</v>
      </c>
      <c r="BO17" s="2">
        <v>2.838</v>
      </c>
      <c r="BP17" s="9">
        <v>972748.0</v>
      </c>
      <c r="BQ17" s="2">
        <v>0.0</v>
      </c>
      <c r="BR17" s="2" t="s">
        <v>33</v>
      </c>
      <c r="BS17" s="2" t="s">
        <v>33</v>
      </c>
      <c r="BT17" s="2" t="s">
        <v>33</v>
      </c>
      <c r="BU17" s="2" t="s">
        <v>33</v>
      </c>
    </row>
    <row r="18" ht="14.25" customHeight="1">
      <c r="A18" s="2">
        <v>54.0</v>
      </c>
      <c r="B18" s="2" t="s">
        <v>44</v>
      </c>
      <c r="C18" s="4">
        <v>45869.89962962963</v>
      </c>
      <c r="D18" s="2">
        <v>229.0</v>
      </c>
      <c r="E18" s="2" t="s">
        <v>32</v>
      </c>
      <c r="F18" s="2">
        <v>0.0</v>
      </c>
      <c r="G18" s="2">
        <v>5.987</v>
      </c>
      <c r="H18" s="9">
        <v>187287.0</v>
      </c>
      <c r="I18" s="2">
        <v>0.423</v>
      </c>
      <c r="J18" s="2" t="s">
        <v>33</v>
      </c>
      <c r="K18" s="2" t="s">
        <v>33</v>
      </c>
      <c r="L18" s="2" t="s">
        <v>33</v>
      </c>
      <c r="M18" s="2" t="s">
        <v>33</v>
      </c>
      <c r="O18" s="2">
        <v>54.0</v>
      </c>
      <c r="P18" s="2" t="s">
        <v>44</v>
      </c>
      <c r="Q18" s="4">
        <v>45869.89962962963</v>
      </c>
      <c r="R18" s="2">
        <v>229.0</v>
      </c>
      <c r="S18" s="2" t="s">
        <v>32</v>
      </c>
      <c r="T18" s="2">
        <v>0.0</v>
      </c>
      <c r="U18" s="2">
        <v>5.935</v>
      </c>
      <c r="V18" s="9">
        <v>1672.0</v>
      </c>
      <c r="W18" s="2">
        <v>0.504</v>
      </c>
      <c r="X18" s="2" t="s">
        <v>33</v>
      </c>
      <c r="Y18" s="2" t="s">
        <v>33</v>
      </c>
      <c r="Z18" s="2" t="s">
        <v>33</v>
      </c>
      <c r="AA18" s="2" t="s">
        <v>33</v>
      </c>
      <c r="AC18" s="2">
        <v>54.0</v>
      </c>
      <c r="AD18" s="2" t="s">
        <v>44</v>
      </c>
      <c r="AE18" s="4">
        <v>45869.89962962963</v>
      </c>
      <c r="AF18" s="2">
        <v>229.0</v>
      </c>
      <c r="AG18" s="2" t="s">
        <v>32</v>
      </c>
      <c r="AH18" s="2">
        <v>0.0</v>
      </c>
      <c r="AI18" s="2">
        <v>12.063</v>
      </c>
      <c r="AJ18" s="9">
        <v>116.0</v>
      </c>
      <c r="AK18" s="2">
        <v>-0.071</v>
      </c>
      <c r="AL18" s="2" t="s">
        <v>33</v>
      </c>
      <c r="AM18" s="2" t="s">
        <v>33</v>
      </c>
      <c r="AN18" s="2" t="s">
        <v>33</v>
      </c>
      <c r="AO18" s="2" t="s">
        <v>33</v>
      </c>
      <c r="AQ18" s="2">
        <v>1.0</v>
      </c>
      <c r="AS18" s="1">
        <v>54.0</v>
      </c>
      <c r="AT18" s="10">
        <f t="shared" si="1"/>
        <v>496.2576354</v>
      </c>
      <c r="AU18" s="11">
        <f t="shared" si="2"/>
        <v>-107.5874603</v>
      </c>
      <c r="AW18" s="12">
        <f t="shared" si="3"/>
        <v>434.4548211</v>
      </c>
      <c r="AX18" s="13">
        <f t="shared" si="4"/>
        <v>-79.7231434</v>
      </c>
      <c r="AZ18" s="14">
        <f t="shared" si="5"/>
        <v>504.1788261</v>
      </c>
      <c r="BA18" s="15">
        <f t="shared" si="6"/>
        <v>6.577862718</v>
      </c>
      <c r="BC18" s="16">
        <f t="shared" si="7"/>
        <v>528.4939428</v>
      </c>
      <c r="BD18" s="17">
        <f t="shared" si="8"/>
        <v>57.87919533</v>
      </c>
      <c r="BE18" s="1"/>
      <c r="BF18" s="10">
        <f t="shared" si="9"/>
        <v>496.2576354</v>
      </c>
      <c r="BG18" s="11">
        <f t="shared" si="10"/>
        <v>-107.5874603</v>
      </c>
      <c r="BI18" s="2">
        <v>54.0</v>
      </c>
      <c r="BJ18" s="2" t="s">
        <v>44</v>
      </c>
      <c r="BK18" s="4">
        <v>45869.89962962963</v>
      </c>
      <c r="BL18" s="2">
        <v>229.0</v>
      </c>
      <c r="BM18" s="2" t="s">
        <v>32</v>
      </c>
      <c r="BN18" s="2">
        <v>0.0</v>
      </c>
      <c r="BO18" s="2">
        <v>2.833</v>
      </c>
      <c r="BP18" s="9">
        <v>1123221.0</v>
      </c>
      <c r="BQ18" s="2">
        <v>0.0</v>
      </c>
      <c r="BR18" s="2" t="s">
        <v>33</v>
      </c>
      <c r="BS18" s="2" t="s">
        <v>33</v>
      </c>
      <c r="BT18" s="2" t="s">
        <v>33</v>
      </c>
      <c r="BU18" s="2" t="s">
        <v>33</v>
      </c>
    </row>
    <row r="19" ht="14.25" customHeight="1">
      <c r="A19" s="2">
        <v>55.0</v>
      </c>
      <c r="B19" s="2" t="s">
        <v>45</v>
      </c>
      <c r="C19" s="4">
        <v>45869.92089120371</v>
      </c>
      <c r="D19" s="2">
        <v>273.0</v>
      </c>
      <c r="E19" s="2" t="s">
        <v>32</v>
      </c>
      <c r="F19" s="2">
        <v>0.0</v>
      </c>
      <c r="G19" s="2">
        <v>5.987</v>
      </c>
      <c r="H19" s="9">
        <v>120846.0</v>
      </c>
      <c r="I19" s="2">
        <v>0.273</v>
      </c>
      <c r="J19" s="2" t="s">
        <v>33</v>
      </c>
      <c r="K19" s="2" t="s">
        <v>33</v>
      </c>
      <c r="L19" s="2" t="s">
        <v>33</v>
      </c>
      <c r="M19" s="2" t="s">
        <v>33</v>
      </c>
      <c r="O19" s="2">
        <v>55.0</v>
      </c>
      <c r="P19" s="2" t="s">
        <v>45</v>
      </c>
      <c r="Q19" s="4">
        <v>45869.92089120371</v>
      </c>
      <c r="R19" s="2">
        <v>273.0</v>
      </c>
      <c r="S19" s="2" t="s">
        <v>32</v>
      </c>
      <c r="T19" s="2">
        <v>0.0</v>
      </c>
      <c r="U19" s="2" t="s">
        <v>33</v>
      </c>
      <c r="V19" s="9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C19" s="2">
        <v>55.0</v>
      </c>
      <c r="AD19" s="2" t="s">
        <v>45</v>
      </c>
      <c r="AE19" s="4">
        <v>45869.92089120371</v>
      </c>
      <c r="AF19" s="2">
        <v>273.0</v>
      </c>
      <c r="AG19" s="2" t="s">
        <v>32</v>
      </c>
      <c r="AH19" s="2">
        <v>0.0</v>
      </c>
      <c r="AI19" s="2">
        <v>12.138</v>
      </c>
      <c r="AJ19" s="9">
        <v>7365.0</v>
      </c>
      <c r="AK19" s="2">
        <v>1.519</v>
      </c>
      <c r="AL19" s="2" t="s">
        <v>33</v>
      </c>
      <c r="AM19" s="2" t="s">
        <v>33</v>
      </c>
      <c r="AN19" s="2" t="s">
        <v>33</v>
      </c>
      <c r="AO19" s="2" t="s">
        <v>33</v>
      </c>
      <c r="AQ19" s="2">
        <v>1.0</v>
      </c>
      <c r="AS19" s="1">
        <v>55.0</v>
      </c>
      <c r="AT19" s="10">
        <f t="shared" si="1"/>
        <v>323.4471842</v>
      </c>
      <c r="AU19" s="11">
        <f t="shared" si="2"/>
        <v>1540.348785</v>
      </c>
      <c r="AW19" s="12">
        <f t="shared" si="3"/>
        <v>280.1002215</v>
      </c>
      <c r="AX19" s="13">
        <f t="shared" si="4"/>
        <v>1417.261213</v>
      </c>
      <c r="AZ19" s="14">
        <f t="shared" si="5"/>
        <v>334.2842552</v>
      </c>
      <c r="BA19" s="15">
        <f t="shared" si="6"/>
        <v>1750.599665</v>
      </c>
      <c r="BC19" s="16">
        <f t="shared" si="7"/>
        <v>341.7939893</v>
      </c>
      <c r="BD19" s="17">
        <f t="shared" si="8"/>
        <v>1540.681255</v>
      </c>
      <c r="BE19" s="1"/>
      <c r="BF19" s="10">
        <f t="shared" si="9"/>
        <v>323.4471842</v>
      </c>
      <c r="BG19" s="11">
        <f t="shared" si="10"/>
        <v>1540.348785</v>
      </c>
      <c r="BI19" s="2">
        <v>55.0</v>
      </c>
      <c r="BJ19" s="2" t="s">
        <v>45</v>
      </c>
      <c r="BK19" s="4">
        <v>45869.92089120371</v>
      </c>
      <c r="BL19" s="2">
        <v>273.0</v>
      </c>
      <c r="BM19" s="2" t="s">
        <v>32</v>
      </c>
      <c r="BN19" s="2">
        <v>0.0</v>
      </c>
      <c r="BO19" s="2">
        <v>2.833</v>
      </c>
      <c r="BP19" s="9">
        <v>1098962.0</v>
      </c>
      <c r="BQ19" s="2">
        <v>0.0</v>
      </c>
      <c r="BR19" s="2" t="s">
        <v>33</v>
      </c>
      <c r="BS19" s="2" t="s">
        <v>33</v>
      </c>
      <c r="BT19" s="2" t="s">
        <v>33</v>
      </c>
      <c r="BU19" s="2" t="s">
        <v>33</v>
      </c>
    </row>
    <row r="20" ht="14.25" customHeight="1">
      <c r="A20" s="2">
        <v>56.0</v>
      </c>
      <c r="B20" s="2" t="s">
        <v>46</v>
      </c>
      <c r="C20" s="4">
        <v>45869.94216435185</v>
      </c>
      <c r="D20" s="2">
        <v>132.0</v>
      </c>
      <c r="E20" s="2" t="s">
        <v>32</v>
      </c>
      <c r="F20" s="2">
        <v>0.0</v>
      </c>
      <c r="G20" s="2">
        <v>5.984</v>
      </c>
      <c r="H20" s="9">
        <v>515915.0</v>
      </c>
      <c r="I20" s="2">
        <v>1.164</v>
      </c>
      <c r="J20" s="2" t="s">
        <v>33</v>
      </c>
      <c r="K20" s="2" t="s">
        <v>33</v>
      </c>
      <c r="L20" s="2" t="s">
        <v>33</v>
      </c>
      <c r="M20" s="2" t="s">
        <v>33</v>
      </c>
      <c r="O20" s="2">
        <v>56.0</v>
      </c>
      <c r="P20" s="2" t="s">
        <v>46</v>
      </c>
      <c r="Q20" s="4">
        <v>45869.94216435185</v>
      </c>
      <c r="R20" s="2">
        <v>132.0</v>
      </c>
      <c r="S20" s="2" t="s">
        <v>32</v>
      </c>
      <c r="T20" s="2">
        <v>0.0</v>
      </c>
      <c r="U20" s="2">
        <v>5.932</v>
      </c>
      <c r="V20" s="9">
        <v>3778.0</v>
      </c>
      <c r="W20" s="2">
        <v>1.025</v>
      </c>
      <c r="X20" s="2" t="s">
        <v>33</v>
      </c>
      <c r="Y20" s="2" t="s">
        <v>33</v>
      </c>
      <c r="Z20" s="2" t="s">
        <v>33</v>
      </c>
      <c r="AA20" s="2" t="s">
        <v>33</v>
      </c>
      <c r="AC20" s="2">
        <v>56.0</v>
      </c>
      <c r="AD20" s="2" t="s">
        <v>46</v>
      </c>
      <c r="AE20" s="4">
        <v>45869.94216435185</v>
      </c>
      <c r="AF20" s="2">
        <v>132.0</v>
      </c>
      <c r="AG20" s="2" t="s">
        <v>32</v>
      </c>
      <c r="AH20" s="2">
        <v>0.0</v>
      </c>
      <c r="AI20" s="2">
        <v>12.134</v>
      </c>
      <c r="AJ20" s="9">
        <v>10586.0</v>
      </c>
      <c r="AK20" s="2">
        <v>2.225</v>
      </c>
      <c r="AL20" s="2" t="s">
        <v>33</v>
      </c>
      <c r="AM20" s="2" t="s">
        <v>33</v>
      </c>
      <c r="AN20" s="2" t="s">
        <v>33</v>
      </c>
      <c r="AO20" s="2" t="s">
        <v>33</v>
      </c>
      <c r="AQ20" s="2">
        <v>1.0</v>
      </c>
      <c r="AS20" s="1">
        <v>56.0</v>
      </c>
      <c r="AT20" s="10">
        <f t="shared" si="1"/>
        <v>1233.132218</v>
      </c>
      <c r="AU20" s="11">
        <f t="shared" si="2"/>
        <v>2270.933249</v>
      </c>
      <c r="AW20" s="12">
        <f t="shared" si="3"/>
        <v>1187.461226</v>
      </c>
      <c r="AX20" s="13">
        <f t="shared" si="4"/>
        <v>2081.566342</v>
      </c>
      <c r="AZ20" s="14">
        <f t="shared" si="5"/>
        <v>1150.02437</v>
      </c>
      <c r="BA20" s="15">
        <f t="shared" si="6"/>
        <v>2510.151885</v>
      </c>
      <c r="BC20" s="16">
        <f t="shared" si="7"/>
        <v>1260.955602</v>
      </c>
      <c r="BD20" s="17">
        <f t="shared" si="8"/>
        <v>2197.528609</v>
      </c>
      <c r="BE20" s="1"/>
      <c r="BF20" s="10">
        <f t="shared" si="9"/>
        <v>1233.132218</v>
      </c>
      <c r="BG20" s="11">
        <f t="shared" si="10"/>
        <v>2270.933249</v>
      </c>
      <c r="BI20" s="2">
        <v>56.0</v>
      </c>
      <c r="BJ20" s="2" t="s">
        <v>46</v>
      </c>
      <c r="BK20" s="4">
        <v>45869.94216435185</v>
      </c>
      <c r="BL20" s="2">
        <v>132.0</v>
      </c>
      <c r="BM20" s="2" t="s">
        <v>32</v>
      </c>
      <c r="BN20" s="2">
        <v>0.0</v>
      </c>
      <c r="BO20" s="2">
        <v>2.823</v>
      </c>
      <c r="BP20" s="9">
        <v>1291012.0</v>
      </c>
      <c r="BQ20" s="2">
        <v>0.0</v>
      </c>
      <c r="BR20" s="2" t="s">
        <v>33</v>
      </c>
      <c r="BS20" s="2" t="s">
        <v>33</v>
      </c>
      <c r="BT20" s="2" t="s">
        <v>33</v>
      </c>
      <c r="BU20" s="2" t="s">
        <v>33</v>
      </c>
    </row>
    <row r="21" ht="14.25" customHeight="1">
      <c r="A21" s="2">
        <v>57.0</v>
      </c>
      <c r="B21" s="2" t="s">
        <v>47</v>
      </c>
      <c r="C21" s="4">
        <v>45869.96341435185</v>
      </c>
      <c r="D21" s="2">
        <v>335.0</v>
      </c>
      <c r="E21" s="2" t="s">
        <v>32</v>
      </c>
      <c r="F21" s="2">
        <v>0.0</v>
      </c>
      <c r="G21" s="2">
        <v>5.989</v>
      </c>
      <c r="H21" s="9">
        <v>28696.0</v>
      </c>
      <c r="I21" s="2">
        <v>0.065</v>
      </c>
      <c r="J21" s="2" t="s">
        <v>33</v>
      </c>
      <c r="K21" s="2" t="s">
        <v>33</v>
      </c>
      <c r="L21" s="2" t="s">
        <v>33</v>
      </c>
      <c r="M21" s="2" t="s">
        <v>33</v>
      </c>
      <c r="O21" s="2">
        <v>57.0</v>
      </c>
      <c r="P21" s="2" t="s">
        <v>47</v>
      </c>
      <c r="Q21" s="4">
        <v>45869.96341435185</v>
      </c>
      <c r="R21" s="2">
        <v>335.0</v>
      </c>
      <c r="S21" s="2" t="s">
        <v>32</v>
      </c>
      <c r="T21" s="2">
        <v>0.0</v>
      </c>
      <c r="U21" s="2" t="s">
        <v>33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C21" s="2">
        <v>57.0</v>
      </c>
      <c r="AD21" s="2" t="s">
        <v>47</v>
      </c>
      <c r="AE21" s="4">
        <v>45869.96341435185</v>
      </c>
      <c r="AF21" s="2">
        <v>335.0</v>
      </c>
      <c r="AG21" s="2" t="s">
        <v>32</v>
      </c>
      <c r="AH21" s="2">
        <v>0.0</v>
      </c>
      <c r="AI21" s="2">
        <v>12.151</v>
      </c>
      <c r="AJ21" s="9">
        <v>5272.0</v>
      </c>
      <c r="AK21" s="2">
        <v>1.06</v>
      </c>
      <c r="AL21" s="2" t="s">
        <v>33</v>
      </c>
      <c r="AM21" s="2" t="s">
        <v>33</v>
      </c>
      <c r="AN21" s="2" t="s">
        <v>33</v>
      </c>
      <c r="AO21" s="2" t="s">
        <v>33</v>
      </c>
      <c r="AQ21" s="2">
        <v>1.0</v>
      </c>
      <c r="AS21" s="1">
        <v>57.0</v>
      </c>
      <c r="AT21" s="10">
        <f t="shared" si="1"/>
        <v>79.92510191</v>
      </c>
      <c r="AU21" s="11">
        <f t="shared" si="2"/>
        <v>1065.070549</v>
      </c>
      <c r="AW21" s="12">
        <f t="shared" si="3"/>
        <v>64.8418865</v>
      </c>
      <c r="AX21" s="13">
        <f t="shared" si="4"/>
        <v>985.3130975</v>
      </c>
      <c r="AZ21" s="14">
        <f t="shared" si="5"/>
        <v>75.60333092</v>
      </c>
      <c r="BA21" s="15">
        <f t="shared" si="6"/>
        <v>1251.971164</v>
      </c>
      <c r="BC21" s="16">
        <f t="shared" si="7"/>
        <v>78.63088863</v>
      </c>
      <c r="BD21" s="17">
        <f t="shared" si="8"/>
        <v>1113.19792</v>
      </c>
      <c r="BE21" s="1"/>
      <c r="BF21" s="10">
        <f t="shared" si="9"/>
        <v>79.92510191</v>
      </c>
      <c r="BG21" s="11">
        <f t="shared" si="10"/>
        <v>1065.070549</v>
      </c>
      <c r="BI21" s="2">
        <v>57.0</v>
      </c>
      <c r="BJ21" s="2" t="s">
        <v>47</v>
      </c>
      <c r="BK21" s="4">
        <v>45869.96341435185</v>
      </c>
      <c r="BL21" s="2">
        <v>335.0</v>
      </c>
      <c r="BM21" s="2" t="s">
        <v>32</v>
      </c>
      <c r="BN21" s="2">
        <v>0.0</v>
      </c>
      <c r="BO21" s="2">
        <v>2.838</v>
      </c>
      <c r="BP21" s="9">
        <v>1018574.0</v>
      </c>
      <c r="BQ21" s="2">
        <v>0.0</v>
      </c>
      <c r="BR21" s="2" t="s">
        <v>33</v>
      </c>
      <c r="BS21" s="2" t="s">
        <v>33</v>
      </c>
      <c r="BT21" s="2" t="s">
        <v>33</v>
      </c>
      <c r="BU21" s="2" t="s">
        <v>33</v>
      </c>
    </row>
    <row r="22" ht="14.25" customHeight="1">
      <c r="A22" s="2">
        <v>58.0</v>
      </c>
      <c r="B22" s="2" t="s">
        <v>48</v>
      </c>
      <c r="C22" s="4">
        <v>45869.984664351854</v>
      </c>
      <c r="D22" s="2">
        <v>308.0</v>
      </c>
      <c r="E22" s="2" t="s">
        <v>32</v>
      </c>
      <c r="F22" s="2">
        <v>0.0</v>
      </c>
      <c r="G22" s="2">
        <v>5.987</v>
      </c>
      <c r="H22" s="9">
        <v>81918.0</v>
      </c>
      <c r="I22" s="2">
        <v>0.185</v>
      </c>
      <c r="J22" s="2" t="s">
        <v>33</v>
      </c>
      <c r="K22" s="2" t="s">
        <v>33</v>
      </c>
      <c r="L22" s="2" t="s">
        <v>33</v>
      </c>
      <c r="M22" s="2" t="s">
        <v>33</v>
      </c>
      <c r="O22" s="2">
        <v>58.0</v>
      </c>
      <c r="P22" s="2" t="s">
        <v>48</v>
      </c>
      <c r="Q22" s="4">
        <v>45869.984664351854</v>
      </c>
      <c r="R22" s="2">
        <v>308.0</v>
      </c>
      <c r="S22" s="2" t="s">
        <v>32</v>
      </c>
      <c r="T22" s="2">
        <v>0.0</v>
      </c>
      <c r="U22" s="2" t="s">
        <v>33</v>
      </c>
      <c r="V22" s="9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C22" s="2">
        <v>58.0</v>
      </c>
      <c r="AD22" s="2" t="s">
        <v>48</v>
      </c>
      <c r="AE22" s="4">
        <v>45869.984664351854</v>
      </c>
      <c r="AF22" s="2">
        <v>308.0</v>
      </c>
      <c r="AG22" s="2" t="s">
        <v>32</v>
      </c>
      <c r="AH22" s="2">
        <v>0.0</v>
      </c>
      <c r="AI22" s="2">
        <v>12.141</v>
      </c>
      <c r="AJ22" s="2">
        <v>37.0</v>
      </c>
      <c r="AK22" s="2">
        <v>-0.089</v>
      </c>
      <c r="AL22" s="2" t="s">
        <v>33</v>
      </c>
      <c r="AM22" s="2" t="s">
        <v>33</v>
      </c>
      <c r="AN22" s="2" t="s">
        <v>33</v>
      </c>
      <c r="AO22" s="2" t="s">
        <v>33</v>
      </c>
      <c r="AQ22" s="2">
        <v>1.0</v>
      </c>
      <c r="AS22" s="1">
        <v>58.0</v>
      </c>
      <c r="AT22" s="10">
        <f t="shared" si="1"/>
        <v>221.1181991</v>
      </c>
      <c r="AU22" s="11">
        <f t="shared" si="2"/>
        <v>-125.5751672</v>
      </c>
      <c r="AW22" s="12">
        <f t="shared" si="3"/>
        <v>189.3329956</v>
      </c>
      <c r="AX22" s="13">
        <f t="shared" si="4"/>
        <v>-96.05213494</v>
      </c>
      <c r="AZ22" s="14">
        <f t="shared" si="5"/>
        <v>228.2739229</v>
      </c>
      <c r="BA22" s="15">
        <f t="shared" si="6"/>
        <v>-12.6926244</v>
      </c>
      <c r="BC22" s="16">
        <f t="shared" si="7"/>
        <v>231.2212726</v>
      </c>
      <c r="BD22" s="17">
        <f t="shared" si="8"/>
        <v>41.68491813</v>
      </c>
      <c r="BE22" s="1"/>
      <c r="BF22" s="10">
        <f t="shared" si="9"/>
        <v>221.1181991</v>
      </c>
      <c r="BG22" s="11">
        <f t="shared" si="10"/>
        <v>-125.5751672</v>
      </c>
      <c r="BI22" s="2">
        <v>58.0</v>
      </c>
      <c r="BJ22" s="2" t="s">
        <v>48</v>
      </c>
      <c r="BK22" s="4">
        <v>45869.984664351854</v>
      </c>
      <c r="BL22" s="2">
        <v>308.0</v>
      </c>
      <c r="BM22" s="2" t="s">
        <v>32</v>
      </c>
      <c r="BN22" s="2">
        <v>0.0</v>
      </c>
      <c r="BO22" s="2">
        <v>2.835</v>
      </c>
      <c r="BP22" s="9">
        <v>1083851.0</v>
      </c>
      <c r="BQ22" s="2">
        <v>0.0</v>
      </c>
      <c r="BR22" s="2" t="s">
        <v>33</v>
      </c>
      <c r="BS22" s="2" t="s">
        <v>33</v>
      </c>
      <c r="BT22" s="2" t="s">
        <v>33</v>
      </c>
      <c r="BU22" s="2" t="s">
        <v>33</v>
      </c>
    </row>
    <row r="23" ht="14.25" customHeight="1">
      <c r="A23" s="2">
        <v>59.0</v>
      </c>
      <c r="B23" s="2" t="s">
        <v>49</v>
      </c>
      <c r="C23" s="4">
        <v>45870.00591435185</v>
      </c>
      <c r="D23" s="2">
        <v>208.0</v>
      </c>
      <c r="E23" s="2" t="s">
        <v>32</v>
      </c>
      <c r="F23" s="2">
        <v>0.0</v>
      </c>
      <c r="G23" s="2">
        <v>5.994</v>
      </c>
      <c r="H23" s="9">
        <v>30448.0</v>
      </c>
      <c r="I23" s="2">
        <v>0.069</v>
      </c>
      <c r="J23" s="2" t="s">
        <v>33</v>
      </c>
      <c r="K23" s="2" t="s">
        <v>33</v>
      </c>
      <c r="L23" s="2" t="s">
        <v>33</v>
      </c>
      <c r="M23" s="2" t="s">
        <v>33</v>
      </c>
      <c r="O23" s="2">
        <v>59.0</v>
      </c>
      <c r="P23" s="2" t="s">
        <v>49</v>
      </c>
      <c r="Q23" s="4">
        <v>45870.00591435185</v>
      </c>
      <c r="R23" s="2">
        <v>208.0</v>
      </c>
      <c r="S23" s="2" t="s">
        <v>32</v>
      </c>
      <c r="T23" s="2">
        <v>0.0</v>
      </c>
      <c r="U23" s="2" t="s">
        <v>33</v>
      </c>
      <c r="V23" s="2" t="s">
        <v>33</v>
      </c>
      <c r="W23" s="2" t="s">
        <v>33</v>
      </c>
      <c r="X23" s="2" t="s">
        <v>33</v>
      </c>
      <c r="Y23" s="2" t="s">
        <v>33</v>
      </c>
      <c r="Z23" s="2" t="s">
        <v>33</v>
      </c>
      <c r="AA23" s="2" t="s">
        <v>33</v>
      </c>
      <c r="AC23" s="2">
        <v>59.0</v>
      </c>
      <c r="AD23" s="2" t="s">
        <v>49</v>
      </c>
      <c r="AE23" s="4">
        <v>45870.00591435185</v>
      </c>
      <c r="AF23" s="2">
        <v>208.0</v>
      </c>
      <c r="AG23" s="2" t="s">
        <v>32</v>
      </c>
      <c r="AH23" s="2">
        <v>0.0</v>
      </c>
      <c r="AI23" s="2">
        <v>12.618</v>
      </c>
      <c r="AJ23" s="2">
        <v>89.0</v>
      </c>
      <c r="AK23" s="2">
        <v>-0.077</v>
      </c>
      <c r="AL23" s="2" t="s">
        <v>33</v>
      </c>
      <c r="AM23" s="2" t="s">
        <v>33</v>
      </c>
      <c r="AN23" s="2" t="s">
        <v>33</v>
      </c>
      <c r="AO23" s="2" t="s">
        <v>33</v>
      </c>
      <c r="AQ23" s="2">
        <v>1.0</v>
      </c>
      <c r="AS23" s="1">
        <v>59.0</v>
      </c>
      <c r="AT23" s="10">
        <f t="shared" si="1"/>
        <v>84.59671377</v>
      </c>
      <c r="AU23" s="11">
        <f t="shared" si="2"/>
        <v>-113.7350887</v>
      </c>
      <c r="AW23" s="12">
        <f t="shared" si="3"/>
        <v>68.94723692</v>
      </c>
      <c r="AX23" s="13">
        <f t="shared" si="4"/>
        <v>-85.30390214</v>
      </c>
      <c r="AZ23" s="14">
        <f t="shared" si="5"/>
        <v>80.77125773</v>
      </c>
      <c r="BA23" s="15">
        <f t="shared" si="6"/>
        <v>-0.0076127681</v>
      </c>
      <c r="BC23" s="16">
        <f t="shared" si="7"/>
        <v>83.68001109</v>
      </c>
      <c r="BD23" s="17">
        <f t="shared" si="8"/>
        <v>52.34452632</v>
      </c>
      <c r="BE23" s="1"/>
      <c r="BF23" s="10">
        <f t="shared" si="9"/>
        <v>84.59671377</v>
      </c>
      <c r="BG23" s="11">
        <f t="shared" si="10"/>
        <v>-113.7350887</v>
      </c>
      <c r="BI23" s="2">
        <v>59.0</v>
      </c>
      <c r="BJ23" s="2" t="s">
        <v>49</v>
      </c>
      <c r="BK23" s="4">
        <v>45870.00591435185</v>
      </c>
      <c r="BL23" s="2">
        <v>208.0</v>
      </c>
      <c r="BM23" s="2" t="s">
        <v>32</v>
      </c>
      <c r="BN23" s="2">
        <v>0.0</v>
      </c>
      <c r="BO23" s="2">
        <v>2.846</v>
      </c>
      <c r="BP23" s="9">
        <v>975553.0</v>
      </c>
      <c r="BQ23" s="2">
        <v>0.0</v>
      </c>
      <c r="BR23" s="2" t="s">
        <v>33</v>
      </c>
      <c r="BS23" s="2" t="s">
        <v>33</v>
      </c>
      <c r="BT23" s="2" t="s">
        <v>33</v>
      </c>
      <c r="BU23" s="2" t="s">
        <v>33</v>
      </c>
    </row>
    <row r="24" ht="14.25" customHeight="1">
      <c r="A24" s="2">
        <v>60.0</v>
      </c>
      <c r="B24" s="2" t="s">
        <v>50</v>
      </c>
      <c r="C24" s="4">
        <v>45870.02717592593</v>
      </c>
      <c r="D24" s="2">
        <v>299.0</v>
      </c>
      <c r="E24" s="2" t="s">
        <v>32</v>
      </c>
      <c r="F24" s="2">
        <v>0.0</v>
      </c>
      <c r="G24" s="2">
        <v>5.988</v>
      </c>
      <c r="H24" s="9">
        <v>40120.0</v>
      </c>
      <c r="I24" s="2">
        <v>0.091</v>
      </c>
      <c r="J24" s="2" t="s">
        <v>33</v>
      </c>
      <c r="K24" s="2" t="s">
        <v>33</v>
      </c>
      <c r="L24" s="2" t="s">
        <v>33</v>
      </c>
      <c r="M24" s="2" t="s">
        <v>33</v>
      </c>
      <c r="O24" s="2">
        <v>60.0</v>
      </c>
      <c r="P24" s="2" t="s">
        <v>50</v>
      </c>
      <c r="Q24" s="4">
        <v>45870.02717592593</v>
      </c>
      <c r="R24" s="2">
        <v>299.0</v>
      </c>
      <c r="S24" s="2" t="s">
        <v>32</v>
      </c>
      <c r="T24" s="2">
        <v>0.0</v>
      </c>
      <c r="U24" s="2" t="s">
        <v>33</v>
      </c>
      <c r="V24" s="9" t="s">
        <v>33</v>
      </c>
      <c r="W24" s="2" t="s">
        <v>33</v>
      </c>
      <c r="X24" s="2" t="s">
        <v>33</v>
      </c>
      <c r="Y24" s="2" t="s">
        <v>33</v>
      </c>
      <c r="Z24" s="2" t="s">
        <v>33</v>
      </c>
      <c r="AA24" s="2" t="s">
        <v>33</v>
      </c>
      <c r="AC24" s="2">
        <v>60.0</v>
      </c>
      <c r="AD24" s="2" t="s">
        <v>50</v>
      </c>
      <c r="AE24" s="4">
        <v>45870.02717592593</v>
      </c>
      <c r="AF24" s="2">
        <v>299.0</v>
      </c>
      <c r="AG24" s="2" t="s">
        <v>32</v>
      </c>
      <c r="AH24" s="2">
        <v>0.0</v>
      </c>
      <c r="AI24" s="2">
        <v>12.162</v>
      </c>
      <c r="AJ24" s="9">
        <v>48.0</v>
      </c>
      <c r="AK24" s="2">
        <v>-0.086</v>
      </c>
      <c r="AL24" s="2" t="s">
        <v>33</v>
      </c>
      <c r="AM24" s="2" t="s">
        <v>33</v>
      </c>
      <c r="AN24" s="2" t="s">
        <v>33</v>
      </c>
      <c r="AO24" s="2" t="s">
        <v>33</v>
      </c>
      <c r="AQ24" s="2">
        <v>1.0</v>
      </c>
      <c r="AS24" s="1">
        <v>60.0</v>
      </c>
      <c r="AT24" s="10">
        <f t="shared" si="1"/>
        <v>110.3575114</v>
      </c>
      <c r="AU24" s="11">
        <f t="shared" si="2"/>
        <v>-123.0705131</v>
      </c>
      <c r="AW24" s="12">
        <f t="shared" si="3"/>
        <v>91.60212166</v>
      </c>
      <c r="AX24" s="13">
        <f t="shared" si="4"/>
        <v>-93.7784588</v>
      </c>
      <c r="AZ24" s="14">
        <f t="shared" si="5"/>
        <v>109.1267981</v>
      </c>
      <c r="BA24" s="15">
        <f t="shared" si="6"/>
        <v>-10.00905085</v>
      </c>
      <c r="BC24" s="16">
        <f t="shared" si="7"/>
        <v>111.5220234</v>
      </c>
      <c r="BD24" s="17">
        <f t="shared" si="8"/>
        <v>43.93986222</v>
      </c>
      <c r="BE24" s="1"/>
      <c r="BF24" s="10">
        <f t="shared" si="9"/>
        <v>110.3575114</v>
      </c>
      <c r="BG24" s="11">
        <f t="shared" si="10"/>
        <v>-123.0705131</v>
      </c>
      <c r="BI24" s="2">
        <v>60.0</v>
      </c>
      <c r="BJ24" s="2" t="s">
        <v>50</v>
      </c>
      <c r="BK24" s="4">
        <v>45870.02717592593</v>
      </c>
      <c r="BL24" s="2">
        <v>299.0</v>
      </c>
      <c r="BM24" s="2" t="s">
        <v>32</v>
      </c>
      <c r="BN24" s="2">
        <v>0.0</v>
      </c>
      <c r="BO24" s="2">
        <v>2.838</v>
      </c>
      <c r="BP24" s="9">
        <v>1014519.0</v>
      </c>
      <c r="BQ24" s="2">
        <v>0.0</v>
      </c>
      <c r="BR24" s="2" t="s">
        <v>33</v>
      </c>
      <c r="BS24" s="2" t="s">
        <v>33</v>
      </c>
      <c r="BT24" s="2" t="s">
        <v>33</v>
      </c>
      <c r="BU24" s="2" t="s">
        <v>33</v>
      </c>
    </row>
    <row r="25" ht="14.25" customHeight="1">
      <c r="A25" s="2">
        <v>61.0</v>
      </c>
      <c r="B25" s="2" t="s">
        <v>51</v>
      </c>
      <c r="C25" s="4">
        <v>45870.048425925925</v>
      </c>
      <c r="D25" s="2">
        <v>150.0</v>
      </c>
      <c r="E25" s="2" t="s">
        <v>32</v>
      </c>
      <c r="F25" s="2">
        <v>0.0</v>
      </c>
      <c r="G25" s="2">
        <v>5.988</v>
      </c>
      <c r="H25" s="9">
        <v>39179.0</v>
      </c>
      <c r="I25" s="2">
        <v>0.089</v>
      </c>
      <c r="J25" s="2" t="s">
        <v>33</v>
      </c>
      <c r="K25" s="2" t="s">
        <v>33</v>
      </c>
      <c r="L25" s="2" t="s">
        <v>33</v>
      </c>
      <c r="M25" s="2" t="s">
        <v>33</v>
      </c>
      <c r="O25" s="2">
        <v>61.0</v>
      </c>
      <c r="P25" s="2" t="s">
        <v>51</v>
      </c>
      <c r="Q25" s="4">
        <v>45870.048425925925</v>
      </c>
      <c r="R25" s="2">
        <v>150.0</v>
      </c>
      <c r="S25" s="2" t="s">
        <v>32</v>
      </c>
      <c r="T25" s="2">
        <v>0.0</v>
      </c>
      <c r="U25" s="2" t="s">
        <v>33</v>
      </c>
      <c r="V25" s="2" t="s">
        <v>33</v>
      </c>
      <c r="W25" s="2" t="s">
        <v>33</v>
      </c>
      <c r="X25" s="2" t="s">
        <v>33</v>
      </c>
      <c r="Y25" s="2" t="s">
        <v>33</v>
      </c>
      <c r="Z25" s="2" t="s">
        <v>33</v>
      </c>
      <c r="AA25" s="2" t="s">
        <v>33</v>
      </c>
      <c r="AC25" s="2">
        <v>61.0</v>
      </c>
      <c r="AD25" s="2" t="s">
        <v>51</v>
      </c>
      <c r="AE25" s="4">
        <v>45870.048425925925</v>
      </c>
      <c r="AF25" s="2">
        <v>150.0</v>
      </c>
      <c r="AG25" s="2" t="s">
        <v>32</v>
      </c>
      <c r="AH25" s="2">
        <v>0.0</v>
      </c>
      <c r="AI25" s="2">
        <v>12.05</v>
      </c>
      <c r="AJ25" s="9">
        <v>50.0</v>
      </c>
      <c r="AK25" s="2">
        <v>-0.086</v>
      </c>
      <c r="AL25" s="2" t="s">
        <v>33</v>
      </c>
      <c r="AM25" s="2" t="s">
        <v>33</v>
      </c>
      <c r="AN25" s="2" t="s">
        <v>33</v>
      </c>
      <c r="AO25" s="2" t="s">
        <v>33</v>
      </c>
      <c r="AQ25" s="2">
        <v>1.0</v>
      </c>
      <c r="AS25" s="1">
        <v>61.0</v>
      </c>
      <c r="AT25" s="10">
        <f t="shared" si="1"/>
        <v>107.8533746</v>
      </c>
      <c r="AU25" s="11">
        <f t="shared" si="2"/>
        <v>-122.6151227</v>
      </c>
      <c r="AW25" s="12">
        <f t="shared" si="3"/>
        <v>89.39866358</v>
      </c>
      <c r="AX25" s="13">
        <f t="shared" si="4"/>
        <v>-93.3650638</v>
      </c>
      <c r="AZ25" s="14">
        <f t="shared" si="5"/>
        <v>106.3810114</v>
      </c>
      <c r="BA25" s="15">
        <f t="shared" si="6"/>
        <v>-9.52114025</v>
      </c>
      <c r="BC25" s="16">
        <f t="shared" si="7"/>
        <v>108.8156147</v>
      </c>
      <c r="BD25" s="17">
        <f t="shared" si="8"/>
        <v>44.3498505</v>
      </c>
      <c r="BE25" s="1"/>
      <c r="BF25" s="10">
        <f t="shared" si="9"/>
        <v>107.8533746</v>
      </c>
      <c r="BG25" s="11">
        <f t="shared" si="10"/>
        <v>-122.6151227</v>
      </c>
      <c r="BI25" s="2">
        <v>61.0</v>
      </c>
      <c r="BJ25" s="2" t="s">
        <v>51</v>
      </c>
      <c r="BK25" s="4">
        <v>45870.048425925925</v>
      </c>
      <c r="BL25" s="2">
        <v>150.0</v>
      </c>
      <c r="BM25" s="2" t="s">
        <v>32</v>
      </c>
      <c r="BN25" s="2">
        <v>0.0</v>
      </c>
      <c r="BO25" s="2">
        <v>2.833</v>
      </c>
      <c r="BP25" s="9">
        <v>1120204.0</v>
      </c>
      <c r="BQ25" s="2">
        <v>0.0</v>
      </c>
      <c r="BR25" s="2" t="s">
        <v>33</v>
      </c>
      <c r="BS25" s="2" t="s">
        <v>33</v>
      </c>
      <c r="BT25" s="2" t="s">
        <v>33</v>
      </c>
      <c r="BU25" s="2" t="s">
        <v>33</v>
      </c>
    </row>
    <row r="26" ht="14.25" customHeight="1">
      <c r="A26" s="2">
        <v>62.0</v>
      </c>
      <c r="B26" s="2" t="s">
        <v>52</v>
      </c>
      <c r="C26" s="4">
        <v>45870.0696875</v>
      </c>
      <c r="D26" s="2">
        <v>359.0</v>
      </c>
      <c r="E26" s="2" t="s">
        <v>32</v>
      </c>
      <c r="F26" s="2">
        <v>0.0</v>
      </c>
      <c r="G26" s="2">
        <v>5.986</v>
      </c>
      <c r="H26" s="9">
        <v>261522.0</v>
      </c>
      <c r="I26" s="2">
        <v>0.59</v>
      </c>
      <c r="J26" s="2" t="s">
        <v>33</v>
      </c>
      <c r="K26" s="2" t="s">
        <v>33</v>
      </c>
      <c r="L26" s="2" t="s">
        <v>33</v>
      </c>
      <c r="M26" s="2" t="s">
        <v>33</v>
      </c>
      <c r="O26" s="2">
        <v>62.0</v>
      </c>
      <c r="P26" s="2" t="s">
        <v>52</v>
      </c>
      <c r="Q26" s="4">
        <v>45870.0696875</v>
      </c>
      <c r="R26" s="2">
        <v>359.0</v>
      </c>
      <c r="S26" s="2" t="s">
        <v>32</v>
      </c>
      <c r="T26" s="2">
        <v>0.0</v>
      </c>
      <c r="U26" s="2">
        <v>5.934</v>
      </c>
      <c r="V26" s="9">
        <v>2174.0</v>
      </c>
      <c r="W26" s="2">
        <v>0.628</v>
      </c>
      <c r="X26" s="2" t="s">
        <v>33</v>
      </c>
      <c r="Y26" s="2" t="s">
        <v>33</v>
      </c>
      <c r="Z26" s="2" t="s">
        <v>33</v>
      </c>
      <c r="AA26" s="2" t="s">
        <v>33</v>
      </c>
      <c r="AC26" s="2">
        <v>62.0</v>
      </c>
      <c r="AD26" s="2" t="s">
        <v>52</v>
      </c>
      <c r="AE26" s="4">
        <v>45870.0696875</v>
      </c>
      <c r="AF26" s="2">
        <v>359.0</v>
      </c>
      <c r="AG26" s="2" t="s">
        <v>32</v>
      </c>
      <c r="AH26" s="2">
        <v>0.0</v>
      </c>
      <c r="AI26" s="2">
        <v>12.235</v>
      </c>
      <c r="AJ26" s="9">
        <v>234.0</v>
      </c>
      <c r="AK26" s="2">
        <v>-0.045</v>
      </c>
      <c r="AL26" s="2" t="s">
        <v>33</v>
      </c>
      <c r="AM26" s="2" t="s">
        <v>33</v>
      </c>
      <c r="AN26" s="2" t="s">
        <v>33</v>
      </c>
      <c r="AO26" s="2" t="s">
        <v>33</v>
      </c>
      <c r="AQ26" s="2">
        <v>1.0</v>
      </c>
      <c r="AS26" s="1">
        <v>62.0</v>
      </c>
      <c r="AT26" s="10">
        <f t="shared" si="1"/>
        <v>711.6174482</v>
      </c>
      <c r="AU26" s="11">
        <f t="shared" si="2"/>
        <v>-80.72088688</v>
      </c>
      <c r="AW26" s="12">
        <f t="shared" si="3"/>
        <v>606.0752229</v>
      </c>
      <c r="AX26" s="13">
        <f t="shared" si="4"/>
        <v>-55.33359737</v>
      </c>
      <c r="AZ26" s="14">
        <f t="shared" si="5"/>
        <v>660.1805561</v>
      </c>
      <c r="BA26" s="15">
        <f t="shared" si="6"/>
        <v>35.35102579</v>
      </c>
      <c r="BC26" s="16">
        <f t="shared" si="7"/>
        <v>717.0176047</v>
      </c>
      <c r="BD26" s="17">
        <f t="shared" si="8"/>
        <v>82.06672559</v>
      </c>
      <c r="BE26" s="1"/>
      <c r="BF26" s="10">
        <f t="shared" si="9"/>
        <v>711.6174482</v>
      </c>
      <c r="BG26" s="11">
        <f t="shared" si="10"/>
        <v>-80.72088688</v>
      </c>
      <c r="BI26" s="2">
        <v>62.0</v>
      </c>
      <c r="BJ26" s="2" t="s">
        <v>52</v>
      </c>
      <c r="BK26" s="4">
        <v>45870.0696875</v>
      </c>
      <c r="BL26" s="2">
        <v>359.0</v>
      </c>
      <c r="BM26" s="2" t="s">
        <v>32</v>
      </c>
      <c r="BN26" s="2">
        <v>0.0</v>
      </c>
      <c r="BO26" s="2">
        <v>2.835</v>
      </c>
      <c r="BP26" s="9">
        <v>1084557.0</v>
      </c>
      <c r="BQ26" s="2">
        <v>0.0</v>
      </c>
      <c r="BR26" s="2" t="s">
        <v>33</v>
      </c>
      <c r="BS26" s="2" t="s">
        <v>33</v>
      </c>
      <c r="BT26" s="2" t="s">
        <v>33</v>
      </c>
      <c r="BU26" s="2" t="s">
        <v>33</v>
      </c>
    </row>
    <row r="27" ht="14.25" customHeight="1">
      <c r="A27" s="2">
        <v>63.0</v>
      </c>
      <c r="B27" s="2" t="s">
        <v>53</v>
      </c>
      <c r="C27" s="4">
        <v>45870.090949074074</v>
      </c>
      <c r="D27" s="2">
        <v>152.0</v>
      </c>
      <c r="E27" s="2" t="s">
        <v>32</v>
      </c>
      <c r="F27" s="2">
        <v>0.0</v>
      </c>
      <c r="G27" s="2">
        <v>5.994</v>
      </c>
      <c r="H27" s="9">
        <v>84825.0</v>
      </c>
      <c r="I27" s="2">
        <v>0.192</v>
      </c>
      <c r="J27" s="2" t="s">
        <v>33</v>
      </c>
      <c r="K27" s="2" t="s">
        <v>33</v>
      </c>
      <c r="L27" s="2" t="s">
        <v>33</v>
      </c>
      <c r="M27" s="2" t="s">
        <v>33</v>
      </c>
      <c r="O27" s="2">
        <v>63.0</v>
      </c>
      <c r="P27" s="2" t="s">
        <v>53</v>
      </c>
      <c r="Q27" s="4">
        <v>45870.090949074074</v>
      </c>
      <c r="R27" s="2">
        <v>152.0</v>
      </c>
      <c r="S27" s="2" t="s">
        <v>32</v>
      </c>
      <c r="T27" s="2">
        <v>0.0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 t="s">
        <v>33</v>
      </c>
      <c r="AA27" s="2" t="s">
        <v>33</v>
      </c>
      <c r="AC27" s="2">
        <v>63.0</v>
      </c>
      <c r="AD27" s="2" t="s">
        <v>53</v>
      </c>
      <c r="AE27" s="4">
        <v>45870.090949074074</v>
      </c>
      <c r="AF27" s="2">
        <v>152.0</v>
      </c>
      <c r="AG27" s="2" t="s">
        <v>32</v>
      </c>
      <c r="AH27" s="2">
        <v>0.0</v>
      </c>
      <c r="AI27" s="2">
        <v>12.264</v>
      </c>
      <c r="AJ27" s="9">
        <v>143.0</v>
      </c>
      <c r="AK27" s="2">
        <v>-0.065</v>
      </c>
      <c r="AL27" s="2" t="s">
        <v>33</v>
      </c>
      <c r="AM27" s="2" t="s">
        <v>33</v>
      </c>
      <c r="AN27" s="2" t="s">
        <v>33</v>
      </c>
      <c r="AO27" s="2" t="s">
        <v>33</v>
      </c>
      <c r="AQ27" s="2">
        <v>1.0</v>
      </c>
      <c r="AS27" s="1">
        <v>63.0</v>
      </c>
      <c r="AT27" s="10">
        <f t="shared" si="1"/>
        <v>228.7872912</v>
      </c>
      <c r="AU27" s="11">
        <f t="shared" si="2"/>
        <v>-101.4399034</v>
      </c>
      <c r="AW27" s="12">
        <f t="shared" si="3"/>
        <v>196.1195921</v>
      </c>
      <c r="AX27" s="13">
        <f t="shared" si="4"/>
        <v>-74.14242186</v>
      </c>
      <c r="AZ27" s="14">
        <f t="shared" si="5"/>
        <v>236.3555175</v>
      </c>
      <c r="BA27" s="15">
        <f t="shared" si="6"/>
        <v>13.16267321</v>
      </c>
      <c r="BC27" s="16">
        <f t="shared" si="7"/>
        <v>239.508678</v>
      </c>
      <c r="BD27" s="17">
        <f t="shared" si="8"/>
        <v>63.41377715</v>
      </c>
      <c r="BE27" s="1"/>
      <c r="BF27" s="10">
        <f t="shared" si="9"/>
        <v>228.7872912</v>
      </c>
      <c r="BG27" s="11">
        <f t="shared" si="10"/>
        <v>-101.4399034</v>
      </c>
      <c r="BI27" s="2">
        <v>63.0</v>
      </c>
      <c r="BJ27" s="2" t="s">
        <v>53</v>
      </c>
      <c r="BK27" s="4">
        <v>45870.090949074074</v>
      </c>
      <c r="BL27" s="2">
        <v>152.0</v>
      </c>
      <c r="BM27" s="2" t="s">
        <v>32</v>
      </c>
      <c r="BN27" s="2">
        <v>0.0</v>
      </c>
      <c r="BO27" s="2">
        <v>2.839</v>
      </c>
      <c r="BP27" s="9">
        <v>1112587.0</v>
      </c>
      <c r="BQ27" s="2">
        <v>0.0</v>
      </c>
      <c r="BR27" s="2" t="s">
        <v>33</v>
      </c>
      <c r="BS27" s="2" t="s">
        <v>33</v>
      </c>
      <c r="BT27" s="2" t="s">
        <v>33</v>
      </c>
      <c r="BU27" s="2" t="s">
        <v>33</v>
      </c>
    </row>
    <row r="28" ht="14.25" customHeight="1">
      <c r="A28" s="2">
        <v>64.0</v>
      </c>
      <c r="B28" s="2" t="s">
        <v>54</v>
      </c>
      <c r="C28" s="4">
        <v>45870.112222222226</v>
      </c>
      <c r="D28" s="2">
        <v>74.0</v>
      </c>
      <c r="E28" s="2" t="s">
        <v>32</v>
      </c>
      <c r="F28" s="2">
        <v>0.0</v>
      </c>
      <c r="G28" s="2">
        <v>5.994</v>
      </c>
      <c r="H28" s="9">
        <v>141873.0</v>
      </c>
      <c r="I28" s="2">
        <v>0.32</v>
      </c>
      <c r="J28" s="2" t="s">
        <v>33</v>
      </c>
      <c r="K28" s="2" t="s">
        <v>33</v>
      </c>
      <c r="L28" s="2" t="s">
        <v>33</v>
      </c>
      <c r="M28" s="2" t="s">
        <v>33</v>
      </c>
      <c r="O28" s="2">
        <v>64.0</v>
      </c>
      <c r="P28" s="2" t="s">
        <v>54</v>
      </c>
      <c r="Q28" s="4">
        <v>45870.112222222226</v>
      </c>
      <c r="R28" s="2">
        <v>74.0</v>
      </c>
      <c r="S28" s="2" t="s">
        <v>32</v>
      </c>
      <c r="T28" s="2">
        <v>0.0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 t="s">
        <v>33</v>
      </c>
      <c r="AA28" s="2" t="s">
        <v>33</v>
      </c>
      <c r="AC28" s="2">
        <v>64.0</v>
      </c>
      <c r="AD28" s="2" t="s">
        <v>54</v>
      </c>
      <c r="AE28" s="4">
        <v>45870.112222222226</v>
      </c>
      <c r="AF28" s="2">
        <v>74.0</v>
      </c>
      <c r="AG28" s="2" t="s">
        <v>32</v>
      </c>
      <c r="AH28" s="2">
        <v>0.0</v>
      </c>
      <c r="AI28" s="2">
        <v>12.216</v>
      </c>
      <c r="AJ28" s="9">
        <v>819.0</v>
      </c>
      <c r="AK28" s="2">
        <v>0.083</v>
      </c>
      <c r="AL28" s="2" t="s">
        <v>33</v>
      </c>
      <c r="AM28" s="2" t="s">
        <v>33</v>
      </c>
      <c r="AN28" s="2" t="s">
        <v>33</v>
      </c>
      <c r="AO28" s="2" t="s">
        <v>33</v>
      </c>
      <c r="AQ28" s="2">
        <v>1.0</v>
      </c>
      <c r="AS28" s="1">
        <v>64.0</v>
      </c>
      <c r="AT28" s="10">
        <f t="shared" si="1"/>
        <v>378.3887356</v>
      </c>
      <c r="AU28" s="11">
        <f t="shared" si="2"/>
        <v>52.45338576</v>
      </c>
      <c r="AW28" s="12">
        <f t="shared" si="3"/>
        <v>329.0266991</v>
      </c>
      <c r="AX28" s="13">
        <f t="shared" si="4"/>
        <v>65.57018218</v>
      </c>
      <c r="AZ28" s="14">
        <f t="shared" si="5"/>
        <v>389.5577648</v>
      </c>
      <c r="BA28" s="15">
        <f t="shared" si="6"/>
        <v>177.8100659</v>
      </c>
      <c r="BC28" s="16">
        <f t="shared" si="7"/>
        <v>401.1558756</v>
      </c>
      <c r="BD28" s="17">
        <f t="shared" si="8"/>
        <v>201.9548885</v>
      </c>
      <c r="BE28" s="1"/>
      <c r="BF28" s="10">
        <f t="shared" si="9"/>
        <v>378.3887356</v>
      </c>
      <c r="BG28" s="11">
        <f t="shared" si="10"/>
        <v>52.45338576</v>
      </c>
      <c r="BI28" s="2">
        <v>64.0</v>
      </c>
      <c r="BJ28" s="2" t="s">
        <v>54</v>
      </c>
      <c r="BK28" s="4">
        <v>45870.112222222226</v>
      </c>
      <c r="BL28" s="2">
        <v>74.0</v>
      </c>
      <c r="BM28" s="2" t="s">
        <v>32</v>
      </c>
      <c r="BN28" s="2">
        <v>0.0</v>
      </c>
      <c r="BO28" s="2">
        <v>2.84</v>
      </c>
      <c r="BP28" s="9">
        <v>1096385.0</v>
      </c>
      <c r="BQ28" s="2">
        <v>0.0</v>
      </c>
      <c r="BR28" s="2" t="s">
        <v>33</v>
      </c>
      <c r="BS28" s="2" t="s">
        <v>33</v>
      </c>
      <c r="BT28" s="2" t="s">
        <v>33</v>
      </c>
      <c r="BU28" s="2" t="s">
        <v>33</v>
      </c>
    </row>
    <row r="29" ht="14.25" customHeight="1">
      <c r="A29" s="2">
        <v>65.0</v>
      </c>
      <c r="B29" s="2" t="s">
        <v>55</v>
      </c>
      <c r="C29" s="4">
        <v>45870.13348379629</v>
      </c>
      <c r="D29" s="2">
        <v>405.0</v>
      </c>
      <c r="E29" s="2" t="s">
        <v>32</v>
      </c>
      <c r="F29" s="2">
        <v>0.0</v>
      </c>
      <c r="G29" s="2" t="s">
        <v>33</v>
      </c>
      <c r="H29" s="9" t="s">
        <v>33</v>
      </c>
      <c r="I29" s="2" t="s">
        <v>33</v>
      </c>
      <c r="J29" s="2" t="s">
        <v>33</v>
      </c>
      <c r="K29" s="2" t="s">
        <v>33</v>
      </c>
      <c r="L29" s="2" t="s">
        <v>33</v>
      </c>
      <c r="M29" s="2" t="s">
        <v>33</v>
      </c>
      <c r="O29" s="2">
        <v>65.0</v>
      </c>
      <c r="P29" s="2" t="s">
        <v>55</v>
      </c>
      <c r="Q29" s="4">
        <v>45870.13348379629</v>
      </c>
      <c r="R29" s="2">
        <v>405.0</v>
      </c>
      <c r="S29" s="2" t="s">
        <v>32</v>
      </c>
      <c r="T29" s="2">
        <v>0.0</v>
      </c>
      <c r="U29" s="2" t="s">
        <v>33</v>
      </c>
      <c r="V29" s="9" t="s">
        <v>33</v>
      </c>
      <c r="W29" s="2" t="s">
        <v>33</v>
      </c>
      <c r="X29" s="2" t="s">
        <v>33</v>
      </c>
      <c r="Y29" s="2" t="s">
        <v>33</v>
      </c>
      <c r="Z29" s="2" t="s">
        <v>33</v>
      </c>
      <c r="AA29" s="2" t="s">
        <v>33</v>
      </c>
      <c r="AC29" s="2">
        <v>65.0</v>
      </c>
      <c r="AD29" s="2" t="s">
        <v>55</v>
      </c>
      <c r="AE29" s="4">
        <v>45870.13348379629</v>
      </c>
      <c r="AF29" s="2">
        <v>405.0</v>
      </c>
      <c r="AG29" s="2" t="s">
        <v>32</v>
      </c>
      <c r="AH29" s="2">
        <v>0.0</v>
      </c>
      <c r="AI29" s="2">
        <v>12.2</v>
      </c>
      <c r="AJ29" s="9">
        <v>2.3508914E7</v>
      </c>
      <c r="AK29" s="18">
        <v>2694.952</v>
      </c>
      <c r="AL29" s="2" t="s">
        <v>33</v>
      </c>
      <c r="AM29" s="2" t="s">
        <v>33</v>
      </c>
      <c r="AN29" s="2" t="s">
        <v>33</v>
      </c>
      <c r="AO29" s="2" t="s">
        <v>33</v>
      </c>
      <c r="AQ29" s="2">
        <v>3.0</v>
      </c>
      <c r="AR29" s="2" t="s">
        <v>56</v>
      </c>
      <c r="AS29" s="1">
        <v>65.0</v>
      </c>
      <c r="AT29" s="10" t="str">
        <f t="shared" si="1"/>
        <v>#VALUE!</v>
      </c>
      <c r="AU29" s="11">
        <f t="shared" si="2"/>
        <v>-821390.742</v>
      </c>
      <c r="AW29" s="12" t="str">
        <f t="shared" si="3"/>
        <v>#VALUE!</v>
      </c>
      <c r="AX29" s="13">
        <f t="shared" si="4"/>
        <v>-9244925.012</v>
      </c>
      <c r="AZ29" s="14" t="str">
        <f t="shared" si="5"/>
        <v>#VALUE!</v>
      </c>
      <c r="BA29" s="15">
        <f t="shared" si="6"/>
        <v>-16782782.63</v>
      </c>
      <c r="BC29" s="16" t="str">
        <f t="shared" si="7"/>
        <v>#VALUE!</v>
      </c>
      <c r="BD29" s="17">
        <f t="shared" si="8"/>
        <v>-8431298.712</v>
      </c>
      <c r="BE29" s="1"/>
      <c r="BF29" s="10" t="str">
        <f t="shared" si="9"/>
        <v>#VALUE!</v>
      </c>
      <c r="BG29" s="11">
        <f t="shared" si="10"/>
        <v>-821390.742</v>
      </c>
      <c r="BI29" s="2">
        <v>65.0</v>
      </c>
      <c r="BJ29" s="2" t="s">
        <v>55</v>
      </c>
      <c r="BK29" s="4">
        <v>45870.13348379629</v>
      </c>
      <c r="BL29" s="2">
        <v>405.0</v>
      </c>
      <c r="BM29" s="2" t="s">
        <v>32</v>
      </c>
      <c r="BN29" s="2">
        <v>0.0</v>
      </c>
      <c r="BO29" s="2" t="s">
        <v>33</v>
      </c>
      <c r="BP29" s="9" t="s">
        <v>33</v>
      </c>
      <c r="BQ29" s="2" t="s">
        <v>33</v>
      </c>
      <c r="BR29" s="2" t="s">
        <v>33</v>
      </c>
      <c r="BS29" s="2" t="s">
        <v>33</v>
      </c>
      <c r="BT29" s="2" t="s">
        <v>33</v>
      </c>
      <c r="BU29" s="2" t="s">
        <v>33</v>
      </c>
    </row>
    <row r="30" ht="14.25" customHeight="1">
      <c r="C30" s="4"/>
      <c r="H30" s="9"/>
      <c r="Q30" s="4"/>
      <c r="AE30" s="4"/>
      <c r="AJ30" s="9"/>
      <c r="AS30" s="1"/>
      <c r="AT30" s="10"/>
      <c r="AU30" s="11"/>
      <c r="AW30" s="12"/>
      <c r="AX30" s="13"/>
      <c r="AZ30" s="14"/>
      <c r="BA30" s="15"/>
      <c r="BC30" s="16"/>
      <c r="BD30" s="17"/>
      <c r="BE30" s="1"/>
      <c r="BF30" s="10"/>
      <c r="BG30" s="11"/>
      <c r="BK30" s="4"/>
      <c r="BP30" s="9"/>
    </row>
    <row r="31" ht="14.25" customHeight="1">
      <c r="C31" s="4"/>
      <c r="H31" s="9"/>
      <c r="Q31" s="4"/>
      <c r="AE31" s="4"/>
      <c r="AJ31" s="9"/>
      <c r="AS31" s="1"/>
      <c r="AT31" s="10"/>
      <c r="AU31" s="11"/>
      <c r="AW31" s="12"/>
      <c r="AX31" s="13"/>
      <c r="AZ31" s="14"/>
      <c r="BA31" s="15"/>
      <c r="BC31" s="16"/>
      <c r="BD31" s="17"/>
      <c r="BE31" s="1"/>
      <c r="BF31" s="10"/>
      <c r="BG31" s="11"/>
      <c r="BK31" s="4"/>
      <c r="BP31" s="9"/>
    </row>
    <row r="32" ht="14.25" customHeight="1">
      <c r="C32" s="4"/>
      <c r="H32" s="9"/>
      <c r="Q32" s="4"/>
      <c r="V32" s="9"/>
      <c r="AE32" s="4"/>
      <c r="AJ32" s="9"/>
      <c r="AS32" s="1"/>
      <c r="AT32" s="10"/>
      <c r="AU32" s="11"/>
      <c r="AW32" s="12"/>
      <c r="AX32" s="13"/>
      <c r="AZ32" s="14"/>
      <c r="BA32" s="15"/>
      <c r="BC32" s="16"/>
      <c r="BD32" s="17"/>
      <c r="BE32" s="1"/>
      <c r="BF32" s="10"/>
      <c r="BG32" s="11"/>
      <c r="BK32" s="4"/>
      <c r="BP32" s="9"/>
    </row>
    <row r="33" ht="14.25" customHeight="1">
      <c r="C33" s="4"/>
      <c r="H33" s="9"/>
      <c r="Q33" s="4"/>
      <c r="V33" s="9"/>
      <c r="AE33" s="4"/>
      <c r="AJ33" s="9"/>
      <c r="AS33" s="1"/>
      <c r="AT33" s="10"/>
      <c r="AU33" s="11"/>
      <c r="AW33" s="12"/>
      <c r="AX33" s="13"/>
      <c r="AZ33" s="14"/>
      <c r="BA33" s="15"/>
      <c r="BC33" s="16"/>
      <c r="BD33" s="17"/>
      <c r="BE33" s="1"/>
      <c r="BF33" s="10"/>
      <c r="BG33" s="11"/>
      <c r="BK33" s="4"/>
      <c r="BP33" s="9"/>
    </row>
    <row r="34" ht="14.25" customHeight="1">
      <c r="C34" s="4"/>
      <c r="H34" s="9"/>
      <c r="Q34" s="4"/>
      <c r="AE34" s="4"/>
      <c r="AJ34" s="9"/>
      <c r="AS34" s="1"/>
      <c r="AT34" s="10"/>
      <c r="AU34" s="11"/>
      <c r="AW34" s="12"/>
      <c r="AX34" s="13"/>
      <c r="AZ34" s="14"/>
      <c r="BA34" s="15"/>
      <c r="BC34" s="16"/>
      <c r="BD34" s="17"/>
      <c r="BE34" s="1"/>
      <c r="BF34" s="10"/>
      <c r="BG34" s="11"/>
      <c r="BK34" s="4"/>
      <c r="BP34" s="9"/>
    </row>
    <row r="35" ht="14.25" customHeight="1">
      <c r="C35" s="4"/>
      <c r="H35" s="9"/>
      <c r="Q35" s="4"/>
      <c r="AE35" s="4"/>
      <c r="AS35" s="1"/>
      <c r="AT35" s="10"/>
      <c r="AU35" s="11"/>
      <c r="AW35" s="12"/>
      <c r="AX35" s="13"/>
      <c r="AZ35" s="14"/>
      <c r="BA35" s="15"/>
      <c r="BC35" s="16"/>
      <c r="BD35" s="17"/>
      <c r="BE35" s="1"/>
      <c r="BF35" s="10"/>
      <c r="BG35" s="11"/>
      <c r="BK35" s="4"/>
      <c r="BP35" s="9"/>
    </row>
    <row r="36" ht="14.25" customHeight="1">
      <c r="C36" s="4"/>
      <c r="H36" s="9"/>
      <c r="Q36" s="4"/>
      <c r="AE36" s="4"/>
      <c r="AS36" s="1"/>
      <c r="AT36" s="10"/>
      <c r="AU36" s="11"/>
      <c r="AW36" s="12"/>
      <c r="AX36" s="13"/>
      <c r="AZ36" s="14"/>
      <c r="BA36" s="15"/>
      <c r="BC36" s="16"/>
      <c r="BD36" s="17"/>
      <c r="BE36" s="1"/>
      <c r="BF36" s="10"/>
      <c r="BG36" s="11"/>
      <c r="BK36" s="4"/>
      <c r="BP36" s="9"/>
    </row>
    <row r="37" ht="14.25" customHeight="1">
      <c r="C37" s="4"/>
      <c r="H37" s="9"/>
      <c r="Q37" s="4"/>
      <c r="V37" s="9"/>
      <c r="AE37" s="4"/>
      <c r="AJ37" s="9"/>
      <c r="AS37" s="1"/>
      <c r="AT37" s="10"/>
      <c r="AU37" s="11"/>
      <c r="AW37" s="12"/>
      <c r="AX37" s="13"/>
      <c r="AZ37" s="14"/>
      <c r="BA37" s="15"/>
      <c r="BC37" s="16"/>
      <c r="BD37" s="17"/>
      <c r="BE37" s="1"/>
      <c r="BF37" s="10"/>
      <c r="BG37" s="11"/>
      <c r="BK37" s="4"/>
      <c r="BP37" s="9"/>
    </row>
    <row r="38" ht="14.25" customHeight="1">
      <c r="C38" s="4"/>
      <c r="H38" s="9"/>
      <c r="Q38" s="4"/>
      <c r="AE38" s="4"/>
      <c r="AJ38" s="9"/>
      <c r="AS38" s="1"/>
      <c r="AT38" s="10"/>
      <c r="AU38" s="11"/>
      <c r="AW38" s="12"/>
      <c r="AX38" s="13"/>
      <c r="AZ38" s="14"/>
      <c r="BA38" s="15"/>
      <c r="BC38" s="16"/>
      <c r="BD38" s="17"/>
      <c r="BE38" s="1"/>
      <c r="BF38" s="10"/>
      <c r="BG38" s="11"/>
      <c r="BK38" s="4"/>
      <c r="BP38" s="9"/>
    </row>
    <row r="39" ht="14.25" customHeight="1">
      <c r="C39" s="4"/>
      <c r="H39" s="9"/>
      <c r="Q39" s="4"/>
      <c r="V39" s="9"/>
      <c r="AE39" s="4"/>
      <c r="AJ39" s="9"/>
      <c r="AS39" s="1"/>
      <c r="AT39" s="10"/>
      <c r="AU39" s="11"/>
      <c r="AW39" s="12"/>
      <c r="AX39" s="13"/>
      <c r="AZ39" s="14"/>
      <c r="BA39" s="15"/>
      <c r="BC39" s="16"/>
      <c r="BD39" s="17"/>
      <c r="BE39" s="1"/>
      <c r="BF39" s="10"/>
      <c r="BG39" s="11"/>
      <c r="BK39" s="4"/>
      <c r="BP39" s="9"/>
    </row>
    <row r="40" ht="14.25" customHeight="1">
      <c r="C40" s="4"/>
      <c r="H40" s="9"/>
      <c r="Q40" s="4"/>
      <c r="AE40" s="4"/>
      <c r="AJ40" s="9"/>
      <c r="AS40" s="1"/>
      <c r="AT40" s="10"/>
      <c r="AU40" s="11"/>
      <c r="AW40" s="12"/>
      <c r="AX40" s="13"/>
      <c r="AZ40" s="14"/>
      <c r="BA40" s="15"/>
      <c r="BC40" s="16"/>
      <c r="BD40" s="17"/>
      <c r="BE40" s="1"/>
      <c r="BF40" s="10"/>
      <c r="BG40" s="11"/>
      <c r="BK40" s="4"/>
      <c r="BP40" s="9"/>
    </row>
    <row r="41" ht="14.25" customHeight="1">
      <c r="C41" s="4"/>
      <c r="H41" s="9"/>
      <c r="Q41" s="4"/>
      <c r="AE41" s="4"/>
      <c r="AJ41" s="9"/>
      <c r="AS41" s="1"/>
      <c r="AT41" s="10"/>
      <c r="AU41" s="11"/>
      <c r="AW41" s="12"/>
      <c r="AX41" s="13"/>
      <c r="AZ41" s="14"/>
      <c r="BA41" s="15"/>
      <c r="BC41" s="16"/>
      <c r="BD41" s="17"/>
      <c r="BE41" s="1"/>
      <c r="BF41" s="10"/>
      <c r="BG41" s="11"/>
      <c r="BK41" s="4"/>
      <c r="BP41" s="9"/>
    </row>
    <row r="42" ht="14.25" customHeight="1">
      <c r="C42" s="4"/>
      <c r="H42" s="9"/>
      <c r="Q42" s="4"/>
      <c r="AE42" s="4"/>
      <c r="AS42" s="1"/>
      <c r="AT42" s="10"/>
      <c r="AU42" s="11"/>
      <c r="AW42" s="12"/>
      <c r="AX42" s="13"/>
      <c r="AZ42" s="14"/>
      <c r="BA42" s="15"/>
      <c r="BC42" s="16"/>
      <c r="BD42" s="17"/>
      <c r="BE42" s="1"/>
      <c r="BF42" s="10"/>
      <c r="BG42" s="11"/>
      <c r="BK42" s="4"/>
      <c r="BP42" s="9"/>
    </row>
    <row r="43" ht="14.25" customHeight="1">
      <c r="C43" s="4"/>
      <c r="H43" s="9"/>
      <c r="Q43" s="4"/>
      <c r="AE43" s="4"/>
      <c r="AS43" s="1"/>
      <c r="AT43" s="10"/>
      <c r="AU43" s="11"/>
      <c r="AW43" s="12"/>
      <c r="AX43" s="13"/>
      <c r="AZ43" s="14"/>
      <c r="BA43" s="15"/>
      <c r="BC43" s="16"/>
      <c r="BD43" s="17"/>
      <c r="BE43" s="1"/>
      <c r="BF43" s="10"/>
      <c r="BG43" s="11"/>
      <c r="BK43" s="4"/>
      <c r="BP43" s="9"/>
    </row>
    <row r="44" ht="14.25" customHeight="1">
      <c r="BE44" s="1"/>
    </row>
    <row r="45" ht="14.25" customHeight="1">
      <c r="BE45" s="1"/>
    </row>
    <row r="46" ht="14.25" customHeight="1">
      <c r="BE46" s="1"/>
    </row>
    <row r="47" ht="14.25" customHeight="1">
      <c r="BE47" s="1"/>
    </row>
    <row r="48" ht="14.25" customHeight="1">
      <c r="BE48" s="1"/>
    </row>
    <row r="49" ht="14.25" customHeight="1">
      <c r="BE49" s="1"/>
    </row>
    <row r="50" ht="14.25" customHeight="1">
      <c r="BE50" s="1"/>
    </row>
    <row r="51" ht="14.25" customHeight="1">
      <c r="BE51" s="1"/>
    </row>
    <row r="52" ht="14.25" customHeight="1">
      <c r="BE52" s="1"/>
    </row>
    <row r="53" ht="14.25" customHeight="1">
      <c r="BE53" s="1"/>
    </row>
    <row r="54" ht="14.25" customHeight="1">
      <c r="BE54" s="1"/>
    </row>
    <row r="55" ht="14.25" customHeight="1">
      <c r="BE55" s="1"/>
    </row>
    <row r="56" ht="14.25" customHeight="1">
      <c r="BE56" s="1"/>
    </row>
    <row r="57" ht="14.25" customHeight="1">
      <c r="BE57" s="1"/>
    </row>
    <row r="58" ht="14.25" customHeight="1">
      <c r="BE58" s="1"/>
    </row>
    <row r="59" ht="14.25" customHeight="1">
      <c r="BE59" s="1"/>
    </row>
    <row r="60" ht="14.25" customHeight="1">
      <c r="BE60" s="1"/>
    </row>
    <row r="61" ht="14.25" customHeight="1">
      <c r="BE61" s="1"/>
    </row>
    <row r="62" ht="14.25" customHeight="1">
      <c r="BE62" s="1"/>
    </row>
    <row r="63" ht="14.25" customHeight="1">
      <c r="BE63" s="1"/>
    </row>
    <row r="64" ht="14.25" customHeight="1">
      <c r="BE64" s="1"/>
    </row>
    <row r="65" ht="14.25" customHeight="1">
      <c r="BE65" s="1"/>
    </row>
    <row r="66" ht="14.25" customHeight="1">
      <c r="BE66" s="1"/>
    </row>
    <row r="67" ht="14.25" customHeight="1">
      <c r="BE67" s="1"/>
    </row>
    <row r="68" ht="14.25" customHeight="1">
      <c r="BE68" s="1"/>
    </row>
    <row r="69" ht="14.25" customHeight="1">
      <c r="BE69" s="1"/>
    </row>
    <row r="70" ht="14.25" customHeight="1">
      <c r="BE70" s="1"/>
    </row>
    <row r="71" ht="14.25" customHeight="1">
      <c r="BE71" s="1"/>
    </row>
    <row r="72" ht="14.25" customHeight="1">
      <c r="BE72" s="1"/>
    </row>
    <row r="73" ht="14.25" customHeight="1">
      <c r="BE73" s="1"/>
    </row>
    <row r="74" ht="14.25" customHeight="1">
      <c r="BE74" s="1"/>
    </row>
    <row r="75" ht="14.25" customHeight="1">
      <c r="BE75" s="1"/>
    </row>
    <row r="76" ht="14.25" customHeight="1">
      <c r="BE76" s="1"/>
    </row>
    <row r="77" ht="14.25" customHeight="1">
      <c r="BE77" s="1"/>
    </row>
    <row r="78" ht="14.25" customHeight="1">
      <c r="BE78" s="1"/>
    </row>
    <row r="79" ht="14.25" customHeight="1">
      <c r="BE79" s="1"/>
    </row>
    <row r="80" ht="14.25" customHeight="1">
      <c r="BE80" s="1"/>
    </row>
    <row r="81" ht="14.25" customHeight="1">
      <c r="BE81" s="1"/>
    </row>
    <row r="82" ht="14.25" customHeight="1">
      <c r="BE82" s="1"/>
    </row>
    <row r="83" ht="14.25" customHeight="1">
      <c r="BE83" s="1"/>
    </row>
    <row r="84" ht="14.25" customHeight="1">
      <c r="BE84" s="1"/>
    </row>
    <row r="85" ht="14.25" customHeight="1">
      <c r="BE85" s="1"/>
    </row>
    <row r="86" ht="14.25" customHeight="1">
      <c r="BE86" s="1"/>
    </row>
    <row r="87" ht="14.25" customHeight="1">
      <c r="BE87" s="1"/>
    </row>
    <row r="88" ht="14.25" customHeight="1">
      <c r="BE88" s="1"/>
    </row>
    <row r="89" ht="14.25" customHeight="1">
      <c r="BE89" s="1"/>
    </row>
    <row r="90" ht="14.25" customHeight="1">
      <c r="BE90" s="1"/>
    </row>
    <row r="91" ht="14.25" customHeight="1">
      <c r="BE91" s="1"/>
    </row>
    <row r="92" ht="14.25" customHeight="1">
      <c r="BE92" s="1"/>
    </row>
    <row r="93" ht="14.25" customHeight="1">
      <c r="BE93" s="1"/>
    </row>
    <row r="94" ht="14.25" customHeight="1">
      <c r="BE94" s="1"/>
    </row>
    <row r="95" ht="14.25" customHeight="1">
      <c r="BE95" s="1"/>
    </row>
    <row r="96" ht="14.25" customHeight="1">
      <c r="BE96" s="1"/>
    </row>
    <row r="97" ht="14.25" customHeight="1">
      <c r="BE97" s="1"/>
    </row>
    <row r="98" ht="14.25" customHeight="1">
      <c r="BE98" s="1"/>
    </row>
    <row r="99" ht="14.25" customHeight="1">
      <c r="BE99" s="1"/>
    </row>
    <row r="100" ht="14.25" customHeight="1">
      <c r="BE100" s="1"/>
    </row>
    <row r="101" ht="14.25" customHeight="1">
      <c r="BE101" s="1"/>
    </row>
    <row r="102" ht="14.25" customHeight="1">
      <c r="BE102" s="1"/>
    </row>
    <row r="103" ht="14.25" customHeight="1">
      <c r="BE103" s="1"/>
    </row>
    <row r="104" ht="14.25" customHeight="1">
      <c r="BE104" s="1"/>
    </row>
    <row r="105" ht="14.25" customHeight="1">
      <c r="BE105" s="1"/>
    </row>
    <row r="106" ht="14.25" customHeight="1">
      <c r="BE106" s="1"/>
    </row>
    <row r="107" ht="14.25" customHeight="1">
      <c r="BE107" s="1"/>
    </row>
    <row r="108" ht="14.25" customHeight="1">
      <c r="BE108" s="1"/>
    </row>
    <row r="109" ht="14.25" customHeight="1">
      <c r="BE109" s="1"/>
    </row>
    <row r="110" ht="14.25" customHeight="1">
      <c r="BE110" s="1"/>
    </row>
    <row r="111" ht="14.25" customHeight="1">
      <c r="BE111" s="1"/>
    </row>
    <row r="112" ht="14.25" customHeight="1">
      <c r="BE112" s="1"/>
    </row>
    <row r="113" ht="14.25" customHeight="1">
      <c r="BE113" s="1"/>
    </row>
    <row r="114" ht="14.25" customHeight="1">
      <c r="BE114" s="1"/>
    </row>
    <row r="115" ht="14.25" customHeight="1">
      <c r="BE115" s="1"/>
    </row>
    <row r="116" ht="14.25" customHeight="1">
      <c r="BE116" s="1"/>
    </row>
    <row r="117" ht="14.25" customHeight="1">
      <c r="BE117" s="1"/>
    </row>
    <row r="118" ht="14.25" customHeight="1">
      <c r="BE118" s="1"/>
    </row>
    <row r="119" ht="14.25" customHeight="1">
      <c r="BE119" s="1"/>
    </row>
    <row r="120" ht="14.25" customHeight="1">
      <c r="BE120" s="1"/>
    </row>
    <row r="121" ht="14.25" customHeight="1">
      <c r="BE121" s="1"/>
    </row>
    <row r="122" ht="14.25" customHeight="1">
      <c r="BE122" s="1"/>
    </row>
    <row r="123" ht="14.25" customHeight="1">
      <c r="BE123" s="1"/>
    </row>
    <row r="124" ht="14.25" customHeight="1">
      <c r="BE124" s="1"/>
    </row>
    <row r="125" ht="14.25" customHeight="1">
      <c r="BE125" s="1"/>
    </row>
    <row r="126" ht="14.25" customHeight="1">
      <c r="BE126" s="1"/>
    </row>
    <row r="127" ht="14.25" customHeight="1">
      <c r="BE127" s="1"/>
    </row>
    <row r="128" ht="14.25" customHeight="1">
      <c r="BE128" s="1"/>
    </row>
    <row r="129" ht="14.25" customHeight="1">
      <c r="BE129" s="1"/>
    </row>
    <row r="130" ht="14.25" customHeight="1">
      <c r="BE130" s="1"/>
    </row>
    <row r="131" ht="14.25" customHeight="1">
      <c r="BE131" s="1"/>
    </row>
    <row r="132" ht="14.25" customHeight="1">
      <c r="BE132" s="1"/>
    </row>
    <row r="133" ht="14.25" customHeight="1">
      <c r="BE133" s="1"/>
    </row>
    <row r="134" ht="14.25" customHeight="1">
      <c r="BE134" s="1"/>
    </row>
    <row r="135" ht="14.25" customHeight="1">
      <c r="BE135" s="1"/>
    </row>
    <row r="136" ht="14.25" customHeight="1">
      <c r="BE136" s="1"/>
    </row>
    <row r="137" ht="14.25" customHeight="1">
      <c r="BE137" s="1"/>
    </row>
    <row r="138" ht="14.25" customHeight="1">
      <c r="BE138" s="1"/>
    </row>
    <row r="139" ht="14.25" customHeight="1">
      <c r="BE139" s="1"/>
    </row>
    <row r="140" ht="14.25" customHeight="1">
      <c r="BE140" s="1"/>
    </row>
    <row r="141" ht="14.25" customHeight="1">
      <c r="BE141" s="1"/>
    </row>
    <row r="142" ht="14.25" customHeight="1">
      <c r="BE142" s="1"/>
    </row>
    <row r="143" ht="14.25" customHeight="1">
      <c r="BE143" s="1"/>
    </row>
    <row r="144" ht="14.25" customHeight="1">
      <c r="BE144" s="1"/>
    </row>
    <row r="145" ht="14.25" customHeight="1">
      <c r="BE145" s="1"/>
    </row>
    <row r="146" ht="14.25" customHeight="1">
      <c r="BE146" s="1"/>
    </row>
    <row r="147" ht="14.25" customHeight="1">
      <c r="BE147" s="1"/>
    </row>
    <row r="148" ht="14.25" customHeight="1">
      <c r="BE148" s="1"/>
    </row>
    <row r="149" ht="14.25" customHeight="1">
      <c r="BE149" s="1"/>
    </row>
    <row r="150" ht="14.25" customHeight="1">
      <c r="BE150" s="1"/>
    </row>
    <row r="151" ht="14.25" customHeight="1">
      <c r="BE151" s="1"/>
    </row>
    <row r="152" ht="14.25" customHeight="1">
      <c r="BE152" s="1"/>
    </row>
    <row r="153" ht="14.25" customHeight="1">
      <c r="BE153" s="1"/>
    </row>
    <row r="154" ht="14.25" customHeight="1">
      <c r="BE154" s="1"/>
    </row>
    <row r="155" ht="14.25" customHeight="1">
      <c r="BE155" s="1"/>
    </row>
    <row r="156" ht="14.25" customHeight="1">
      <c r="BE156" s="1"/>
    </row>
    <row r="157" ht="14.25" customHeight="1">
      <c r="BE157" s="1"/>
    </row>
    <row r="158" ht="14.25" customHeight="1">
      <c r="BE158" s="1"/>
    </row>
    <row r="159" ht="14.25" customHeight="1">
      <c r="BE159" s="1"/>
    </row>
    <row r="160" ht="14.25" customHeight="1">
      <c r="BE160" s="1"/>
    </row>
    <row r="161" ht="14.25" customHeight="1">
      <c r="BE161" s="1"/>
    </row>
    <row r="162" ht="14.25" customHeight="1">
      <c r="BE162" s="1"/>
    </row>
    <row r="163" ht="14.25" customHeight="1">
      <c r="BE163" s="1"/>
    </row>
    <row r="164" ht="14.25" customHeight="1">
      <c r="BE164" s="1"/>
    </row>
    <row r="165" ht="14.25" customHeight="1">
      <c r="BE165" s="1"/>
    </row>
    <row r="166" ht="14.25" customHeight="1">
      <c r="BE166" s="1"/>
    </row>
    <row r="167" ht="14.25" customHeight="1">
      <c r="BE167" s="1"/>
    </row>
    <row r="168" ht="14.25" customHeight="1">
      <c r="BE168" s="1"/>
    </row>
    <row r="169" ht="14.25" customHeight="1">
      <c r="BE169" s="1"/>
    </row>
    <row r="170" ht="14.25" customHeight="1">
      <c r="BE170" s="1"/>
    </row>
    <row r="171" ht="14.25" customHeight="1">
      <c r="BE171" s="1"/>
    </row>
    <row r="172" ht="14.25" customHeight="1">
      <c r="BE172" s="1"/>
    </row>
    <row r="173" ht="14.25" customHeight="1">
      <c r="BE173" s="1"/>
    </row>
    <row r="174" ht="14.25" customHeight="1">
      <c r="BE174" s="1"/>
    </row>
    <row r="175" ht="14.25" customHeight="1">
      <c r="BE175" s="1"/>
    </row>
    <row r="176" ht="14.25" customHeight="1">
      <c r="BE176" s="1"/>
    </row>
    <row r="177" ht="14.25" customHeight="1">
      <c r="BE177" s="1"/>
    </row>
    <row r="178" ht="14.25" customHeight="1">
      <c r="BE178" s="1"/>
    </row>
    <row r="179" ht="14.25" customHeight="1">
      <c r="BE179" s="1"/>
    </row>
    <row r="180" ht="14.25" customHeight="1">
      <c r="BE180" s="1"/>
    </row>
    <row r="181" ht="14.25" customHeight="1">
      <c r="BE181" s="1"/>
    </row>
    <row r="182" ht="14.25" customHeight="1">
      <c r="BE182" s="1"/>
    </row>
    <row r="183" ht="14.25" customHeight="1">
      <c r="BE183" s="1"/>
    </row>
    <row r="184" ht="14.25" customHeight="1">
      <c r="BE184" s="1"/>
    </row>
    <row r="185" ht="14.25" customHeight="1">
      <c r="BE185" s="1"/>
    </row>
    <row r="186" ht="14.25" customHeight="1">
      <c r="BE186" s="1"/>
    </row>
    <row r="187" ht="14.25" customHeight="1">
      <c r="BE187" s="1"/>
    </row>
    <row r="188" ht="14.25" customHeight="1">
      <c r="BE188" s="1"/>
    </row>
    <row r="189" ht="14.25" customHeight="1">
      <c r="BE189" s="1"/>
    </row>
    <row r="190" ht="14.25" customHeight="1">
      <c r="BE190" s="1"/>
    </row>
    <row r="191" ht="14.25" customHeight="1">
      <c r="BE191" s="1"/>
    </row>
    <row r="192" ht="14.25" customHeight="1">
      <c r="BE192" s="1"/>
    </row>
    <row r="193" ht="14.25" customHeight="1">
      <c r="BE193" s="1"/>
    </row>
    <row r="194" ht="14.25" customHeight="1">
      <c r="BE194" s="1"/>
    </row>
    <row r="195" ht="14.25" customHeight="1">
      <c r="BE195" s="1"/>
    </row>
    <row r="196" ht="14.25" customHeight="1">
      <c r="BE196" s="1"/>
    </row>
    <row r="197" ht="14.25" customHeight="1">
      <c r="BE197" s="1"/>
    </row>
    <row r="198" ht="14.25" customHeight="1">
      <c r="BE198" s="1"/>
    </row>
    <row r="199" ht="14.25" customHeight="1">
      <c r="BE199" s="1"/>
    </row>
    <row r="200" ht="14.25" customHeight="1">
      <c r="BE200" s="1"/>
    </row>
    <row r="201" ht="14.25" customHeight="1">
      <c r="BE201" s="1"/>
    </row>
    <row r="202" ht="14.25" customHeight="1">
      <c r="BE202" s="1"/>
    </row>
    <row r="203" ht="14.25" customHeight="1">
      <c r="BE203" s="1"/>
    </row>
    <row r="204" ht="14.25" customHeight="1">
      <c r="BE204" s="1"/>
    </row>
    <row r="205" ht="14.25" customHeight="1">
      <c r="BE205" s="1"/>
    </row>
    <row r="206" ht="14.25" customHeight="1">
      <c r="BE206" s="1"/>
    </row>
    <row r="207" ht="14.25" customHeight="1">
      <c r="BE207" s="1"/>
    </row>
    <row r="208" ht="14.25" customHeight="1">
      <c r="BE208" s="1"/>
    </row>
    <row r="209" ht="14.25" customHeight="1">
      <c r="BE209" s="1"/>
    </row>
    <row r="210" ht="14.25" customHeight="1">
      <c r="BE210" s="1"/>
    </row>
    <row r="211" ht="14.25" customHeight="1">
      <c r="BE211" s="1"/>
    </row>
    <row r="212" ht="14.25" customHeight="1">
      <c r="BE212" s="1"/>
    </row>
    <row r="213" ht="14.25" customHeight="1">
      <c r="BE213" s="1"/>
    </row>
    <row r="214" ht="14.25" customHeight="1">
      <c r="BE214" s="1"/>
    </row>
    <row r="215" ht="14.25" customHeight="1">
      <c r="BE215" s="1"/>
    </row>
    <row r="216" ht="14.25" customHeight="1">
      <c r="BE216" s="1"/>
    </row>
    <row r="217" ht="14.25" customHeight="1">
      <c r="BE217" s="1"/>
    </row>
    <row r="218" ht="14.25" customHeight="1">
      <c r="BE218" s="1"/>
    </row>
    <row r="219" ht="14.25" customHeight="1">
      <c r="BE219" s="1"/>
    </row>
    <row r="220" ht="14.25" customHeight="1">
      <c r="BE220" s="1"/>
    </row>
    <row r="221" ht="14.25" customHeight="1">
      <c r="BE221" s="1"/>
    </row>
    <row r="222" ht="14.25" customHeight="1">
      <c r="BE222" s="1"/>
    </row>
    <row r="223" ht="14.25" customHeight="1">
      <c r="BE223" s="1"/>
    </row>
    <row r="224" ht="14.25" customHeight="1">
      <c r="BE224" s="1"/>
    </row>
    <row r="225" ht="14.25" customHeight="1">
      <c r="BE225" s="1"/>
    </row>
    <row r="226" ht="14.25" customHeight="1">
      <c r="BE226" s="1"/>
    </row>
    <row r="227" ht="14.25" customHeight="1">
      <c r="BE227" s="1"/>
    </row>
    <row r="228" ht="14.25" customHeight="1">
      <c r="BE228" s="1"/>
    </row>
    <row r="229" ht="14.25" customHeight="1">
      <c r="BE229" s="1"/>
    </row>
    <row r="230" ht="14.25" customHeight="1">
      <c r="BE230" s="1"/>
    </row>
    <row r="231" ht="14.25" customHeight="1">
      <c r="BE231" s="1"/>
    </row>
    <row r="232" ht="14.25" customHeight="1">
      <c r="BE232" s="1"/>
    </row>
    <row r="233" ht="14.25" customHeight="1">
      <c r="BE233" s="1"/>
    </row>
    <row r="234" ht="14.25" customHeight="1">
      <c r="BE234" s="1"/>
    </row>
    <row r="235" ht="14.25" customHeight="1">
      <c r="BE235" s="1"/>
    </row>
    <row r="236" ht="14.25" customHeight="1">
      <c r="BE236" s="1"/>
    </row>
    <row r="237" ht="14.25" customHeight="1">
      <c r="BE237" s="1"/>
    </row>
    <row r="238" ht="14.25" customHeight="1">
      <c r="BE238" s="1"/>
    </row>
    <row r="239" ht="14.25" customHeight="1">
      <c r="BE239" s="1"/>
    </row>
    <row r="240" ht="14.25" customHeight="1">
      <c r="BE240" s="1"/>
    </row>
    <row r="241" ht="14.25" customHeight="1">
      <c r="BE241" s="1"/>
    </row>
    <row r="242" ht="14.25" customHeight="1">
      <c r="BE242" s="1"/>
    </row>
    <row r="243" ht="14.25" customHeight="1">
      <c r="BE243" s="1"/>
    </row>
    <row r="244" ht="14.25" customHeight="1">
      <c r="BE244" s="1"/>
    </row>
    <row r="245" ht="14.25" customHeight="1">
      <c r="BE245" s="1"/>
    </row>
    <row r="246" ht="14.25" customHeight="1">
      <c r="BE246" s="1"/>
    </row>
    <row r="247" ht="14.25" customHeight="1">
      <c r="BE247" s="1"/>
    </row>
    <row r="248" ht="14.25" customHeight="1">
      <c r="BE248" s="1"/>
    </row>
    <row r="249" ht="14.25" customHeight="1">
      <c r="BE249" s="1"/>
    </row>
    <row r="250" ht="14.25" customHeight="1">
      <c r="BE250" s="1"/>
    </row>
    <row r="251" ht="14.25" customHeight="1">
      <c r="BE251" s="1"/>
    </row>
    <row r="252" ht="14.25" customHeight="1">
      <c r="BE252" s="1"/>
    </row>
    <row r="253" ht="14.25" customHeight="1">
      <c r="BE253" s="1"/>
    </row>
    <row r="254" ht="14.25" customHeight="1">
      <c r="BE254" s="1"/>
    </row>
    <row r="255" ht="14.25" customHeight="1">
      <c r="BE255" s="1"/>
    </row>
    <row r="256" ht="14.25" customHeight="1">
      <c r="BE256" s="1"/>
    </row>
    <row r="257" ht="14.25" customHeight="1">
      <c r="BE257" s="1"/>
    </row>
    <row r="258" ht="14.25" customHeight="1">
      <c r="BE258" s="1"/>
    </row>
    <row r="259" ht="14.25" customHeight="1">
      <c r="BE259" s="1"/>
    </row>
    <row r="260" ht="14.25" customHeight="1">
      <c r="BE260" s="1"/>
    </row>
    <row r="261" ht="14.25" customHeight="1">
      <c r="BE261" s="1"/>
    </row>
    <row r="262" ht="14.25" customHeight="1">
      <c r="BE262" s="1"/>
    </row>
    <row r="263" ht="14.25" customHeight="1">
      <c r="BE263" s="1"/>
    </row>
    <row r="264" ht="14.25" customHeight="1">
      <c r="BE264" s="1"/>
    </row>
    <row r="265" ht="14.25" customHeight="1">
      <c r="BE265" s="1"/>
    </row>
    <row r="266" ht="14.25" customHeight="1">
      <c r="BE266" s="1"/>
    </row>
    <row r="267" ht="14.25" customHeight="1">
      <c r="BE267" s="1"/>
    </row>
    <row r="268" ht="14.25" customHeight="1">
      <c r="BE268" s="1"/>
    </row>
    <row r="269" ht="14.25" customHeight="1">
      <c r="BE269" s="1"/>
    </row>
    <row r="270" ht="14.25" customHeight="1">
      <c r="BE270" s="1"/>
    </row>
    <row r="271" ht="14.25" customHeight="1">
      <c r="BE271" s="1"/>
    </row>
    <row r="272" ht="14.25" customHeight="1">
      <c r="BE272" s="1"/>
    </row>
    <row r="273" ht="14.25" customHeight="1">
      <c r="BE273" s="1"/>
    </row>
    <row r="274" ht="14.25" customHeight="1">
      <c r="BE274" s="1"/>
    </row>
    <row r="275" ht="14.25" customHeight="1">
      <c r="BE275" s="1"/>
    </row>
    <row r="276" ht="14.25" customHeight="1">
      <c r="BE276" s="1"/>
    </row>
    <row r="277" ht="14.25" customHeight="1">
      <c r="BE277" s="1"/>
    </row>
    <row r="278" ht="14.25" customHeight="1">
      <c r="BE278" s="1"/>
    </row>
    <row r="279" ht="14.25" customHeight="1">
      <c r="BE279" s="1"/>
    </row>
    <row r="280" ht="14.25" customHeight="1">
      <c r="BE280" s="1"/>
    </row>
    <row r="281" ht="14.25" customHeight="1">
      <c r="BE281" s="1"/>
    </row>
    <row r="282" ht="14.25" customHeight="1">
      <c r="BE282" s="1"/>
    </row>
    <row r="283" ht="14.25" customHeight="1">
      <c r="BE283" s="1"/>
    </row>
    <row r="284" ht="14.25" customHeight="1">
      <c r="BE284" s="1"/>
    </row>
    <row r="285" ht="14.25" customHeight="1">
      <c r="BE285" s="1"/>
    </row>
    <row r="286" ht="14.25" customHeight="1">
      <c r="BE286" s="1"/>
    </row>
    <row r="287" ht="14.25" customHeight="1">
      <c r="BE287" s="1"/>
    </row>
    <row r="288" ht="14.25" customHeight="1">
      <c r="BE288" s="1"/>
    </row>
    <row r="289" ht="14.25" customHeight="1">
      <c r="BE289" s="1"/>
    </row>
    <row r="290" ht="14.25" customHeight="1">
      <c r="BE290" s="1"/>
    </row>
    <row r="291" ht="14.25" customHeight="1">
      <c r="BE291" s="1"/>
    </row>
    <row r="292" ht="14.25" customHeight="1">
      <c r="BE292" s="1"/>
    </row>
    <row r="293" ht="14.25" customHeight="1">
      <c r="BE293" s="1"/>
    </row>
    <row r="294" ht="14.25" customHeight="1">
      <c r="BE294" s="1"/>
    </row>
    <row r="295" ht="14.25" customHeight="1">
      <c r="BE295" s="1"/>
    </row>
    <row r="296" ht="14.25" customHeight="1">
      <c r="BE296" s="1"/>
    </row>
    <row r="297" ht="14.25" customHeight="1">
      <c r="BE297" s="1"/>
    </row>
    <row r="298" ht="14.25" customHeight="1">
      <c r="BE298" s="1"/>
    </row>
    <row r="299" ht="14.25" customHeight="1">
      <c r="BE299" s="1"/>
    </row>
    <row r="300" ht="14.25" customHeight="1">
      <c r="BE300" s="1"/>
    </row>
    <row r="301" ht="14.25" customHeight="1">
      <c r="BE301" s="1"/>
    </row>
    <row r="302" ht="14.25" customHeight="1">
      <c r="BE302" s="1"/>
    </row>
    <row r="303" ht="14.25" customHeight="1">
      <c r="BE303" s="1"/>
    </row>
    <row r="304" ht="14.25" customHeight="1">
      <c r="BE304" s="1"/>
    </row>
    <row r="305" ht="14.25" customHeight="1">
      <c r="BE305" s="1"/>
    </row>
    <row r="306" ht="14.25" customHeight="1">
      <c r="BE306" s="1"/>
    </row>
    <row r="307" ht="14.25" customHeight="1">
      <c r="BE307" s="1"/>
    </row>
    <row r="308" ht="14.25" customHeight="1">
      <c r="BE308" s="1"/>
    </row>
    <row r="309" ht="14.25" customHeight="1">
      <c r="BE309" s="1"/>
    </row>
    <row r="310" ht="14.25" customHeight="1">
      <c r="BE310" s="1"/>
    </row>
    <row r="311" ht="14.25" customHeight="1">
      <c r="BE311" s="1"/>
    </row>
    <row r="312" ht="14.25" customHeight="1">
      <c r="BE312" s="1"/>
    </row>
    <row r="313" ht="14.25" customHeight="1">
      <c r="BE313" s="1"/>
    </row>
    <row r="314" ht="14.25" customHeight="1">
      <c r="BE314" s="1"/>
    </row>
    <row r="315" ht="14.25" customHeight="1">
      <c r="BE315" s="1"/>
    </row>
    <row r="316" ht="14.25" customHeight="1">
      <c r="BE316" s="1"/>
    </row>
    <row r="317" ht="14.25" customHeight="1">
      <c r="BE317" s="1"/>
    </row>
    <row r="318" ht="14.25" customHeight="1">
      <c r="BE318" s="1"/>
    </row>
    <row r="319" ht="14.25" customHeight="1">
      <c r="BE319" s="1"/>
    </row>
    <row r="320" ht="14.25" customHeight="1">
      <c r="BE320" s="1"/>
    </row>
    <row r="321" ht="14.25" customHeight="1">
      <c r="BE321" s="1"/>
    </row>
    <row r="322" ht="14.25" customHeight="1">
      <c r="BE322" s="1"/>
    </row>
    <row r="323" ht="14.25" customHeight="1">
      <c r="BE323" s="1"/>
    </row>
    <row r="324" ht="14.25" customHeight="1">
      <c r="BE324" s="1"/>
    </row>
    <row r="325" ht="14.25" customHeight="1">
      <c r="BE325" s="1"/>
    </row>
    <row r="326" ht="14.25" customHeight="1">
      <c r="BE326" s="1"/>
    </row>
    <row r="327" ht="14.25" customHeight="1">
      <c r="BE327" s="1"/>
    </row>
    <row r="328" ht="14.25" customHeight="1">
      <c r="BE328" s="1"/>
    </row>
    <row r="329" ht="14.25" customHeight="1">
      <c r="BE329" s="1"/>
    </row>
    <row r="330" ht="14.25" customHeight="1">
      <c r="BE330" s="1"/>
    </row>
    <row r="331" ht="14.25" customHeight="1">
      <c r="BE331" s="1"/>
    </row>
    <row r="332" ht="14.25" customHeight="1">
      <c r="BE332" s="1"/>
    </row>
    <row r="333" ht="14.25" customHeight="1">
      <c r="BE333" s="1"/>
    </row>
    <row r="334" ht="14.25" customHeight="1">
      <c r="BE334" s="1"/>
    </row>
    <row r="335" ht="14.25" customHeight="1">
      <c r="BE335" s="1"/>
    </row>
    <row r="336" ht="14.25" customHeight="1">
      <c r="BE336" s="1"/>
    </row>
    <row r="337" ht="14.25" customHeight="1">
      <c r="BE337" s="1"/>
    </row>
    <row r="338" ht="14.25" customHeight="1">
      <c r="BE338" s="1"/>
    </row>
    <row r="339" ht="14.25" customHeight="1">
      <c r="BE339" s="1"/>
    </row>
    <row r="340" ht="14.25" customHeight="1">
      <c r="BE340" s="1"/>
    </row>
    <row r="341" ht="14.25" customHeight="1">
      <c r="BE341" s="1"/>
    </row>
    <row r="342" ht="14.25" customHeight="1">
      <c r="BE342" s="1"/>
    </row>
    <row r="343" ht="14.25" customHeight="1">
      <c r="BE343" s="1"/>
    </row>
    <row r="344" ht="14.25" customHeight="1">
      <c r="BE344" s="1"/>
    </row>
    <row r="345" ht="14.25" customHeight="1">
      <c r="BE345" s="1"/>
    </row>
    <row r="346" ht="14.25" customHeight="1">
      <c r="BE346" s="1"/>
    </row>
    <row r="347" ht="14.25" customHeight="1">
      <c r="BE347" s="1"/>
    </row>
    <row r="348" ht="14.25" customHeight="1">
      <c r="BE348" s="1"/>
    </row>
    <row r="349" ht="14.25" customHeight="1">
      <c r="BE349" s="1"/>
    </row>
    <row r="350" ht="14.25" customHeight="1">
      <c r="BE350" s="1"/>
    </row>
    <row r="351" ht="14.25" customHeight="1">
      <c r="BE351" s="1"/>
    </row>
    <row r="352" ht="14.25" customHeight="1">
      <c r="BE352" s="1"/>
    </row>
    <row r="353" ht="14.25" customHeight="1">
      <c r="BE353" s="1"/>
    </row>
    <row r="354" ht="14.25" customHeight="1">
      <c r="BE354" s="1"/>
    </row>
    <row r="355" ht="14.25" customHeight="1">
      <c r="BE355" s="1"/>
    </row>
    <row r="356" ht="14.25" customHeight="1">
      <c r="BE356" s="1"/>
    </row>
    <row r="357" ht="14.25" customHeight="1">
      <c r="BE357" s="1"/>
    </row>
    <row r="358" ht="14.25" customHeight="1">
      <c r="BE358" s="1"/>
    </row>
    <row r="359" ht="14.25" customHeight="1">
      <c r="BE359" s="1"/>
    </row>
    <row r="360" ht="14.25" customHeight="1">
      <c r="BE360" s="1"/>
    </row>
    <row r="361" ht="14.25" customHeight="1">
      <c r="BE361" s="1"/>
    </row>
    <row r="362" ht="14.25" customHeight="1">
      <c r="BE362" s="1"/>
    </row>
    <row r="363" ht="14.25" customHeight="1">
      <c r="BE363" s="1"/>
    </row>
    <row r="364" ht="14.25" customHeight="1">
      <c r="BE364" s="1"/>
    </row>
    <row r="365" ht="14.25" customHeight="1">
      <c r="BE365" s="1"/>
    </row>
    <row r="366" ht="14.25" customHeight="1">
      <c r="BE366" s="1"/>
    </row>
    <row r="367" ht="14.25" customHeight="1">
      <c r="BE367" s="1"/>
    </row>
    <row r="368" ht="14.25" customHeight="1">
      <c r="BE368" s="1"/>
    </row>
    <row r="369" ht="14.25" customHeight="1">
      <c r="BE369" s="1"/>
    </row>
    <row r="370" ht="14.25" customHeight="1">
      <c r="BE370" s="1"/>
    </row>
    <row r="371" ht="14.25" customHeight="1">
      <c r="BE371" s="1"/>
    </row>
    <row r="372" ht="14.25" customHeight="1">
      <c r="BE372" s="1"/>
    </row>
    <row r="373" ht="14.25" customHeight="1">
      <c r="BE373" s="1"/>
    </row>
    <row r="374" ht="14.25" customHeight="1">
      <c r="BE374" s="1"/>
    </row>
    <row r="375" ht="14.25" customHeight="1">
      <c r="BE375" s="1"/>
    </row>
    <row r="376" ht="14.25" customHeight="1">
      <c r="BE376" s="1"/>
    </row>
    <row r="377" ht="14.25" customHeight="1">
      <c r="BE377" s="1"/>
    </row>
    <row r="378" ht="14.25" customHeight="1">
      <c r="BE378" s="1"/>
    </row>
    <row r="379" ht="14.25" customHeight="1">
      <c r="BE379" s="1"/>
    </row>
    <row r="380" ht="14.25" customHeight="1">
      <c r="BE380" s="1"/>
    </row>
    <row r="381" ht="14.25" customHeight="1">
      <c r="BE381" s="1"/>
    </row>
    <row r="382" ht="14.25" customHeight="1">
      <c r="BE382" s="1"/>
    </row>
    <row r="383" ht="14.25" customHeight="1">
      <c r="BE383" s="1"/>
    </row>
    <row r="384" ht="14.25" customHeight="1">
      <c r="BE384" s="1"/>
    </row>
    <row r="385" ht="14.25" customHeight="1">
      <c r="BE385" s="1"/>
    </row>
    <row r="386" ht="14.25" customHeight="1">
      <c r="BE386" s="1"/>
    </row>
    <row r="387" ht="14.25" customHeight="1">
      <c r="BE387" s="1"/>
    </row>
    <row r="388" ht="14.25" customHeight="1">
      <c r="BE388" s="1"/>
    </row>
    <row r="389" ht="14.25" customHeight="1">
      <c r="BE389" s="1"/>
    </row>
    <row r="390" ht="14.25" customHeight="1">
      <c r="BE390" s="1"/>
    </row>
    <row r="391" ht="14.25" customHeight="1">
      <c r="BE391" s="1"/>
    </row>
    <row r="392" ht="14.25" customHeight="1">
      <c r="BE392" s="1"/>
    </row>
    <row r="393" ht="14.25" customHeight="1">
      <c r="BE393" s="1"/>
    </row>
    <row r="394" ht="14.25" customHeight="1">
      <c r="BE394" s="1"/>
    </row>
    <row r="395" ht="14.25" customHeight="1">
      <c r="BE395" s="1"/>
    </row>
    <row r="396" ht="14.25" customHeight="1">
      <c r="BE396" s="1"/>
    </row>
    <row r="397" ht="14.25" customHeight="1">
      <c r="BE397" s="1"/>
    </row>
    <row r="398" ht="14.25" customHeight="1">
      <c r="BE398" s="1"/>
    </row>
    <row r="399" ht="14.25" customHeight="1">
      <c r="BE399" s="1"/>
    </row>
    <row r="400" ht="14.25" customHeight="1">
      <c r="BE400" s="1"/>
    </row>
    <row r="401" ht="14.25" customHeight="1">
      <c r="BE401" s="1"/>
    </row>
    <row r="402" ht="14.25" customHeight="1">
      <c r="BE402" s="1"/>
    </row>
    <row r="403" ht="14.25" customHeight="1">
      <c r="BE403" s="1"/>
    </row>
    <row r="404" ht="14.25" customHeight="1">
      <c r="BE404" s="1"/>
    </row>
    <row r="405" ht="14.25" customHeight="1">
      <c r="BE405" s="1"/>
    </row>
    <row r="406" ht="14.25" customHeight="1">
      <c r="BE406" s="1"/>
    </row>
    <row r="407" ht="14.25" customHeight="1">
      <c r="BE407" s="1"/>
    </row>
    <row r="408" ht="14.25" customHeight="1">
      <c r="BE408" s="1"/>
    </row>
    <row r="409" ht="14.25" customHeight="1">
      <c r="BE409" s="1"/>
    </row>
    <row r="410" ht="14.25" customHeight="1">
      <c r="BE410" s="1"/>
    </row>
    <row r="411" ht="14.25" customHeight="1">
      <c r="BE411" s="1"/>
    </row>
    <row r="412" ht="14.25" customHeight="1">
      <c r="BE412" s="1"/>
    </row>
    <row r="413" ht="14.25" customHeight="1">
      <c r="BE413" s="1"/>
    </row>
    <row r="414" ht="14.25" customHeight="1">
      <c r="BE414" s="1"/>
    </row>
    <row r="415" ht="14.25" customHeight="1">
      <c r="BE415" s="1"/>
    </row>
    <row r="416" ht="14.25" customHeight="1">
      <c r="BE416" s="1"/>
    </row>
    <row r="417" ht="14.25" customHeight="1">
      <c r="BE417" s="1"/>
    </row>
    <row r="418" ht="14.25" customHeight="1">
      <c r="BE418" s="1"/>
    </row>
    <row r="419" ht="14.25" customHeight="1">
      <c r="BE419" s="1"/>
    </row>
    <row r="420" ht="14.25" customHeight="1">
      <c r="BE420" s="1"/>
    </row>
    <row r="421" ht="14.25" customHeight="1">
      <c r="BE421" s="1"/>
    </row>
    <row r="422" ht="14.25" customHeight="1">
      <c r="BE422" s="1"/>
    </row>
    <row r="423" ht="14.25" customHeight="1">
      <c r="BE423" s="1"/>
    </row>
    <row r="424" ht="14.25" customHeight="1">
      <c r="BE424" s="1"/>
    </row>
    <row r="425" ht="14.25" customHeight="1">
      <c r="BE425" s="1"/>
    </row>
    <row r="426" ht="14.25" customHeight="1">
      <c r="BE426" s="1"/>
    </row>
    <row r="427" ht="14.25" customHeight="1">
      <c r="BE427" s="1"/>
    </row>
    <row r="428" ht="14.25" customHeight="1">
      <c r="BE428" s="1"/>
    </row>
    <row r="429" ht="14.25" customHeight="1">
      <c r="BE429" s="1"/>
    </row>
    <row r="430" ht="14.25" customHeight="1">
      <c r="BE430" s="1"/>
    </row>
    <row r="431" ht="14.25" customHeight="1">
      <c r="BE431" s="1"/>
    </row>
    <row r="432" ht="14.25" customHeight="1">
      <c r="BE432" s="1"/>
    </row>
    <row r="433" ht="14.25" customHeight="1">
      <c r="BE433" s="1"/>
    </row>
    <row r="434" ht="14.25" customHeight="1">
      <c r="BE434" s="1"/>
    </row>
    <row r="435" ht="14.25" customHeight="1">
      <c r="BE435" s="1"/>
    </row>
    <row r="436" ht="14.25" customHeight="1">
      <c r="BE436" s="1"/>
    </row>
    <row r="437" ht="14.25" customHeight="1">
      <c r="BE437" s="1"/>
    </row>
    <row r="438" ht="14.25" customHeight="1">
      <c r="BE438" s="1"/>
    </row>
    <row r="439" ht="14.25" customHeight="1">
      <c r="BE439" s="1"/>
    </row>
    <row r="440" ht="14.25" customHeight="1">
      <c r="BE440" s="1"/>
    </row>
    <row r="441" ht="14.25" customHeight="1">
      <c r="BE441" s="1"/>
    </row>
    <row r="442" ht="14.25" customHeight="1">
      <c r="BE442" s="1"/>
    </row>
    <row r="443" ht="14.25" customHeight="1">
      <c r="BE443" s="1"/>
    </row>
    <row r="444" ht="14.25" customHeight="1">
      <c r="BE444" s="1"/>
    </row>
    <row r="445" ht="14.25" customHeight="1">
      <c r="BE445" s="1"/>
    </row>
    <row r="446" ht="14.25" customHeight="1">
      <c r="BE446" s="1"/>
    </row>
    <row r="447" ht="14.25" customHeight="1">
      <c r="BE447" s="1"/>
    </row>
    <row r="448" ht="14.25" customHeight="1">
      <c r="BE448" s="1"/>
    </row>
    <row r="449" ht="14.25" customHeight="1">
      <c r="BE449" s="1"/>
    </row>
    <row r="450" ht="14.25" customHeight="1">
      <c r="BE450" s="1"/>
    </row>
    <row r="451" ht="14.25" customHeight="1">
      <c r="BE451" s="1"/>
    </row>
    <row r="452" ht="14.25" customHeight="1">
      <c r="BE452" s="1"/>
    </row>
    <row r="453" ht="14.25" customHeight="1">
      <c r="BE453" s="1"/>
    </row>
    <row r="454" ht="14.25" customHeight="1">
      <c r="BE454" s="1"/>
    </row>
    <row r="455" ht="14.25" customHeight="1">
      <c r="BE455" s="1"/>
    </row>
    <row r="456" ht="14.25" customHeight="1">
      <c r="BE456" s="1"/>
    </row>
    <row r="457" ht="14.25" customHeight="1">
      <c r="BE457" s="1"/>
    </row>
    <row r="458" ht="14.25" customHeight="1">
      <c r="BE458" s="1"/>
    </row>
    <row r="459" ht="14.25" customHeight="1">
      <c r="BE459" s="1"/>
    </row>
    <row r="460" ht="14.25" customHeight="1">
      <c r="BE460" s="1"/>
    </row>
    <row r="461" ht="14.25" customHeight="1">
      <c r="BE461" s="1"/>
    </row>
    <row r="462" ht="14.25" customHeight="1">
      <c r="BE462" s="1"/>
    </row>
    <row r="463" ht="14.25" customHeight="1">
      <c r="BE463" s="1"/>
    </row>
    <row r="464" ht="14.25" customHeight="1">
      <c r="BE464" s="1"/>
    </row>
    <row r="465" ht="14.25" customHeight="1">
      <c r="BE465" s="1"/>
    </row>
    <row r="466" ht="14.25" customHeight="1">
      <c r="BE466" s="1"/>
    </row>
    <row r="467" ht="14.25" customHeight="1">
      <c r="BE467" s="1"/>
    </row>
    <row r="468" ht="14.25" customHeight="1">
      <c r="BE468" s="1"/>
    </row>
    <row r="469" ht="14.25" customHeight="1">
      <c r="BE469" s="1"/>
    </row>
    <row r="470" ht="14.25" customHeight="1">
      <c r="BE470" s="1"/>
    </row>
    <row r="471" ht="14.25" customHeight="1">
      <c r="BE471" s="1"/>
    </row>
    <row r="472" ht="14.25" customHeight="1">
      <c r="BE472" s="1"/>
    </row>
    <row r="473" ht="14.25" customHeight="1">
      <c r="BE473" s="1"/>
    </row>
    <row r="474" ht="14.25" customHeight="1">
      <c r="BE474" s="1"/>
    </row>
    <row r="475" ht="14.25" customHeight="1">
      <c r="BE475" s="1"/>
    </row>
    <row r="476" ht="14.25" customHeight="1">
      <c r="BE476" s="1"/>
    </row>
    <row r="477" ht="14.25" customHeight="1">
      <c r="BE477" s="1"/>
    </row>
    <row r="478" ht="14.25" customHeight="1">
      <c r="BE478" s="1"/>
    </row>
    <row r="479" ht="14.25" customHeight="1">
      <c r="BE479" s="1"/>
    </row>
    <row r="480" ht="14.25" customHeight="1">
      <c r="BE480" s="1"/>
    </row>
    <row r="481" ht="14.25" customHeight="1">
      <c r="BE481" s="1"/>
    </row>
    <row r="482" ht="14.25" customHeight="1">
      <c r="BE482" s="1"/>
    </row>
    <row r="483" ht="14.25" customHeight="1">
      <c r="BE483" s="1"/>
    </row>
    <row r="484" ht="14.25" customHeight="1">
      <c r="BE484" s="1"/>
    </row>
    <row r="485" ht="14.25" customHeight="1">
      <c r="BE485" s="1"/>
    </row>
    <row r="486" ht="14.25" customHeight="1">
      <c r="BE486" s="1"/>
    </row>
    <row r="487" ht="14.25" customHeight="1">
      <c r="BE487" s="1"/>
    </row>
    <row r="488" ht="14.25" customHeight="1">
      <c r="BE488" s="1"/>
    </row>
    <row r="489" ht="14.25" customHeight="1">
      <c r="BE489" s="1"/>
    </row>
    <row r="490" ht="14.25" customHeight="1">
      <c r="BE490" s="1"/>
    </row>
    <row r="491" ht="14.25" customHeight="1">
      <c r="BE491" s="1"/>
    </row>
    <row r="492" ht="14.25" customHeight="1">
      <c r="BE492" s="1"/>
    </row>
    <row r="493" ht="14.25" customHeight="1">
      <c r="BE493" s="1"/>
    </row>
    <row r="494" ht="14.25" customHeight="1">
      <c r="BE494" s="1"/>
    </row>
    <row r="495" ht="14.25" customHeight="1">
      <c r="BE495" s="1"/>
    </row>
    <row r="496" ht="14.25" customHeight="1">
      <c r="BE496" s="1"/>
    </row>
    <row r="497" ht="14.25" customHeight="1">
      <c r="BE497" s="1"/>
    </row>
    <row r="498" ht="14.25" customHeight="1">
      <c r="BE498" s="1"/>
    </row>
    <row r="499" ht="14.25" customHeight="1">
      <c r="BE499" s="1"/>
    </row>
    <row r="500" ht="14.25" customHeight="1">
      <c r="BE500" s="1"/>
    </row>
    <row r="501" ht="14.25" customHeight="1">
      <c r="BE501" s="1"/>
    </row>
    <row r="502" ht="14.25" customHeight="1">
      <c r="BE502" s="1"/>
    </row>
    <row r="503" ht="14.25" customHeight="1">
      <c r="BE503" s="1"/>
    </row>
    <row r="504" ht="14.25" customHeight="1">
      <c r="BE504" s="1"/>
    </row>
    <row r="505" ht="14.25" customHeight="1">
      <c r="BE505" s="1"/>
    </row>
    <row r="506" ht="14.25" customHeight="1">
      <c r="BE506" s="1"/>
    </row>
    <row r="507" ht="14.25" customHeight="1">
      <c r="BE507" s="1"/>
    </row>
    <row r="508" ht="14.25" customHeight="1">
      <c r="BE508" s="1"/>
    </row>
    <row r="509" ht="14.25" customHeight="1">
      <c r="BE509" s="1"/>
    </row>
    <row r="510" ht="14.25" customHeight="1">
      <c r="BE510" s="1"/>
    </row>
    <row r="511" ht="14.25" customHeight="1">
      <c r="BE511" s="1"/>
    </row>
    <row r="512" ht="14.25" customHeight="1">
      <c r="BE512" s="1"/>
    </row>
    <row r="513" ht="14.25" customHeight="1">
      <c r="BE513" s="1"/>
    </row>
    <row r="514" ht="14.25" customHeight="1">
      <c r="BE514" s="1"/>
    </row>
    <row r="515" ht="14.25" customHeight="1">
      <c r="BE515" s="1"/>
    </row>
    <row r="516" ht="14.25" customHeight="1">
      <c r="BE516" s="1"/>
    </row>
    <row r="517" ht="14.25" customHeight="1">
      <c r="BE517" s="1"/>
    </row>
    <row r="518" ht="14.25" customHeight="1">
      <c r="BE518" s="1"/>
    </row>
    <row r="519" ht="14.25" customHeight="1">
      <c r="BE519" s="1"/>
    </row>
    <row r="520" ht="14.25" customHeight="1">
      <c r="BE520" s="1"/>
    </row>
    <row r="521" ht="14.25" customHeight="1">
      <c r="BE521" s="1"/>
    </row>
    <row r="522" ht="14.25" customHeight="1">
      <c r="BE522" s="1"/>
    </row>
    <row r="523" ht="14.25" customHeight="1">
      <c r="BE523" s="1"/>
    </row>
    <row r="524" ht="14.25" customHeight="1">
      <c r="BE524" s="1"/>
    </row>
    <row r="525" ht="14.25" customHeight="1">
      <c r="BE525" s="1"/>
    </row>
    <row r="526" ht="14.25" customHeight="1">
      <c r="BE526" s="1"/>
    </row>
    <row r="527" ht="14.25" customHeight="1">
      <c r="BE527" s="1"/>
    </row>
    <row r="528" ht="14.25" customHeight="1">
      <c r="BE528" s="1"/>
    </row>
    <row r="529" ht="14.25" customHeight="1">
      <c r="BE529" s="1"/>
    </row>
    <row r="530" ht="14.25" customHeight="1">
      <c r="BE530" s="1"/>
    </row>
    <row r="531" ht="14.25" customHeight="1">
      <c r="BE531" s="1"/>
    </row>
    <row r="532" ht="14.25" customHeight="1">
      <c r="BE532" s="1"/>
    </row>
    <row r="533" ht="14.25" customHeight="1">
      <c r="BE533" s="1"/>
    </row>
    <row r="534" ht="14.25" customHeight="1">
      <c r="BE534" s="1"/>
    </row>
    <row r="535" ht="14.25" customHeight="1">
      <c r="BE535" s="1"/>
    </row>
    <row r="536" ht="14.25" customHeight="1">
      <c r="BE536" s="1"/>
    </row>
    <row r="537" ht="14.25" customHeight="1">
      <c r="BE537" s="1"/>
    </row>
    <row r="538" ht="14.25" customHeight="1">
      <c r="BE538" s="1"/>
    </row>
    <row r="539" ht="14.25" customHeight="1">
      <c r="BE539" s="1"/>
    </row>
    <row r="540" ht="14.25" customHeight="1">
      <c r="BE540" s="1"/>
    </row>
    <row r="541" ht="14.25" customHeight="1">
      <c r="BE541" s="1"/>
    </row>
    <row r="542" ht="14.25" customHeight="1">
      <c r="BE542" s="1"/>
    </row>
    <row r="543" ht="14.25" customHeight="1">
      <c r="BE543" s="1"/>
    </row>
    <row r="544" ht="14.25" customHeight="1">
      <c r="BE544" s="1"/>
    </row>
    <row r="545" ht="14.25" customHeight="1">
      <c r="BE545" s="1"/>
    </row>
    <row r="546" ht="14.25" customHeight="1">
      <c r="BE546" s="1"/>
    </row>
    <row r="547" ht="14.25" customHeight="1">
      <c r="BE547" s="1"/>
    </row>
    <row r="548" ht="14.25" customHeight="1">
      <c r="BE548" s="1"/>
    </row>
    <row r="549" ht="14.25" customHeight="1">
      <c r="BE549" s="1"/>
    </row>
    <row r="550" ht="14.25" customHeight="1">
      <c r="BE550" s="1"/>
    </row>
    <row r="551" ht="14.25" customHeight="1">
      <c r="BE551" s="1"/>
    </row>
    <row r="552" ht="14.25" customHeight="1">
      <c r="BE552" s="1"/>
    </row>
    <row r="553" ht="14.25" customHeight="1">
      <c r="BE553" s="1"/>
    </row>
    <row r="554" ht="14.25" customHeight="1">
      <c r="BE554" s="1"/>
    </row>
    <row r="555" ht="14.25" customHeight="1">
      <c r="BE555" s="1"/>
    </row>
    <row r="556" ht="14.25" customHeight="1">
      <c r="BE556" s="1"/>
    </row>
    <row r="557" ht="14.25" customHeight="1">
      <c r="BE557" s="1"/>
    </row>
    <row r="558" ht="14.25" customHeight="1">
      <c r="BE558" s="1"/>
    </row>
    <row r="559" ht="14.25" customHeight="1">
      <c r="BE559" s="1"/>
    </row>
    <row r="560" ht="14.25" customHeight="1">
      <c r="BE560" s="1"/>
    </row>
    <row r="561" ht="14.25" customHeight="1">
      <c r="BE561" s="1"/>
    </row>
    <row r="562" ht="14.25" customHeight="1">
      <c r="BE562" s="1"/>
    </row>
    <row r="563" ht="14.25" customHeight="1">
      <c r="BE563" s="1"/>
    </row>
    <row r="564" ht="14.25" customHeight="1">
      <c r="BE564" s="1"/>
    </row>
    <row r="565" ht="14.25" customHeight="1">
      <c r="BE565" s="1"/>
    </row>
    <row r="566" ht="14.25" customHeight="1">
      <c r="BE566" s="1"/>
    </row>
    <row r="567" ht="14.25" customHeight="1">
      <c r="BE567" s="1"/>
    </row>
    <row r="568" ht="14.25" customHeight="1">
      <c r="BE568" s="1"/>
    </row>
    <row r="569" ht="14.25" customHeight="1">
      <c r="BE569" s="1"/>
    </row>
    <row r="570" ht="14.25" customHeight="1">
      <c r="BE570" s="1"/>
    </row>
    <row r="571" ht="14.25" customHeight="1">
      <c r="BE571" s="1"/>
    </row>
    <row r="572" ht="14.25" customHeight="1">
      <c r="BE572" s="1"/>
    </row>
    <row r="573" ht="14.25" customHeight="1">
      <c r="BE573" s="1"/>
    </row>
    <row r="574" ht="14.25" customHeight="1">
      <c r="BE574" s="1"/>
    </row>
    <row r="575" ht="14.25" customHeight="1">
      <c r="BE575" s="1"/>
    </row>
    <row r="576" ht="14.25" customHeight="1">
      <c r="BE576" s="1"/>
    </row>
    <row r="577" ht="14.25" customHeight="1">
      <c r="BE577" s="1"/>
    </row>
    <row r="578" ht="14.25" customHeight="1">
      <c r="BE578" s="1"/>
    </row>
    <row r="579" ht="14.25" customHeight="1">
      <c r="BE579" s="1"/>
    </row>
    <row r="580" ht="14.25" customHeight="1">
      <c r="BE580" s="1"/>
    </row>
    <row r="581" ht="14.25" customHeight="1">
      <c r="BE581" s="1"/>
    </row>
    <row r="582" ht="14.25" customHeight="1">
      <c r="BE582" s="1"/>
    </row>
    <row r="583" ht="14.25" customHeight="1">
      <c r="BE583" s="1"/>
    </row>
    <row r="584" ht="14.25" customHeight="1">
      <c r="BE584" s="1"/>
    </row>
    <row r="585" ht="14.25" customHeight="1">
      <c r="BE585" s="1"/>
    </row>
    <row r="586" ht="14.25" customHeight="1">
      <c r="BE586" s="1"/>
    </row>
    <row r="587" ht="14.25" customHeight="1">
      <c r="BE587" s="1"/>
    </row>
    <row r="588" ht="14.25" customHeight="1">
      <c r="BE588" s="1"/>
    </row>
    <row r="589" ht="14.25" customHeight="1">
      <c r="BE589" s="1"/>
    </row>
    <row r="590" ht="14.25" customHeight="1">
      <c r="BE590" s="1"/>
    </row>
    <row r="591" ht="14.25" customHeight="1">
      <c r="BE591" s="1"/>
    </row>
    <row r="592" ht="14.25" customHeight="1">
      <c r="BE592" s="1"/>
    </row>
    <row r="593" ht="14.25" customHeight="1">
      <c r="BE593" s="1"/>
    </row>
    <row r="594" ht="14.25" customHeight="1">
      <c r="BE594" s="1"/>
    </row>
    <row r="595" ht="14.25" customHeight="1">
      <c r="BE595" s="1"/>
    </row>
    <row r="596" ht="14.25" customHeight="1">
      <c r="BE596" s="1"/>
    </row>
    <row r="597" ht="14.25" customHeight="1">
      <c r="BE597" s="1"/>
    </row>
    <row r="598" ht="14.25" customHeight="1">
      <c r="BE598" s="1"/>
    </row>
    <row r="599" ht="14.25" customHeight="1">
      <c r="BE599" s="1"/>
    </row>
    <row r="600" ht="14.25" customHeight="1">
      <c r="BE600" s="1"/>
    </row>
    <row r="601" ht="14.25" customHeight="1">
      <c r="BE601" s="1"/>
    </row>
    <row r="602" ht="14.25" customHeight="1">
      <c r="BE602" s="1"/>
    </row>
    <row r="603" ht="14.25" customHeight="1">
      <c r="BE603" s="1"/>
    </row>
    <row r="604" ht="14.25" customHeight="1">
      <c r="BE604" s="1"/>
    </row>
    <row r="605" ht="14.25" customHeight="1">
      <c r="BE605" s="1"/>
    </row>
    <row r="606" ht="14.25" customHeight="1">
      <c r="BE606" s="1"/>
    </row>
    <row r="607" ht="14.25" customHeight="1">
      <c r="BE607" s="1"/>
    </row>
    <row r="608" ht="14.25" customHeight="1">
      <c r="BE608" s="1"/>
    </row>
    <row r="609" ht="14.25" customHeight="1">
      <c r="BE609" s="1"/>
    </row>
    <row r="610" ht="14.25" customHeight="1">
      <c r="BE610" s="1"/>
    </row>
    <row r="611" ht="14.25" customHeight="1">
      <c r="BE611" s="1"/>
    </row>
    <row r="612" ht="14.25" customHeight="1">
      <c r="BE612" s="1"/>
    </row>
    <row r="613" ht="14.25" customHeight="1">
      <c r="BE613" s="1"/>
    </row>
    <row r="614" ht="14.25" customHeight="1">
      <c r="BE614" s="1"/>
    </row>
    <row r="615" ht="14.25" customHeight="1">
      <c r="BE615" s="1"/>
    </row>
    <row r="616" ht="14.25" customHeight="1">
      <c r="BE616" s="1"/>
    </row>
    <row r="617" ht="14.25" customHeight="1">
      <c r="BE617" s="1"/>
    </row>
    <row r="618" ht="14.25" customHeight="1">
      <c r="BE618" s="1"/>
    </row>
    <row r="619" ht="14.25" customHeight="1">
      <c r="BE619" s="1"/>
    </row>
    <row r="620" ht="14.25" customHeight="1">
      <c r="BE620" s="1"/>
    </row>
    <row r="621" ht="14.25" customHeight="1">
      <c r="BE621" s="1"/>
    </row>
    <row r="622" ht="14.25" customHeight="1">
      <c r="BE622" s="1"/>
    </row>
    <row r="623" ht="14.25" customHeight="1">
      <c r="BE623" s="1"/>
    </row>
    <row r="624" ht="14.25" customHeight="1">
      <c r="BE624" s="1"/>
    </row>
    <row r="625" ht="14.25" customHeight="1">
      <c r="BE625" s="1"/>
    </row>
    <row r="626" ht="14.25" customHeight="1">
      <c r="BE626" s="1"/>
    </row>
    <row r="627" ht="14.25" customHeight="1">
      <c r="BE627" s="1"/>
    </row>
    <row r="628" ht="14.25" customHeight="1">
      <c r="BE628" s="1"/>
    </row>
    <row r="629" ht="14.25" customHeight="1">
      <c r="BE629" s="1"/>
    </row>
    <row r="630" ht="14.25" customHeight="1">
      <c r="BE630" s="1"/>
    </row>
    <row r="631" ht="14.25" customHeight="1">
      <c r="BE631" s="1"/>
    </row>
    <row r="632" ht="14.25" customHeight="1">
      <c r="BE632" s="1"/>
    </row>
    <row r="633" ht="14.25" customHeight="1">
      <c r="BE633" s="1"/>
    </row>
    <row r="634" ht="14.25" customHeight="1">
      <c r="BE634" s="1"/>
    </row>
    <row r="635" ht="14.25" customHeight="1">
      <c r="BE635" s="1"/>
    </row>
    <row r="636" ht="14.25" customHeight="1">
      <c r="BE636" s="1"/>
    </row>
    <row r="637" ht="14.25" customHeight="1">
      <c r="BE637" s="1"/>
    </row>
    <row r="638" ht="14.25" customHeight="1">
      <c r="BE638" s="1"/>
    </row>
    <row r="639" ht="14.25" customHeight="1">
      <c r="BE639" s="1"/>
    </row>
    <row r="640" ht="14.25" customHeight="1">
      <c r="BE640" s="1"/>
    </row>
    <row r="641" ht="14.25" customHeight="1">
      <c r="BE641" s="1"/>
    </row>
    <row r="642" ht="14.25" customHeight="1">
      <c r="BE642" s="1"/>
    </row>
    <row r="643" ht="14.25" customHeight="1">
      <c r="BE643" s="1"/>
    </row>
    <row r="644" ht="14.25" customHeight="1">
      <c r="BE644" s="1"/>
    </row>
    <row r="645" ht="14.25" customHeight="1">
      <c r="BE645" s="1"/>
    </row>
    <row r="646" ht="14.25" customHeight="1">
      <c r="BE646" s="1"/>
    </row>
    <row r="647" ht="14.25" customHeight="1">
      <c r="BE647" s="1"/>
    </row>
    <row r="648" ht="14.25" customHeight="1">
      <c r="BE648" s="1"/>
    </row>
    <row r="649" ht="14.25" customHeight="1">
      <c r="BE649" s="1"/>
    </row>
    <row r="650" ht="14.25" customHeight="1">
      <c r="BE650" s="1"/>
    </row>
    <row r="651" ht="14.25" customHeight="1">
      <c r="BE651" s="1"/>
    </row>
    <row r="652" ht="14.25" customHeight="1">
      <c r="BE652" s="1"/>
    </row>
    <row r="653" ht="14.25" customHeight="1">
      <c r="BE653" s="1"/>
    </row>
    <row r="654" ht="14.25" customHeight="1">
      <c r="BE654" s="1"/>
    </row>
    <row r="655" ht="14.25" customHeight="1">
      <c r="BE655" s="1"/>
    </row>
    <row r="656" ht="14.25" customHeight="1">
      <c r="BE656" s="1"/>
    </row>
    <row r="657" ht="14.25" customHeight="1">
      <c r="BE657" s="1"/>
    </row>
    <row r="658" ht="14.25" customHeight="1">
      <c r="BE658" s="1"/>
    </row>
    <row r="659" ht="14.25" customHeight="1">
      <c r="BE659" s="1"/>
    </row>
    <row r="660" ht="14.25" customHeight="1">
      <c r="BE660" s="1"/>
    </row>
    <row r="661" ht="14.25" customHeight="1">
      <c r="BE661" s="1"/>
    </row>
    <row r="662" ht="14.25" customHeight="1">
      <c r="BE662" s="1"/>
    </row>
    <row r="663" ht="14.25" customHeight="1">
      <c r="BE663" s="1"/>
    </row>
    <row r="664" ht="14.25" customHeight="1">
      <c r="BE664" s="1"/>
    </row>
    <row r="665" ht="14.25" customHeight="1">
      <c r="BE665" s="1"/>
    </row>
    <row r="666" ht="14.25" customHeight="1">
      <c r="BE666" s="1"/>
    </row>
    <row r="667" ht="14.25" customHeight="1">
      <c r="BE667" s="1"/>
    </row>
    <row r="668" ht="14.25" customHeight="1">
      <c r="BE668" s="1"/>
    </row>
    <row r="669" ht="14.25" customHeight="1">
      <c r="BE669" s="1"/>
    </row>
    <row r="670" ht="14.25" customHeight="1">
      <c r="BE670" s="1"/>
    </row>
    <row r="671" ht="14.25" customHeight="1">
      <c r="BE671" s="1"/>
    </row>
    <row r="672" ht="14.25" customHeight="1">
      <c r="BE672" s="1"/>
    </row>
    <row r="673" ht="14.25" customHeight="1">
      <c r="BE673" s="1"/>
    </row>
    <row r="674" ht="14.25" customHeight="1">
      <c r="BE674" s="1"/>
    </row>
    <row r="675" ht="14.25" customHeight="1">
      <c r="BE675" s="1"/>
    </row>
    <row r="676" ht="14.25" customHeight="1">
      <c r="BE676" s="1"/>
    </row>
    <row r="677" ht="14.25" customHeight="1">
      <c r="BE677" s="1"/>
    </row>
    <row r="678" ht="14.25" customHeight="1">
      <c r="BE678" s="1"/>
    </row>
    <row r="679" ht="14.25" customHeight="1">
      <c r="BE679" s="1"/>
    </row>
    <row r="680" ht="14.25" customHeight="1">
      <c r="BE680" s="1"/>
    </row>
    <row r="681" ht="14.25" customHeight="1">
      <c r="BE681" s="1"/>
    </row>
    <row r="682" ht="14.25" customHeight="1">
      <c r="BE682" s="1"/>
    </row>
    <row r="683" ht="14.25" customHeight="1">
      <c r="BE683" s="1"/>
    </row>
    <row r="684" ht="14.25" customHeight="1">
      <c r="BE684" s="1"/>
    </row>
    <row r="685" ht="14.25" customHeight="1">
      <c r="BE685" s="1"/>
    </row>
    <row r="686" ht="14.25" customHeight="1">
      <c r="BE686" s="1"/>
    </row>
    <row r="687" ht="14.25" customHeight="1">
      <c r="BE687" s="1"/>
    </row>
    <row r="688" ht="14.25" customHeight="1">
      <c r="BE688" s="1"/>
    </row>
    <row r="689" ht="14.25" customHeight="1">
      <c r="BE689" s="1"/>
    </row>
    <row r="690" ht="14.25" customHeight="1">
      <c r="BE690" s="1"/>
    </row>
    <row r="691" ht="14.25" customHeight="1">
      <c r="BE691" s="1"/>
    </row>
    <row r="692" ht="14.25" customHeight="1">
      <c r="BE692" s="1"/>
    </row>
    <row r="693" ht="14.25" customHeight="1">
      <c r="BE693" s="1"/>
    </row>
    <row r="694" ht="14.25" customHeight="1">
      <c r="BE694" s="1"/>
    </row>
    <row r="695" ht="14.25" customHeight="1">
      <c r="BE695" s="1"/>
    </row>
    <row r="696" ht="14.25" customHeight="1">
      <c r="BE696" s="1"/>
    </row>
    <row r="697" ht="14.25" customHeight="1">
      <c r="BE697" s="1"/>
    </row>
    <row r="698" ht="14.25" customHeight="1">
      <c r="BE698" s="1"/>
    </row>
    <row r="699" ht="14.25" customHeight="1">
      <c r="BE699" s="1"/>
    </row>
    <row r="700" ht="14.25" customHeight="1">
      <c r="BE700" s="1"/>
    </row>
    <row r="701" ht="14.25" customHeight="1">
      <c r="BE701" s="1"/>
    </row>
    <row r="702" ht="14.25" customHeight="1">
      <c r="BE702" s="1"/>
    </row>
    <row r="703" ht="14.25" customHeight="1">
      <c r="BE703" s="1"/>
    </row>
    <row r="704" ht="14.25" customHeight="1">
      <c r="BE704" s="1"/>
    </row>
    <row r="705" ht="14.25" customHeight="1">
      <c r="BE705" s="1"/>
    </row>
    <row r="706" ht="14.25" customHeight="1">
      <c r="BE706" s="1"/>
    </row>
    <row r="707" ht="14.25" customHeight="1">
      <c r="BE707" s="1"/>
    </row>
    <row r="708" ht="14.25" customHeight="1">
      <c r="BE708" s="1"/>
    </row>
    <row r="709" ht="14.25" customHeight="1">
      <c r="BE709" s="1"/>
    </row>
    <row r="710" ht="14.25" customHeight="1">
      <c r="BE710" s="1"/>
    </row>
    <row r="711" ht="14.25" customHeight="1">
      <c r="BE711" s="1"/>
    </row>
    <row r="712" ht="14.25" customHeight="1">
      <c r="BE712" s="1"/>
    </row>
    <row r="713" ht="14.25" customHeight="1">
      <c r="BE713" s="1"/>
    </row>
    <row r="714" ht="14.25" customHeight="1">
      <c r="BE714" s="1"/>
    </row>
    <row r="715" ht="14.25" customHeight="1">
      <c r="BE715" s="1"/>
    </row>
    <row r="716" ht="14.25" customHeight="1">
      <c r="BE716" s="1"/>
    </row>
    <row r="717" ht="14.25" customHeight="1">
      <c r="BE717" s="1"/>
    </row>
    <row r="718" ht="14.25" customHeight="1">
      <c r="BE718" s="1"/>
    </row>
    <row r="719" ht="14.25" customHeight="1">
      <c r="BE719" s="1"/>
    </row>
    <row r="720" ht="14.25" customHeight="1">
      <c r="BE720" s="1"/>
    </row>
    <row r="721" ht="14.25" customHeight="1">
      <c r="BE721" s="1"/>
    </row>
    <row r="722" ht="14.25" customHeight="1">
      <c r="BE722" s="1"/>
    </row>
    <row r="723" ht="14.25" customHeight="1">
      <c r="BE723" s="1"/>
    </row>
    <row r="724" ht="14.25" customHeight="1">
      <c r="BE724" s="1"/>
    </row>
    <row r="725" ht="14.25" customHeight="1">
      <c r="BE725" s="1"/>
    </row>
    <row r="726" ht="14.25" customHeight="1">
      <c r="BE726" s="1"/>
    </row>
    <row r="727" ht="14.25" customHeight="1">
      <c r="BE727" s="1"/>
    </row>
    <row r="728" ht="14.25" customHeight="1">
      <c r="BE728" s="1"/>
    </row>
    <row r="729" ht="14.25" customHeight="1">
      <c r="BE729" s="1"/>
    </row>
    <row r="730" ht="14.25" customHeight="1">
      <c r="BE730" s="1"/>
    </row>
    <row r="731" ht="14.25" customHeight="1">
      <c r="BE731" s="1"/>
    </row>
    <row r="732" ht="14.25" customHeight="1">
      <c r="BE732" s="1"/>
    </row>
    <row r="733" ht="14.25" customHeight="1">
      <c r="BE733" s="1"/>
    </row>
    <row r="734" ht="14.25" customHeight="1">
      <c r="BE734" s="1"/>
    </row>
    <row r="735" ht="14.25" customHeight="1">
      <c r="BE735" s="1"/>
    </row>
    <row r="736" ht="14.25" customHeight="1">
      <c r="BE736" s="1"/>
    </row>
    <row r="737" ht="14.25" customHeight="1">
      <c r="BE737" s="1"/>
    </row>
    <row r="738" ht="14.25" customHeight="1">
      <c r="BE738" s="1"/>
    </row>
    <row r="739" ht="14.25" customHeight="1">
      <c r="BE739" s="1"/>
    </row>
    <row r="740" ht="14.25" customHeight="1">
      <c r="BE740" s="1"/>
    </row>
    <row r="741" ht="14.25" customHeight="1">
      <c r="BE741" s="1"/>
    </row>
    <row r="742" ht="14.25" customHeight="1">
      <c r="BE742" s="1"/>
    </row>
    <row r="743" ht="14.25" customHeight="1">
      <c r="BE743" s="1"/>
    </row>
    <row r="744" ht="14.25" customHeight="1">
      <c r="BE744" s="1"/>
    </row>
    <row r="745" ht="14.25" customHeight="1">
      <c r="BE745" s="1"/>
    </row>
    <row r="746" ht="14.25" customHeight="1">
      <c r="BE746" s="1"/>
    </row>
    <row r="747" ht="14.25" customHeight="1">
      <c r="BE747" s="1"/>
    </row>
    <row r="748" ht="14.25" customHeight="1">
      <c r="BE748" s="1"/>
    </row>
    <row r="749" ht="14.25" customHeight="1">
      <c r="BE749" s="1"/>
    </row>
    <row r="750" ht="14.25" customHeight="1">
      <c r="BE750" s="1"/>
    </row>
    <row r="751" ht="14.25" customHeight="1">
      <c r="BE751" s="1"/>
    </row>
    <row r="752" ht="14.25" customHeight="1">
      <c r="BE752" s="1"/>
    </row>
    <row r="753" ht="14.25" customHeight="1">
      <c r="BE753" s="1"/>
    </row>
    <row r="754" ht="14.25" customHeight="1">
      <c r="BE754" s="1"/>
    </row>
    <row r="755" ht="14.25" customHeight="1">
      <c r="BE755" s="1"/>
    </row>
    <row r="756" ht="14.25" customHeight="1">
      <c r="BE756" s="1"/>
    </row>
    <row r="757" ht="14.25" customHeight="1">
      <c r="BE757" s="1"/>
    </row>
    <row r="758" ht="14.25" customHeight="1">
      <c r="BE758" s="1"/>
    </row>
    <row r="759" ht="14.25" customHeight="1">
      <c r="BE759" s="1"/>
    </row>
    <row r="760" ht="14.25" customHeight="1">
      <c r="BE760" s="1"/>
    </row>
    <row r="761" ht="14.25" customHeight="1">
      <c r="BE761" s="1"/>
    </row>
    <row r="762" ht="14.25" customHeight="1">
      <c r="BE762" s="1"/>
    </row>
    <row r="763" ht="14.25" customHeight="1">
      <c r="BE763" s="1"/>
    </row>
    <row r="764" ht="14.25" customHeight="1">
      <c r="BE764" s="1"/>
    </row>
    <row r="765" ht="14.25" customHeight="1">
      <c r="BE765" s="1"/>
    </row>
    <row r="766" ht="14.25" customHeight="1">
      <c r="BE766" s="1"/>
    </row>
    <row r="767" ht="14.25" customHeight="1">
      <c r="BE767" s="1"/>
    </row>
    <row r="768" ht="14.25" customHeight="1">
      <c r="BE768" s="1"/>
    </row>
    <row r="769" ht="14.25" customHeight="1">
      <c r="BE769" s="1"/>
    </row>
    <row r="770" ht="14.25" customHeight="1">
      <c r="BE770" s="1"/>
    </row>
    <row r="771" ht="14.25" customHeight="1">
      <c r="BE771" s="1"/>
    </row>
    <row r="772" ht="14.25" customHeight="1">
      <c r="BE772" s="1"/>
    </row>
    <row r="773" ht="14.25" customHeight="1">
      <c r="BE773" s="1"/>
    </row>
    <row r="774" ht="14.25" customHeight="1">
      <c r="BE774" s="1"/>
    </row>
    <row r="775" ht="14.25" customHeight="1">
      <c r="BE775" s="1"/>
    </row>
    <row r="776" ht="14.25" customHeight="1">
      <c r="BE776" s="1"/>
    </row>
    <row r="777" ht="14.25" customHeight="1">
      <c r="BE777" s="1"/>
    </row>
    <row r="778" ht="14.25" customHeight="1">
      <c r="BE778" s="1"/>
    </row>
    <row r="779" ht="14.25" customHeight="1">
      <c r="BE779" s="1"/>
    </row>
    <row r="780" ht="14.25" customHeight="1">
      <c r="BE780" s="1"/>
    </row>
    <row r="781" ht="14.25" customHeight="1">
      <c r="BE781" s="1"/>
    </row>
    <row r="782" ht="14.25" customHeight="1">
      <c r="BE782" s="1"/>
    </row>
    <row r="783" ht="14.25" customHeight="1">
      <c r="BE783" s="1"/>
    </row>
    <row r="784" ht="14.25" customHeight="1">
      <c r="BE784" s="1"/>
    </row>
    <row r="785" ht="14.25" customHeight="1">
      <c r="BE785" s="1"/>
    </row>
    <row r="786" ht="14.25" customHeight="1">
      <c r="BE786" s="1"/>
    </row>
    <row r="787" ht="14.25" customHeight="1">
      <c r="BE787" s="1"/>
    </row>
    <row r="788" ht="14.25" customHeight="1">
      <c r="BE788" s="1"/>
    </row>
    <row r="789" ht="14.25" customHeight="1">
      <c r="BE789" s="1"/>
    </row>
    <row r="790" ht="14.25" customHeight="1">
      <c r="BE790" s="1"/>
    </row>
    <row r="791" ht="14.25" customHeight="1">
      <c r="BE791" s="1"/>
    </row>
    <row r="792" ht="14.25" customHeight="1">
      <c r="BE792" s="1"/>
    </row>
    <row r="793" ht="14.25" customHeight="1">
      <c r="BE793" s="1"/>
    </row>
    <row r="794" ht="14.25" customHeight="1">
      <c r="BE794" s="1"/>
    </row>
    <row r="795" ht="14.25" customHeight="1">
      <c r="BE795" s="1"/>
    </row>
    <row r="796" ht="14.25" customHeight="1">
      <c r="BE796" s="1"/>
    </row>
    <row r="797" ht="14.25" customHeight="1">
      <c r="BE797" s="1"/>
    </row>
    <row r="798" ht="14.25" customHeight="1">
      <c r="BE798" s="1"/>
    </row>
    <row r="799" ht="14.25" customHeight="1">
      <c r="BE799" s="1"/>
    </row>
    <row r="800" ht="14.25" customHeight="1">
      <c r="BE800" s="1"/>
    </row>
    <row r="801" ht="14.25" customHeight="1">
      <c r="BE801" s="1"/>
    </row>
    <row r="802" ht="14.25" customHeight="1">
      <c r="BE802" s="1"/>
    </row>
    <row r="803" ht="14.25" customHeight="1">
      <c r="BE803" s="1"/>
    </row>
    <row r="804" ht="14.25" customHeight="1">
      <c r="BE804" s="1"/>
    </row>
    <row r="805" ht="14.25" customHeight="1">
      <c r="BE805" s="1"/>
    </row>
    <row r="806" ht="14.25" customHeight="1">
      <c r="BE806" s="1"/>
    </row>
    <row r="807" ht="14.25" customHeight="1">
      <c r="BE807" s="1"/>
    </row>
    <row r="808" ht="14.25" customHeight="1">
      <c r="BE808" s="1"/>
    </row>
    <row r="809" ht="14.25" customHeight="1">
      <c r="BE809" s="1"/>
    </row>
    <row r="810" ht="14.25" customHeight="1">
      <c r="BE810" s="1"/>
    </row>
    <row r="811" ht="14.25" customHeight="1">
      <c r="BE811" s="1"/>
    </row>
    <row r="812" ht="14.25" customHeight="1">
      <c r="BE812" s="1"/>
    </row>
    <row r="813" ht="14.25" customHeight="1">
      <c r="BE813" s="1"/>
    </row>
    <row r="814" ht="14.25" customHeight="1">
      <c r="BE814" s="1"/>
    </row>
    <row r="815" ht="14.25" customHeight="1">
      <c r="BE815" s="1"/>
    </row>
    <row r="816" ht="14.25" customHeight="1">
      <c r="BE816" s="1"/>
    </row>
    <row r="817" ht="14.25" customHeight="1">
      <c r="BE817" s="1"/>
    </row>
    <row r="818" ht="14.25" customHeight="1">
      <c r="BE818" s="1"/>
    </row>
    <row r="819" ht="14.25" customHeight="1">
      <c r="BE819" s="1"/>
    </row>
    <row r="820" ht="14.25" customHeight="1">
      <c r="BE820" s="1"/>
    </row>
    <row r="821" ht="14.25" customHeight="1">
      <c r="BE821" s="1"/>
    </row>
    <row r="822" ht="14.25" customHeight="1">
      <c r="BE822" s="1"/>
    </row>
    <row r="823" ht="14.25" customHeight="1">
      <c r="BE823" s="1"/>
    </row>
    <row r="824" ht="14.25" customHeight="1">
      <c r="BE824" s="1"/>
    </row>
    <row r="825" ht="14.25" customHeight="1">
      <c r="BE825" s="1"/>
    </row>
    <row r="826" ht="14.25" customHeight="1">
      <c r="BE826" s="1"/>
    </row>
    <row r="827" ht="14.25" customHeight="1">
      <c r="BE827" s="1"/>
    </row>
    <row r="828" ht="14.25" customHeight="1">
      <c r="BE828" s="1"/>
    </row>
    <row r="829" ht="14.25" customHeight="1">
      <c r="BE829" s="1"/>
    </row>
    <row r="830" ht="14.25" customHeight="1">
      <c r="BE830" s="1"/>
    </row>
    <row r="831" ht="14.25" customHeight="1">
      <c r="BE831" s="1"/>
    </row>
    <row r="832" ht="14.25" customHeight="1">
      <c r="BE832" s="1"/>
    </row>
    <row r="833" ht="14.25" customHeight="1">
      <c r="BE833" s="1"/>
    </row>
    <row r="834" ht="14.25" customHeight="1">
      <c r="BE834" s="1"/>
    </row>
    <row r="835" ht="14.25" customHeight="1">
      <c r="BE835" s="1"/>
    </row>
    <row r="836" ht="14.25" customHeight="1">
      <c r="BE836" s="1"/>
    </row>
    <row r="837" ht="14.25" customHeight="1">
      <c r="BE837" s="1"/>
    </row>
    <row r="838" ht="14.25" customHeight="1">
      <c r="BE838" s="1"/>
    </row>
    <row r="839" ht="14.25" customHeight="1">
      <c r="BE839" s="1"/>
    </row>
    <row r="840" ht="14.25" customHeight="1">
      <c r="BE840" s="1"/>
    </row>
    <row r="841" ht="14.25" customHeight="1">
      <c r="BE841" s="1"/>
    </row>
    <row r="842" ht="14.25" customHeight="1">
      <c r="BE842" s="1"/>
    </row>
    <row r="843" ht="14.25" customHeight="1">
      <c r="BE843" s="1"/>
    </row>
    <row r="844" ht="14.25" customHeight="1">
      <c r="BE844" s="1"/>
    </row>
    <row r="845" ht="14.25" customHeight="1">
      <c r="BE845" s="1"/>
    </row>
    <row r="846" ht="14.25" customHeight="1">
      <c r="BE846" s="1"/>
    </row>
    <row r="847" ht="14.25" customHeight="1">
      <c r="BE847" s="1"/>
    </row>
    <row r="848" ht="14.25" customHeight="1">
      <c r="BE848" s="1"/>
    </row>
    <row r="849" ht="14.25" customHeight="1">
      <c r="BE849" s="1"/>
    </row>
    <row r="850" ht="14.25" customHeight="1">
      <c r="BE850" s="1"/>
    </row>
    <row r="851" ht="14.25" customHeight="1">
      <c r="BE851" s="1"/>
    </row>
    <row r="852" ht="14.25" customHeight="1">
      <c r="BE852" s="1"/>
    </row>
    <row r="853" ht="14.25" customHeight="1">
      <c r="BE853" s="1"/>
    </row>
    <row r="854" ht="14.25" customHeight="1">
      <c r="BE854" s="1"/>
    </row>
    <row r="855" ht="14.25" customHeight="1">
      <c r="BE855" s="1"/>
    </row>
    <row r="856" ht="14.25" customHeight="1">
      <c r="BE856" s="1"/>
    </row>
    <row r="857" ht="14.25" customHeight="1">
      <c r="BE857" s="1"/>
    </row>
    <row r="858" ht="14.25" customHeight="1">
      <c r="BE858" s="1"/>
    </row>
    <row r="859" ht="14.25" customHeight="1">
      <c r="BE859" s="1"/>
    </row>
    <row r="860" ht="14.25" customHeight="1">
      <c r="BE860" s="1"/>
    </row>
    <row r="861" ht="14.25" customHeight="1">
      <c r="BE861" s="1"/>
    </row>
    <row r="862" ht="14.25" customHeight="1">
      <c r="BE862" s="1"/>
    </row>
    <row r="863" ht="14.25" customHeight="1">
      <c r="BE863" s="1"/>
    </row>
    <row r="864" ht="14.25" customHeight="1">
      <c r="BE864" s="1"/>
    </row>
    <row r="865" ht="14.25" customHeight="1">
      <c r="BE865" s="1"/>
    </row>
    <row r="866" ht="14.25" customHeight="1">
      <c r="BE866" s="1"/>
    </row>
    <row r="867" ht="14.25" customHeight="1">
      <c r="BE867" s="1"/>
    </row>
    <row r="868" ht="14.25" customHeight="1">
      <c r="BE868" s="1"/>
    </row>
    <row r="869" ht="14.25" customHeight="1">
      <c r="BE869" s="1"/>
    </row>
    <row r="870" ht="14.25" customHeight="1">
      <c r="BE870" s="1"/>
    </row>
    <row r="871" ht="14.25" customHeight="1">
      <c r="BE871" s="1"/>
    </row>
    <row r="872" ht="14.25" customHeight="1">
      <c r="BE872" s="1"/>
    </row>
    <row r="873" ht="14.25" customHeight="1">
      <c r="BE873" s="1"/>
    </row>
    <row r="874" ht="14.25" customHeight="1">
      <c r="BE874" s="1"/>
    </row>
    <row r="875" ht="14.25" customHeight="1">
      <c r="BE875" s="1"/>
    </row>
    <row r="876" ht="14.25" customHeight="1">
      <c r="BE876" s="1"/>
    </row>
    <row r="877" ht="14.25" customHeight="1">
      <c r="BE877" s="1"/>
    </row>
    <row r="878" ht="14.25" customHeight="1">
      <c r="BE878" s="1"/>
    </row>
    <row r="879" ht="14.25" customHeight="1">
      <c r="BE879" s="1"/>
    </row>
    <row r="880" ht="14.25" customHeight="1">
      <c r="BE880" s="1"/>
    </row>
    <row r="881" ht="14.25" customHeight="1">
      <c r="BE881" s="1"/>
    </row>
    <row r="882" ht="14.25" customHeight="1">
      <c r="BE882" s="1"/>
    </row>
    <row r="883" ht="14.25" customHeight="1">
      <c r="BE883" s="1"/>
    </row>
    <row r="884" ht="14.25" customHeight="1">
      <c r="BE884" s="1"/>
    </row>
    <row r="885" ht="14.25" customHeight="1">
      <c r="BE885" s="1"/>
    </row>
    <row r="886" ht="14.25" customHeight="1">
      <c r="BE886" s="1"/>
    </row>
    <row r="887" ht="14.25" customHeight="1">
      <c r="BE887" s="1"/>
    </row>
    <row r="888" ht="14.25" customHeight="1">
      <c r="BE888" s="1"/>
    </row>
    <row r="889" ht="14.25" customHeight="1">
      <c r="BE889" s="1"/>
    </row>
    <row r="890" ht="14.25" customHeight="1">
      <c r="BE890" s="1"/>
    </row>
    <row r="891" ht="14.25" customHeight="1">
      <c r="BE891" s="1"/>
    </row>
    <row r="892" ht="14.25" customHeight="1">
      <c r="BE892" s="1"/>
    </row>
    <row r="893" ht="14.25" customHeight="1">
      <c r="BE893" s="1"/>
    </row>
    <row r="894" ht="14.25" customHeight="1">
      <c r="BE894" s="1"/>
    </row>
    <row r="895" ht="14.25" customHeight="1">
      <c r="BE895" s="1"/>
    </row>
    <row r="896" ht="14.25" customHeight="1">
      <c r="BE896" s="1"/>
    </row>
    <row r="897" ht="14.25" customHeight="1">
      <c r="BE897" s="1"/>
    </row>
    <row r="898" ht="14.25" customHeight="1">
      <c r="BE898" s="1"/>
    </row>
    <row r="899" ht="14.25" customHeight="1">
      <c r="BE899" s="1"/>
    </row>
    <row r="900" ht="14.25" customHeight="1">
      <c r="BE900" s="1"/>
    </row>
    <row r="901" ht="14.25" customHeight="1">
      <c r="BE901" s="1"/>
    </row>
    <row r="902" ht="14.25" customHeight="1">
      <c r="BE902" s="1"/>
    </row>
    <row r="903" ht="14.25" customHeight="1">
      <c r="BE903" s="1"/>
    </row>
    <row r="904" ht="14.25" customHeight="1">
      <c r="BE904" s="1"/>
    </row>
    <row r="905" ht="14.25" customHeight="1">
      <c r="BE905" s="1"/>
    </row>
    <row r="906" ht="14.25" customHeight="1">
      <c r="BE906" s="1"/>
    </row>
    <row r="907" ht="14.25" customHeight="1">
      <c r="BE907" s="1"/>
    </row>
    <row r="908" ht="14.25" customHeight="1">
      <c r="BE908" s="1"/>
    </row>
    <row r="909" ht="14.25" customHeight="1">
      <c r="BE909" s="1"/>
    </row>
    <row r="910" ht="14.25" customHeight="1">
      <c r="BE910" s="1"/>
    </row>
    <row r="911" ht="14.25" customHeight="1">
      <c r="BE911" s="1"/>
    </row>
    <row r="912" ht="14.25" customHeight="1">
      <c r="BE912" s="1"/>
    </row>
    <row r="913" ht="14.25" customHeight="1">
      <c r="BE913" s="1"/>
    </row>
    <row r="914" ht="14.25" customHeight="1">
      <c r="BE914" s="1"/>
    </row>
    <row r="915" ht="14.25" customHeight="1">
      <c r="BE915" s="1"/>
    </row>
    <row r="916" ht="14.25" customHeight="1">
      <c r="BE916" s="1"/>
    </row>
    <row r="917" ht="14.25" customHeight="1">
      <c r="BE917" s="1"/>
    </row>
    <row r="918" ht="14.25" customHeight="1">
      <c r="BE918" s="1"/>
    </row>
    <row r="919" ht="14.25" customHeight="1">
      <c r="BE919" s="1"/>
    </row>
    <row r="920" ht="14.25" customHeight="1">
      <c r="BE920" s="1"/>
    </row>
    <row r="921" ht="14.25" customHeight="1">
      <c r="BE921" s="1"/>
    </row>
    <row r="922" ht="14.25" customHeight="1">
      <c r="BE922" s="1"/>
    </row>
    <row r="923" ht="14.25" customHeight="1">
      <c r="BE923" s="1"/>
    </row>
    <row r="924" ht="14.25" customHeight="1">
      <c r="BE924" s="1"/>
    </row>
    <row r="925" ht="14.25" customHeight="1">
      <c r="BE925" s="1"/>
    </row>
    <row r="926" ht="14.25" customHeight="1">
      <c r="BE926" s="1"/>
    </row>
    <row r="927" ht="14.25" customHeight="1">
      <c r="BE927" s="1"/>
    </row>
    <row r="928" ht="14.25" customHeight="1">
      <c r="BE928" s="1"/>
    </row>
    <row r="929" ht="14.25" customHeight="1">
      <c r="BE929" s="1"/>
    </row>
    <row r="930" ht="14.25" customHeight="1">
      <c r="BE930" s="1"/>
    </row>
    <row r="931" ht="14.25" customHeight="1">
      <c r="BE931" s="1"/>
    </row>
    <row r="932" ht="14.25" customHeight="1">
      <c r="BE932" s="1"/>
    </row>
    <row r="933" ht="14.25" customHeight="1">
      <c r="BE933" s="1"/>
    </row>
    <row r="934" ht="14.25" customHeight="1">
      <c r="BE934" s="1"/>
    </row>
    <row r="935" ht="14.25" customHeight="1">
      <c r="BE935" s="1"/>
    </row>
    <row r="936" ht="14.25" customHeight="1">
      <c r="BE936" s="1"/>
    </row>
    <row r="937" ht="14.25" customHeight="1">
      <c r="BE937" s="1"/>
    </row>
    <row r="938" ht="14.25" customHeight="1">
      <c r="BE938" s="1"/>
    </row>
    <row r="939" ht="14.25" customHeight="1">
      <c r="BE939" s="1"/>
    </row>
    <row r="940" ht="14.25" customHeight="1">
      <c r="BE940" s="1"/>
    </row>
    <row r="941" ht="14.25" customHeight="1">
      <c r="BE941" s="1"/>
    </row>
    <row r="942" ht="14.25" customHeight="1">
      <c r="BE942" s="1"/>
    </row>
    <row r="943" ht="14.25" customHeight="1">
      <c r="BE943" s="1"/>
    </row>
    <row r="944" ht="14.25" customHeight="1">
      <c r="BE944" s="1"/>
    </row>
    <row r="945" ht="14.25" customHeight="1">
      <c r="BE945" s="1"/>
    </row>
    <row r="946" ht="14.25" customHeight="1">
      <c r="BE946" s="1"/>
    </row>
    <row r="947" ht="14.25" customHeight="1">
      <c r="BE947" s="1"/>
    </row>
    <row r="948" ht="14.25" customHeight="1">
      <c r="BE948" s="1"/>
    </row>
    <row r="949" ht="14.25" customHeight="1">
      <c r="BE949" s="1"/>
    </row>
    <row r="950" ht="14.25" customHeight="1">
      <c r="BE950" s="1"/>
    </row>
    <row r="951" ht="14.25" customHeight="1">
      <c r="BE951" s="1"/>
    </row>
    <row r="952" ht="14.25" customHeight="1">
      <c r="BE952" s="1"/>
    </row>
    <row r="953" ht="14.25" customHeight="1">
      <c r="BE953" s="1"/>
    </row>
    <row r="954" ht="14.25" customHeight="1">
      <c r="BE954" s="1"/>
    </row>
    <row r="955" ht="14.25" customHeight="1">
      <c r="BE955" s="1"/>
    </row>
    <row r="956" ht="14.25" customHeight="1">
      <c r="BE956" s="1"/>
    </row>
    <row r="957" ht="14.25" customHeight="1">
      <c r="BE957" s="1"/>
    </row>
    <row r="958" ht="14.25" customHeight="1">
      <c r="BE958" s="1"/>
    </row>
    <row r="959" ht="14.25" customHeight="1">
      <c r="BE959" s="1"/>
    </row>
    <row r="960" ht="14.25" customHeight="1">
      <c r="BE960" s="1"/>
    </row>
    <row r="961" ht="14.25" customHeight="1">
      <c r="BE961" s="1"/>
    </row>
    <row r="962" ht="14.25" customHeight="1">
      <c r="BE962" s="1"/>
    </row>
    <row r="963" ht="14.25" customHeight="1">
      <c r="BE963" s="1"/>
    </row>
    <row r="964" ht="14.25" customHeight="1">
      <c r="BE964" s="1"/>
    </row>
    <row r="965" ht="14.25" customHeight="1">
      <c r="BE965" s="1"/>
    </row>
    <row r="966" ht="14.25" customHeight="1">
      <c r="BE966" s="1"/>
    </row>
    <row r="967" ht="14.25" customHeight="1">
      <c r="BE967" s="1"/>
    </row>
    <row r="968" ht="14.25" customHeight="1">
      <c r="BE968" s="1"/>
    </row>
    <row r="969" ht="14.25" customHeight="1">
      <c r="BE969" s="1"/>
    </row>
    <row r="970" ht="14.25" customHeight="1">
      <c r="BE970" s="1"/>
    </row>
    <row r="971" ht="14.25" customHeight="1">
      <c r="BE971" s="1"/>
    </row>
    <row r="972" ht="14.25" customHeight="1">
      <c r="BE972" s="1"/>
    </row>
    <row r="973" ht="14.25" customHeight="1">
      <c r="BE973" s="1"/>
    </row>
    <row r="974" ht="14.25" customHeight="1">
      <c r="BE974" s="1"/>
    </row>
    <row r="975" ht="14.25" customHeight="1">
      <c r="BE975" s="1"/>
    </row>
    <row r="976" ht="14.25" customHeight="1">
      <c r="BE976" s="1"/>
    </row>
    <row r="977" ht="14.25" customHeight="1">
      <c r="BE977" s="1"/>
    </row>
    <row r="978" ht="14.25" customHeight="1">
      <c r="BE978" s="1"/>
    </row>
    <row r="979" ht="14.25" customHeight="1">
      <c r="BE979" s="1"/>
    </row>
    <row r="980" ht="14.25" customHeight="1">
      <c r="BE980" s="1"/>
    </row>
    <row r="981" ht="14.25" customHeight="1">
      <c r="BE981" s="1"/>
    </row>
    <row r="982" ht="14.25" customHeight="1">
      <c r="BE982" s="1"/>
    </row>
    <row r="983" ht="14.25" customHeight="1">
      <c r="BE983" s="1"/>
    </row>
    <row r="984" ht="14.25" customHeight="1">
      <c r="BE984" s="1"/>
    </row>
    <row r="985" ht="14.25" customHeight="1">
      <c r="BE985" s="1"/>
    </row>
    <row r="986" ht="14.25" customHeight="1">
      <c r="BE986" s="1"/>
    </row>
    <row r="987" ht="14.25" customHeight="1">
      <c r="BE987" s="1"/>
    </row>
    <row r="988" ht="14.25" customHeight="1">
      <c r="BE988" s="1"/>
    </row>
    <row r="989" ht="14.25" customHeight="1">
      <c r="BE989" s="1"/>
    </row>
    <row r="990" ht="14.25" customHeight="1">
      <c r="BE990" s="1"/>
    </row>
    <row r="991" ht="14.25" customHeight="1">
      <c r="BE991" s="1"/>
    </row>
    <row r="992" ht="14.25" customHeight="1">
      <c r="BE992" s="1"/>
    </row>
    <row r="993" ht="14.25" customHeight="1">
      <c r="BE993" s="1"/>
    </row>
    <row r="994" ht="14.25" customHeight="1">
      <c r="BE994" s="1"/>
    </row>
    <row r="995" ht="14.25" customHeight="1">
      <c r="BE995" s="1"/>
    </row>
    <row r="996" ht="14.25" customHeight="1">
      <c r="BE996" s="1"/>
    </row>
    <row r="997" ht="14.25" customHeight="1">
      <c r="BE997" s="1"/>
    </row>
    <row r="998" ht="14.25" customHeight="1">
      <c r="BE998" s="1"/>
    </row>
    <row r="999" ht="14.25" customHeight="1">
      <c r="BE999" s="1"/>
    </row>
    <row r="1000" ht="14.25" customHeight="1">
      <c r="BE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2020-10-28T13:32:09Z</dcterms:created>
  <dc:creator>Analytical Lab</dc:creator>
</cp:coreProperties>
</file>