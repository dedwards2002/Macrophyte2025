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4A8A0327-1B83-4DB5-B35C-69BE27E4136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<sst xmlns="http://schemas.openxmlformats.org/spreadsheetml/2006/main" count="640" uniqueCount="57">
  <si>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</si>
  <si>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</si>
  <si>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</si>
  <si>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</si>
  <si>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</si>
  <si>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</si>
  <si>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</si>
  <si>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</si>
  <si>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</si>
  <si>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</si>
  <si>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</si>
  <si>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</si>
  <si>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</si>
  <si>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</si>
  <si>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</si>
  <si>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</si>
  <si>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</si>
  <si>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</si>
  <si>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</si>
  <si>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</si>
  <si>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</si>
  <si>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</si>
  <si>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</si>
  <si>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</si>
  <si>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</si>
  <si>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</si>
  <si>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</si>
  <si>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</si>
  <si>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</si>
  <si>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</si>
  <si>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</si>
  <si>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</si>
  <si>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</si>
  <si>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</si>
  <si>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</si>
  <si>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FMI20251007_001.gcd</t>
  </si>
  <si>
    <t>FMI20251007_002.gcd</t>
  </si>
  <si>
    <t>FMI20251007_003.gcd</t>
  </si>
  <si>
    <t>FMI20251007_004.gcd</t>
  </si>
  <si>
    <t>FMI20251007_005.gcd</t>
  </si>
  <si>
    <t>FMI20251007_006.gcd</t>
  </si>
  <si>
    <t>FMI20251007_007.gcd</t>
  </si>
  <si>
    <t>FMI20251007_008.gcd</t>
  </si>
  <si>
    <t>FMI20251007_009.gcd</t>
  </si>
  <si>
    <t>FMI20251007_010.gcd</t>
  </si>
  <si>
    <t>FMI20251007_011.gcd</t>
  </si>
  <si>
    <t>FMI20251007_012.gcd</t>
  </si>
  <si>
    <t>FMI20251007_013.gcd</t>
  </si>
  <si>
    <t>FMI20251007_014.gcd</t>
  </si>
  <si>
    <t>FMI20251007_015.gcd</t>
  </si>
  <si>
    <t>FMI20251007_016.gcd</t>
  </si>
  <si>
    <t>FMI20251007_017.gcd</t>
  </si>
  <si>
    <t>FMI20251007_018.gcd</t>
  </si>
  <si>
    <t>FMI20251007_019.gcd</t>
  </si>
  <si>
    <t>FMI20251007_020.gcd</t>
  </si>
  <si>
    <t>FMI20251007_021.gcd</t>
  </si>
  <si>
    <t>partial interference but tried to edit- if CO2 dups don't match discard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</si>
</sst>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T1" workbookViewId="0">
      <selection activeCell="AQ20" sqref="AQ20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45937.527905092589</v>
      </c>
      <c r="D9" t="s">
        <v>33</v>
      </c>
      <c r="E9" t="s">
        <v>13</v>
      </c>
      <c r="F9">
        <v>0</v>
      </c>
      <c r="G9">
        <v>6.1029999999999998</v>
      </c>
      <c r="H9" s="3">
        <v>1624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45937.527905092589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45937.527905092589</v>
      </c>
      <c r="AF9" t="s">
        <v>33</v>
      </c>
      <c r="AG9" t="s">
        <v>13</v>
      </c>
      <c r="AH9">
        <v>0</v>
      </c>
      <c r="AI9">
        <v>12.327999999999999</v>
      </c>
      <c r="AJ9" s="3">
        <v>1488</v>
      </c>
      <c r="AK9">
        <v>0.23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2.4081672343679994</v>
      </c>
      <c r="AU9" s="17">
        <f t="shared" ref="AU9:AU14" si="1">IF(AJ9&lt;45000,((-0.00000004907*AJ9^2)+(0.2277*AJ9)+(-134)),((-0.00000001062*AJ9^2)+(0.2147*AJ9)+(590.6)))</f>
        <v>204.70895195392001</v>
      </c>
      <c r="AW9" s="6">
        <f t="shared" ref="AW9:AW14" si="2">IF(H9&lt;10000,((0.0000001453*H9^2)+(0.0008349*H9)+(-1.805)),(IF(H9&lt;700000,((-0.00000000008054*H9^2)+(0.002348*H9)+(-2.47)), ((-0.00000001938*V9^2)+(0.2471*V9)+(226.8)))))</f>
        <v>-6.5911667199999968E-2</v>
      </c>
      <c r="AX9" s="7">
        <f t="shared" ref="AX9:AX14" si="3">(-0.00000002552*AJ9^2)+(0.2067*AJ9)+(-103.7)</f>
        <v>203.81309504512001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6.4058230400000005</v>
      </c>
      <c r="BA9" s="12">
        <f t="shared" ref="BA9:BA14" si="5">IF(AJ9&lt;45000,((-0.0000004561*AJ9^2)+(0.244*AJ9)+(-21.72)),((-0.0000000409*AJ9^2)+(0.2477*AJ9)+(-1777)))</f>
        <v>340.34212892159996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0.32337166463999978</v>
      </c>
      <c r="BD9" s="14">
        <f t="shared" ref="BD9:BD14" si="7">IF(AJ9&lt;45000,((-0.0000000598*AJ9^2)+(0.205*AJ9)+(34.1)),((-0.00000002403*AJ9^2)+(0.2063*AJ9)+(-550.7)))</f>
        <v>339.0075941888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2.4081672343679994</v>
      </c>
      <c r="BG9" s="17">
        <f t="shared" ref="BG9:BG14" si="9">IF(AJ9&lt;45000,((-0.00000004907*AJ9^2)+(0.2277*AJ9)+(-134)),((-0.00000001062*AJ9^2)+(0.2147*AJ9)+(590.6)))</f>
        <v>204.70895195392001</v>
      </c>
      <c r="BI9">
        <v>45</v>
      </c>
      <c r="BJ9" t="s">
        <v>35</v>
      </c>
      <c r="BK9" s="2">
        <v>45937.527905092589</v>
      </c>
      <c r="BL9" t="s">
        <v>33</v>
      </c>
      <c r="BM9" t="s">
        <v>13</v>
      </c>
      <c r="BN9">
        <v>0</v>
      </c>
      <c r="BO9">
        <v>2.738</v>
      </c>
      <c r="BP9" s="3">
        <v>4577387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45937.549120370371</v>
      </c>
      <c r="D10" t="s">
        <v>34</v>
      </c>
      <c r="E10" t="s">
        <v>13</v>
      </c>
      <c r="F10">
        <v>0</v>
      </c>
      <c r="G10">
        <v>6.05</v>
      </c>
      <c r="H10" s="3">
        <v>916619</v>
      </c>
      <c r="I10">
        <v>2.0699999999999998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45937.549120370371</v>
      </c>
      <c r="R10" t="s">
        <v>34</v>
      </c>
      <c r="S10" t="s">
        <v>13</v>
      </c>
      <c r="T10">
        <v>0</v>
      </c>
      <c r="U10">
        <v>5.9969999999999999</v>
      </c>
      <c r="V10" s="3">
        <v>7490</v>
      </c>
      <c r="W10">
        <v>1.9430000000000001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45937.549120370371</v>
      </c>
      <c r="AF10" t="s">
        <v>34</v>
      </c>
      <c r="AG10" t="s">
        <v>13</v>
      </c>
      <c r="AH10">
        <v>0</v>
      </c>
      <c r="AI10">
        <v>12.315</v>
      </c>
      <c r="AJ10" s="3">
        <v>8087</v>
      </c>
      <c r="AK10">
        <v>1.677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2053.25129519547</v>
      </c>
      <c r="AU10" s="17">
        <f t="shared" si="1"/>
        <v>1704.2007431491702</v>
      </c>
      <c r="AW10" s="6">
        <f t="shared" si="2"/>
        <v>2076.4917800620001</v>
      </c>
      <c r="AX10" s="7">
        <f t="shared" si="3"/>
        <v>1566.2139029991199</v>
      </c>
      <c r="AZ10" s="11">
        <f t="shared" si="4"/>
        <v>1916.7133187244053</v>
      </c>
      <c r="BA10" s="12">
        <f t="shared" si="5"/>
        <v>1921.6792565791</v>
      </c>
      <c r="BC10" s="13">
        <f t="shared" si="6"/>
        <v>2116.1053365748021</v>
      </c>
      <c r="BD10" s="14">
        <f t="shared" si="7"/>
        <v>1688.0241057737996</v>
      </c>
      <c r="BF10" s="16">
        <f t="shared" si="8"/>
        <v>2053.25129519547</v>
      </c>
      <c r="BG10" s="17">
        <f t="shared" si="9"/>
        <v>1704.2007431491702</v>
      </c>
      <c r="BI10">
        <v>46</v>
      </c>
      <c r="BJ10" t="s">
        <v>36</v>
      </c>
      <c r="BK10" s="2">
        <v>45937.549120370371</v>
      </c>
      <c r="BL10" t="s">
        <v>34</v>
      </c>
      <c r="BM10" t="s">
        <v>13</v>
      </c>
      <c r="BN10">
        <v>0</v>
      </c>
      <c r="BO10">
        <v>2.7280000000000002</v>
      </c>
      <c r="BP10" s="3">
        <v>4850433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45937.570324074077</v>
      </c>
      <c r="D11" t="s">
        <v>28</v>
      </c>
      <c r="E11" t="s">
        <v>13</v>
      </c>
      <c r="F11">
        <v>0</v>
      </c>
      <c r="G11">
        <v>6.0919999999999996</v>
      </c>
      <c r="H11" s="3">
        <v>3020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45937.570324074077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45937.570324074077</v>
      </c>
      <c r="AF11" t="s">
        <v>28</v>
      </c>
      <c r="AG11" t="s">
        <v>13</v>
      </c>
      <c r="AH11">
        <v>0</v>
      </c>
      <c r="AI11">
        <v>12.315</v>
      </c>
      <c r="AJ11" s="3">
        <v>1493</v>
      </c>
      <c r="AK11">
        <v>0.23100000000000001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7.3240995571999985</v>
      </c>
      <c r="AU11" s="17">
        <f t="shared" si="1"/>
        <v>205.84672056556997</v>
      </c>
      <c r="AW11" s="6">
        <f t="shared" si="2"/>
        <v>2.0415921200000007</v>
      </c>
      <c r="AX11" s="7">
        <f t="shared" si="3"/>
        <v>204.84621466952001</v>
      </c>
      <c r="AZ11" s="11">
        <f t="shared" si="4"/>
        <v>3.2547160000000002</v>
      </c>
      <c r="BA11" s="12">
        <f t="shared" si="5"/>
        <v>341.55533075109997</v>
      </c>
      <c r="BC11" s="13">
        <f t="shared" si="6"/>
        <v>4.1181996559999998</v>
      </c>
      <c r="BD11" s="14">
        <f t="shared" si="7"/>
        <v>340.03170286980003</v>
      </c>
      <c r="BF11" s="16">
        <f t="shared" si="8"/>
        <v>7.3240995571999985</v>
      </c>
      <c r="BG11" s="17">
        <f t="shared" si="9"/>
        <v>205.84672056556997</v>
      </c>
      <c r="BI11">
        <v>47</v>
      </c>
      <c r="BJ11" t="s">
        <v>37</v>
      </c>
      <c r="BK11" s="2">
        <v>45937.570324074077</v>
      </c>
      <c r="BL11" t="s">
        <v>28</v>
      </c>
      <c r="BM11" t="s">
        <v>13</v>
      </c>
      <c r="BN11">
        <v>0</v>
      </c>
      <c r="BO11">
        <v>2.7280000000000002</v>
      </c>
      <c r="BP11" s="3">
        <v>4893217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45937.591550925928</v>
      </c>
      <c r="D12">
        <v>78</v>
      </c>
      <c r="E12" t="s">
        <v>13</v>
      </c>
      <c r="F12">
        <v>0</v>
      </c>
      <c r="G12">
        <v>6.0620000000000003</v>
      </c>
      <c r="H12" s="3">
        <v>7312</v>
      </c>
      <c r="I12">
        <v>1.7000000000000001E-2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45937.591550925928</v>
      </c>
      <c r="R12">
        <v>78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45937.591550925928</v>
      </c>
      <c r="AF12">
        <v>78</v>
      </c>
      <c r="AG12" t="s">
        <v>13</v>
      </c>
      <c r="AH12">
        <v>0</v>
      </c>
      <c r="AI12">
        <v>12.061</v>
      </c>
      <c r="AJ12" s="3">
        <v>255721</v>
      </c>
      <c r="AK12">
        <v>54.999000000000002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22.645465166591997</v>
      </c>
      <c r="AU12" s="17">
        <f t="shared" si="1"/>
        <v>54799.422599088575</v>
      </c>
      <c r="AW12" s="6">
        <f t="shared" si="2"/>
        <v>12.068303283200001</v>
      </c>
      <c r="AX12" s="7">
        <f t="shared" si="3"/>
        <v>51084.995474457675</v>
      </c>
      <c r="AZ12" s="11">
        <f t="shared" si="4"/>
        <v>6.7496057599999961</v>
      </c>
      <c r="BA12" s="12">
        <f t="shared" si="5"/>
        <v>58890.508599503104</v>
      </c>
      <c r="BC12" s="13">
        <f t="shared" si="6"/>
        <v>17.180345756160001</v>
      </c>
      <c r="BD12" s="14">
        <f t="shared" si="7"/>
        <v>50633.142986920779</v>
      </c>
      <c r="BF12" s="16">
        <f t="shared" si="8"/>
        <v>22.645465166591997</v>
      </c>
      <c r="BG12" s="17">
        <f t="shared" si="9"/>
        <v>54799.422599088575</v>
      </c>
      <c r="BI12">
        <v>48</v>
      </c>
      <c r="BJ12" t="s">
        <v>38</v>
      </c>
      <c r="BK12" s="2">
        <v>45937.591550925928</v>
      </c>
      <c r="BL12">
        <v>78</v>
      </c>
      <c r="BM12" t="s">
        <v>13</v>
      </c>
      <c r="BN12">
        <v>0</v>
      </c>
      <c r="BO12">
        <v>2.879</v>
      </c>
      <c r="BP12" s="3">
        <v>802981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45937.61277777778</v>
      </c>
      <c r="D13">
        <v>21</v>
      </c>
      <c r="E13" t="s">
        <v>13</v>
      </c>
      <c r="F13">
        <v>0</v>
      </c>
      <c r="G13">
        <v>6.0860000000000003</v>
      </c>
      <c r="H13" s="3">
        <v>2195</v>
      </c>
      <c r="I13">
        <v>5.0000000000000001E-3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45937.61277777778</v>
      </c>
      <c r="R13">
        <v>21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45937.61277777778</v>
      </c>
      <c r="AF13">
        <v>21</v>
      </c>
      <c r="AG13" t="s">
        <v>13</v>
      </c>
      <c r="AH13">
        <v>0</v>
      </c>
      <c r="AI13">
        <v>12.058999999999999</v>
      </c>
      <c r="AJ13" s="3">
        <v>261385</v>
      </c>
      <c r="AK13">
        <v>56.197000000000003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4.4149094863249996</v>
      </c>
      <c r="AU13" s="17">
        <f t="shared" si="1"/>
        <v>55984.378604450496</v>
      </c>
      <c r="AW13" s="6">
        <f t="shared" si="2"/>
        <v>0.72766453250000018</v>
      </c>
      <c r="AX13" s="7">
        <f t="shared" si="3"/>
        <v>52180.999042898002</v>
      </c>
      <c r="AZ13" s="11">
        <f t="shared" si="4"/>
        <v>4.8625585000000004</v>
      </c>
      <c r="BA13" s="12">
        <f t="shared" si="5"/>
        <v>60173.689864597502</v>
      </c>
      <c r="BC13" s="13">
        <f t="shared" si="6"/>
        <v>1.8486369485000003</v>
      </c>
      <c r="BD13" s="14">
        <f t="shared" si="7"/>
        <v>51731.244999053255</v>
      </c>
      <c r="BF13" s="16">
        <f t="shared" si="8"/>
        <v>4.4149094863249996</v>
      </c>
      <c r="BG13" s="17">
        <f t="shared" si="9"/>
        <v>55984.378604450496</v>
      </c>
      <c r="BI13">
        <v>49</v>
      </c>
      <c r="BJ13" t="s">
        <v>39</v>
      </c>
      <c r="BK13" s="2">
        <v>45937.61277777778</v>
      </c>
      <c r="BL13">
        <v>21</v>
      </c>
      <c r="BM13" t="s">
        <v>13</v>
      </c>
      <c r="BN13">
        <v>0</v>
      </c>
      <c r="BO13">
        <v>2.88</v>
      </c>
      <c r="BP13" s="3">
        <v>791193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45937.634004629632</v>
      </c>
      <c r="D14">
        <v>26</v>
      </c>
      <c r="E14" t="s">
        <v>13</v>
      </c>
      <c r="F14">
        <v>0</v>
      </c>
      <c r="G14">
        <v>6.0529999999999999</v>
      </c>
      <c r="H14" s="3">
        <v>32226</v>
      </c>
      <c r="I14">
        <v>7.2999999999999995E-2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45937.634004629632</v>
      </c>
      <c r="R14">
        <v>26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45937.634004629632</v>
      </c>
      <c r="AF14">
        <v>26</v>
      </c>
      <c r="AG14" t="s">
        <v>13</v>
      </c>
      <c r="AH14">
        <v>0</v>
      </c>
      <c r="AI14">
        <v>12.221</v>
      </c>
      <c r="AJ14" s="3">
        <v>58713</v>
      </c>
      <c r="AK14">
        <v>12.734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89.336002535012</v>
      </c>
      <c r="AU14" s="17">
        <f t="shared" si="1"/>
        <v>13159.67166216122</v>
      </c>
      <c r="AW14" s="6">
        <f t="shared" si="2"/>
        <v>73.113005995778963</v>
      </c>
      <c r="AX14" s="7">
        <f t="shared" si="3"/>
        <v>11944.30413826312</v>
      </c>
      <c r="AZ14" s="11">
        <f t="shared" si="4"/>
        <v>86.005979725148009</v>
      </c>
      <c r="BA14" s="12">
        <f t="shared" si="5"/>
        <v>12625.2189505079</v>
      </c>
      <c r="BC14" s="13">
        <f t="shared" si="6"/>
        <v>88.802250846051209</v>
      </c>
      <c r="BD14" s="14">
        <f t="shared" si="7"/>
        <v>11478.95529065293</v>
      </c>
      <c r="BF14" s="16">
        <f t="shared" si="8"/>
        <v>89.336002535012</v>
      </c>
      <c r="BG14" s="17">
        <f t="shared" si="9"/>
        <v>13159.67166216122</v>
      </c>
      <c r="BI14">
        <v>50</v>
      </c>
      <c r="BJ14" t="s">
        <v>40</v>
      </c>
      <c r="BK14" s="2">
        <v>45937.634004629632</v>
      </c>
      <c r="BL14">
        <v>26</v>
      </c>
      <c r="BM14" t="s">
        <v>13</v>
      </c>
      <c r="BN14">
        <v>0</v>
      </c>
      <c r="BO14">
        <v>2.88</v>
      </c>
      <c r="BP14" s="3">
        <v>768805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45937.65520833333</v>
      </c>
      <c r="D15">
        <v>258</v>
      </c>
      <c r="E15" t="s">
        <v>13</v>
      </c>
      <c r="F15">
        <v>0</v>
      </c>
      <c r="G15">
        <v>6.0720000000000001</v>
      </c>
      <c r="H15" s="3">
        <v>4117</v>
      </c>
      <c r="I15">
        <v>0.01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45937.65520833333</v>
      </c>
      <c r="R15">
        <v>258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45937.65520833333</v>
      </c>
      <c r="AF15">
        <v>258</v>
      </c>
      <c r="AG15" t="s">
        <v>13</v>
      </c>
      <c r="AH15">
        <v>0</v>
      </c>
      <c r="AI15">
        <v>12.273</v>
      </c>
      <c r="AJ15" s="3">
        <v>8681</v>
      </c>
      <c r="AK15">
        <v>1.8080000000000001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9" si="10">IF(H15&lt;10000,((H15^2*0.000000008493)+(H15*0.003482)+(-3.269)),(IF(H15&lt;200000,((H15^2*-0.000000000263)+(H15*0.002682)+(3.179)),(IF(H15&lt;8000000,((H15^2*-0.000000000005099)+(H15*0.002054)+(174.8)),((V15^2*-0.00000001014)+(V15*0.2415)+(1123)))))))</f>
        <v>11.210347708676998</v>
      </c>
      <c r="AU15" s="17">
        <f t="shared" ref="AU15:AU29" si="11">IF(AJ15&lt;45000,((-0.00000004907*AJ15^2)+(0.2277*AJ15)+(-134)),((-0.00000001062*AJ15^2)+(0.2147*AJ15)+(590.6)))</f>
        <v>1838.9657965277302</v>
      </c>
      <c r="AW15" s="6">
        <f t="shared" ref="AW15:AW29" si="12">IF(H15&lt;10000,((0.0000001453*H15^2)+(0.0008349*H15)+(-1.805)),(IF(H15&lt;700000,((-0.00000000008054*H15^2)+(0.002348*H15)+(-2.47)), ((-0.00000001938*V15^2)+(0.2471*V15)+(226.8)))))</f>
        <v>4.0950731116999997</v>
      </c>
      <c r="AX15" s="7">
        <f t="shared" ref="AX15:AX29" si="13">(-0.00000002552*AJ15^2)+(0.2067*AJ15)+(-103.7)</f>
        <v>1688.7395188992798</v>
      </c>
      <c r="AZ15" s="11">
        <f t="shared" ref="AZ15:AZ29" si="14">IF(H15&lt;10000,((H15^2*0.00000054)+(H15*-0.004765)+(12.72)),(IF(H15&lt;200000,((H15^2*-0.000000001577)+(H15*0.003043)+(-10.42)),(IF(H15&lt;8000000,((H15^2*-0.0000000000186)+(H15*0.00194)+(154.1)),((V15^2*-0.00000002)+(V15*0.2565)+(-1032)))))))</f>
        <v>2.2553270599999991</v>
      </c>
      <c r="BA15" s="12">
        <f t="shared" ref="BA15:BA29" si="15">IF(AJ15&lt;45000,((-0.0000004561*AJ15^2)+(0.244*AJ15)+(-21.72)),((-0.0000000409*AJ15^2)+(0.2477*AJ15)+(-1777)))</f>
        <v>2062.0724130078997</v>
      </c>
      <c r="BC15" s="13">
        <f t="shared" ref="BC15:BC29" si="16">IF(H15&lt;10000,((H15^2*0.00000005714)+(H15*0.002453)+(-3.811)),(IF(H15&lt;200000,((H15^2*-0.0000000002888)+(H15*0.002899)+(-4.321)),(IF(H15&lt;8000000,((H15^2*-0.0000000000062)+(H15*0.002143)+(157)),((V15^2*-0.000000031)+(V15*0.2771)+(-709.5)))))))</f>
        <v>7.2565062294599993</v>
      </c>
      <c r="BD15" s="14">
        <f t="shared" ref="BD15:BD29" si="17">IF(AJ15&lt;45000,((-0.0000000598*AJ15^2)+(0.205*AJ15)+(34.1)),((-0.00000002403*AJ15^2)+(0.2063*AJ15)+(-550.7)))</f>
        <v>1809.1984862921997</v>
      </c>
      <c r="BF15" s="16">
        <f t="shared" ref="BF15:BF29" si="18">IF(H15&lt;10000,((H15^2*0.000000008493)+(H15*0.003482)+(-3.269)),(IF(H15&lt;200000,((H15^2*-0.000000000263)+(H15*0.002682)+(3.179)),(IF(H15&lt;8000000,((H15^2*-0.000000000005099)+(H15*0.002054)+(174.8)),((V15^2*-0.00000001014)+(V15*0.2415)+(1123)))))))</f>
        <v>11.210347708676998</v>
      </c>
      <c r="BG15" s="17">
        <f t="shared" ref="BG15:BG29" si="19">IF(AJ15&lt;45000,((-0.00000004907*AJ15^2)+(0.2277*AJ15)+(-134)),((-0.00000001062*AJ15^2)+(0.2147*AJ15)+(590.6)))</f>
        <v>1838.9657965277302</v>
      </c>
      <c r="BI15">
        <v>51</v>
      </c>
      <c r="BJ15" t="s">
        <v>41</v>
      </c>
      <c r="BK15" s="2">
        <v>45937.65520833333</v>
      </c>
      <c r="BL15">
        <v>258</v>
      </c>
      <c r="BM15" t="s">
        <v>13</v>
      </c>
      <c r="BN15">
        <v>0</v>
      </c>
      <c r="BO15">
        <v>2.879</v>
      </c>
      <c r="BP15" s="3">
        <v>813365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45937.676400462966</v>
      </c>
      <c r="D16">
        <v>73</v>
      </c>
      <c r="E16" t="s">
        <v>13</v>
      </c>
      <c r="F16">
        <v>0</v>
      </c>
      <c r="G16">
        <v>6.0620000000000003</v>
      </c>
      <c r="H16" s="3">
        <v>4647</v>
      </c>
      <c r="I16">
        <v>1.0999999999999999E-2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45937.676400462966</v>
      </c>
      <c r="R16">
        <v>73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45937.676400462966</v>
      </c>
      <c r="AF16">
        <v>73</v>
      </c>
      <c r="AG16" t="s">
        <v>13</v>
      </c>
      <c r="AH16">
        <v>0</v>
      </c>
      <c r="AI16">
        <v>12.279</v>
      </c>
      <c r="AJ16" s="3">
        <v>10647</v>
      </c>
      <c r="AK16">
        <v>2.238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13.095257014237001</v>
      </c>
      <c r="AU16" s="17">
        <f t="shared" si="11"/>
        <v>2284.7593930563703</v>
      </c>
      <c r="AW16" s="6">
        <f t="shared" si="12"/>
        <v>5.2124769877000006</v>
      </c>
      <c r="AX16" s="7">
        <f t="shared" si="13"/>
        <v>2094.14198829832</v>
      </c>
      <c r="AZ16" s="11">
        <f t="shared" si="14"/>
        <v>2.2381338599999996</v>
      </c>
      <c r="BA16" s="12">
        <f t="shared" si="15"/>
        <v>2524.4451384351</v>
      </c>
      <c r="BC16" s="13">
        <f t="shared" si="16"/>
        <v>8.8220069582600011</v>
      </c>
      <c r="BD16" s="14">
        <f t="shared" si="17"/>
        <v>2209.9561551817997</v>
      </c>
      <c r="BF16" s="16">
        <f t="shared" si="18"/>
        <v>13.095257014237001</v>
      </c>
      <c r="BG16" s="17">
        <f t="shared" si="19"/>
        <v>2284.7593930563703</v>
      </c>
      <c r="BI16">
        <v>52</v>
      </c>
      <c r="BJ16" t="s">
        <v>42</v>
      </c>
      <c r="BK16" s="2">
        <v>45937.676400462966</v>
      </c>
      <c r="BL16">
        <v>73</v>
      </c>
      <c r="BM16" t="s">
        <v>13</v>
      </c>
      <c r="BN16">
        <v>0</v>
      </c>
      <c r="BO16">
        <v>2.8730000000000002</v>
      </c>
      <c r="BP16" s="3">
        <v>926845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45937.697662037041</v>
      </c>
      <c r="D17">
        <v>177</v>
      </c>
      <c r="E17" t="s">
        <v>13</v>
      </c>
      <c r="F17">
        <v>0</v>
      </c>
      <c r="G17">
        <v>6.0579999999999998</v>
      </c>
      <c r="H17" s="3">
        <v>24699</v>
      </c>
      <c r="I17">
        <v>5.6000000000000001E-2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45937.697662037041</v>
      </c>
      <c r="R17">
        <v>177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45937.697662037041</v>
      </c>
      <c r="AF17">
        <v>177</v>
      </c>
      <c r="AG17" t="s">
        <v>13</v>
      </c>
      <c r="AH17">
        <v>0</v>
      </c>
      <c r="AI17">
        <v>12.069000000000001</v>
      </c>
      <c r="AJ17" s="3">
        <v>249859</v>
      </c>
      <c r="AK17">
        <v>53.759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69.261277321937001</v>
      </c>
      <c r="AU17" s="17">
        <f t="shared" si="11"/>
        <v>53572.325798863778</v>
      </c>
      <c r="AW17" s="6">
        <f t="shared" si="12"/>
        <v>55.47411932999546</v>
      </c>
      <c r="AX17" s="7">
        <f t="shared" si="13"/>
        <v>49948.953952636875</v>
      </c>
      <c r="AZ17" s="11">
        <f t="shared" si="14"/>
        <v>63.777022972223008</v>
      </c>
      <c r="BA17" s="12">
        <f t="shared" si="15"/>
        <v>57559.7069368671</v>
      </c>
      <c r="BC17" s="13">
        <f t="shared" si="16"/>
        <v>67.105221274431202</v>
      </c>
      <c r="BD17" s="14">
        <f t="shared" si="17"/>
        <v>49495.030337259574</v>
      </c>
      <c r="BF17" s="16">
        <f t="shared" si="18"/>
        <v>69.261277321937001</v>
      </c>
      <c r="BG17" s="17">
        <f t="shared" si="19"/>
        <v>53572.325798863778</v>
      </c>
      <c r="BI17">
        <v>53</v>
      </c>
      <c r="BJ17" t="s">
        <v>43</v>
      </c>
      <c r="BK17" s="2">
        <v>45937.697662037041</v>
      </c>
      <c r="BL17">
        <v>177</v>
      </c>
      <c r="BM17" t="s">
        <v>13</v>
      </c>
      <c r="BN17">
        <v>0</v>
      </c>
      <c r="BO17">
        <v>2.8860000000000001</v>
      </c>
      <c r="BP17" s="3">
        <v>778315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45937.718888888892</v>
      </c>
      <c r="D18">
        <v>267</v>
      </c>
      <c r="E18" t="s">
        <v>13</v>
      </c>
      <c r="F18">
        <v>0</v>
      </c>
      <c r="G18">
        <v>6.0720000000000001</v>
      </c>
      <c r="H18" s="3">
        <v>5773</v>
      </c>
      <c r="I18">
        <v>1.2999999999999999E-2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45937.718888888892</v>
      </c>
      <c r="R18">
        <v>267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45937.718888888892</v>
      </c>
      <c r="AF18">
        <v>267</v>
      </c>
      <c r="AG18" t="s">
        <v>13</v>
      </c>
      <c r="AH18">
        <v>0</v>
      </c>
      <c r="AI18">
        <v>12.295</v>
      </c>
      <c r="AJ18" s="3">
        <v>6616</v>
      </c>
      <c r="AK18">
        <v>1.355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17.115636703796994</v>
      </c>
      <c r="AU18" s="17">
        <f t="shared" si="11"/>
        <v>1370.3153346540801</v>
      </c>
      <c r="AW18" s="6">
        <f t="shared" si="12"/>
        <v>7.8573676636999998</v>
      </c>
      <c r="AX18" s="7">
        <f t="shared" si="13"/>
        <v>1262.7101524428799</v>
      </c>
      <c r="AZ18" s="11">
        <f t="shared" si="14"/>
        <v>3.2085206599999996</v>
      </c>
      <c r="BA18" s="12">
        <f t="shared" si="15"/>
        <v>1572.6198389183999</v>
      </c>
      <c r="BC18" s="13">
        <f t="shared" si="16"/>
        <v>12.25450400706</v>
      </c>
      <c r="BD18" s="14">
        <f t="shared" si="17"/>
        <v>1387.7624669311999</v>
      </c>
      <c r="BF18" s="16">
        <f t="shared" si="18"/>
        <v>17.115636703796994</v>
      </c>
      <c r="BG18" s="17">
        <f t="shared" si="19"/>
        <v>1370.3153346540801</v>
      </c>
      <c r="BI18">
        <v>54</v>
      </c>
      <c r="BJ18" t="s">
        <v>44</v>
      </c>
      <c r="BK18" s="2">
        <v>45937.718888888892</v>
      </c>
      <c r="BL18">
        <v>267</v>
      </c>
      <c r="BM18" t="s">
        <v>13</v>
      </c>
      <c r="BN18">
        <v>0</v>
      </c>
      <c r="BO18">
        <v>2.887</v>
      </c>
      <c r="BP18" s="3">
        <v>803625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45937.740127314813</v>
      </c>
      <c r="D19">
        <v>327</v>
      </c>
      <c r="E19" t="s">
        <v>13</v>
      </c>
      <c r="F19">
        <v>0</v>
      </c>
      <c r="G19">
        <v>6.05</v>
      </c>
      <c r="H19" s="3">
        <v>82986</v>
      </c>
      <c r="I19">
        <v>0.187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45937.740127314813</v>
      </c>
      <c r="R19">
        <v>327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45937.740127314813</v>
      </c>
      <c r="AF19">
        <v>327</v>
      </c>
      <c r="AG19" t="s">
        <v>13</v>
      </c>
      <c r="AH19">
        <v>0</v>
      </c>
      <c r="AI19">
        <v>12.037000000000001</v>
      </c>
      <c r="AJ19" s="3">
        <v>79594</v>
      </c>
      <c r="AK19">
        <v>17.271000000000001</v>
      </c>
      <c r="AL19" t="s">
        <v>14</v>
      </c>
      <c r="AM19" t="s">
        <v>14</v>
      </c>
      <c r="AN19" t="s">
        <v>14</v>
      </c>
      <c r="AO19" t="s">
        <v>14</v>
      </c>
      <c r="AQ19">
        <v>2</v>
      </c>
      <c r="AR19" t="s">
        <v>56</v>
      </c>
      <c r="AS19" s="10">
        <v>55</v>
      </c>
      <c r="AT19" s="16">
        <f t="shared" si="10"/>
        <v>223.93625616045202</v>
      </c>
      <c r="AU19" s="17">
        <f t="shared" si="11"/>
        <v>17612.151924641679</v>
      </c>
      <c r="AW19" s="6">
        <f t="shared" si="12"/>
        <v>191.82647509917416</v>
      </c>
      <c r="AX19" s="7">
        <f t="shared" si="13"/>
        <v>16186.705372585278</v>
      </c>
      <c r="AZ19" s="11">
        <f t="shared" si="14"/>
        <v>231.24610963890802</v>
      </c>
      <c r="BA19" s="12">
        <f t="shared" si="15"/>
        <v>17679.323922207597</v>
      </c>
      <c r="BC19" s="13">
        <f t="shared" si="16"/>
        <v>234.26654191459519</v>
      </c>
      <c r="BD19" s="14">
        <f t="shared" si="17"/>
        <v>15717.30722779092</v>
      </c>
      <c r="BF19" s="16">
        <f t="shared" si="18"/>
        <v>223.93625616045202</v>
      </c>
      <c r="BG19" s="17">
        <f t="shared" si="19"/>
        <v>17612.151924641679</v>
      </c>
      <c r="BI19">
        <v>55</v>
      </c>
      <c r="BJ19" t="s">
        <v>45</v>
      </c>
      <c r="BK19" s="2">
        <v>45937.740127314813</v>
      </c>
      <c r="BL19">
        <v>327</v>
      </c>
      <c r="BM19" t="s">
        <v>13</v>
      </c>
      <c r="BN19">
        <v>0</v>
      </c>
      <c r="BO19">
        <v>2.8730000000000002</v>
      </c>
      <c r="BP19" s="3">
        <v>887545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45937.761354166665</v>
      </c>
      <c r="D20">
        <v>365</v>
      </c>
      <c r="E20" t="s">
        <v>13</v>
      </c>
      <c r="F20">
        <v>0</v>
      </c>
      <c r="G20">
        <v>6.1079999999999997</v>
      </c>
      <c r="H20" s="3">
        <v>1201</v>
      </c>
      <c r="I20">
        <v>3.0000000000000001E-3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45937.761354166665</v>
      </c>
      <c r="R20">
        <v>365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45937.761354166665</v>
      </c>
      <c r="AF20">
        <v>365</v>
      </c>
      <c r="AG20" t="s">
        <v>13</v>
      </c>
      <c r="AH20">
        <v>0</v>
      </c>
      <c r="AI20">
        <v>12.068</v>
      </c>
      <c r="AJ20" s="3">
        <v>240381</v>
      </c>
      <c r="AK20">
        <v>51.75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0.92513231169299992</v>
      </c>
      <c r="AU20" s="17">
        <f t="shared" si="11"/>
        <v>51586.744972790177</v>
      </c>
      <c r="AW20" s="6">
        <f t="shared" si="12"/>
        <v>-0.5927042347</v>
      </c>
      <c r="AX20" s="7">
        <f t="shared" si="13"/>
        <v>48108.429897891278</v>
      </c>
      <c r="AZ20" s="11">
        <f t="shared" si="14"/>
        <v>7.7761315400000006</v>
      </c>
      <c r="BA20" s="12">
        <f t="shared" si="15"/>
        <v>55402.047970915104</v>
      </c>
      <c r="BC20" s="13">
        <f t="shared" si="16"/>
        <v>-0.78252820685999991</v>
      </c>
      <c r="BD20" s="14">
        <f t="shared" si="17"/>
        <v>47651.37420538118</v>
      </c>
      <c r="BF20" s="16">
        <f t="shared" si="18"/>
        <v>0.92513231169299992</v>
      </c>
      <c r="BG20" s="17">
        <f t="shared" si="19"/>
        <v>51586.744972790177</v>
      </c>
      <c r="BI20">
        <v>56</v>
      </c>
      <c r="BJ20" t="s">
        <v>46</v>
      </c>
      <c r="BK20" s="2">
        <v>45937.761354166665</v>
      </c>
      <c r="BL20">
        <v>365</v>
      </c>
      <c r="BM20" t="s">
        <v>13</v>
      </c>
      <c r="BN20">
        <v>0</v>
      </c>
      <c r="BO20">
        <v>2.879</v>
      </c>
      <c r="BP20" s="3">
        <v>910905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45937.782581018517</v>
      </c>
      <c r="D21">
        <v>400</v>
      </c>
      <c r="E21" t="s">
        <v>13</v>
      </c>
      <c r="F21">
        <v>0</v>
      </c>
      <c r="G21">
        <v>6.1</v>
      </c>
      <c r="H21" s="3">
        <v>1112</v>
      </c>
      <c r="I21">
        <v>3.0000000000000001E-3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45937.782581018517</v>
      </c>
      <c r="R21">
        <v>400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45937.782581018517</v>
      </c>
      <c r="AF21">
        <v>400</v>
      </c>
      <c r="AG21" t="s">
        <v>13</v>
      </c>
      <c r="AH21">
        <v>0</v>
      </c>
      <c r="AI21">
        <v>12.054</v>
      </c>
      <c r="AJ21" s="3">
        <v>252698</v>
      </c>
      <c r="AK21">
        <v>54.36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0.61348596819199974</v>
      </c>
      <c r="AU21" s="17">
        <f t="shared" si="11"/>
        <v>54166.706914853523</v>
      </c>
      <c r="AW21" s="6">
        <f t="shared" si="12"/>
        <v>-0.69692135680000011</v>
      </c>
      <c r="AX21" s="7">
        <f t="shared" si="13"/>
        <v>50499.364354713922</v>
      </c>
      <c r="AZ21" s="11">
        <f t="shared" si="14"/>
        <v>8.0890537600000005</v>
      </c>
      <c r="BA21" s="12">
        <f t="shared" si="15"/>
        <v>58204.572780556402</v>
      </c>
      <c r="BC21" s="13">
        <f t="shared" si="16"/>
        <v>-1.0126078758400001</v>
      </c>
      <c r="BD21" s="14">
        <f t="shared" si="17"/>
        <v>50046.431010727887</v>
      </c>
      <c r="BF21" s="16">
        <f t="shared" si="18"/>
        <v>0.61348596819199974</v>
      </c>
      <c r="BG21" s="17">
        <f t="shared" si="19"/>
        <v>54166.706914853523</v>
      </c>
      <c r="BI21">
        <v>57</v>
      </c>
      <c r="BJ21" t="s">
        <v>47</v>
      </c>
      <c r="BK21" s="2">
        <v>45937.782581018517</v>
      </c>
      <c r="BL21">
        <v>400</v>
      </c>
      <c r="BM21" t="s">
        <v>13</v>
      </c>
      <c r="BN21">
        <v>0</v>
      </c>
      <c r="BO21">
        <v>2.8759999999999999</v>
      </c>
      <c r="BP21" s="3">
        <v>890970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45937.803807870368</v>
      </c>
      <c r="D22">
        <v>308</v>
      </c>
      <c r="E22" t="s">
        <v>13</v>
      </c>
      <c r="F22">
        <v>0</v>
      </c>
      <c r="G22">
        <v>6.04</v>
      </c>
      <c r="H22" s="3">
        <v>2564217</v>
      </c>
      <c r="I22">
        <v>5.8150000000000004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45937.803807870368</v>
      </c>
      <c r="R22">
        <v>308</v>
      </c>
      <c r="S22" t="s">
        <v>13</v>
      </c>
      <c r="T22">
        <v>0</v>
      </c>
      <c r="U22">
        <v>5.992</v>
      </c>
      <c r="V22" s="3">
        <v>19354</v>
      </c>
      <c r="W22">
        <v>4.8739999999999997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45937.803807870368</v>
      </c>
      <c r="AF22">
        <v>308</v>
      </c>
      <c r="AG22" t="s">
        <v>13</v>
      </c>
      <c r="AH22">
        <v>0</v>
      </c>
      <c r="AI22">
        <v>12.1</v>
      </c>
      <c r="AJ22" s="3">
        <v>193081</v>
      </c>
      <c r="AK22">
        <v>41.689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5408.1747282110682</v>
      </c>
      <c r="AU22" s="17">
        <f t="shared" si="11"/>
        <v>41649.174205402182</v>
      </c>
      <c r="AW22" s="6">
        <f t="shared" si="12"/>
        <v>5001.9140916159195</v>
      </c>
      <c r="AX22" s="7">
        <f t="shared" si="13"/>
        <v>38854.750144243284</v>
      </c>
      <c r="AZ22" s="11">
        <f t="shared" si="14"/>
        <v>5006.3820958905453</v>
      </c>
      <c r="BA22" s="12">
        <f t="shared" si="15"/>
        <v>44524.400552255094</v>
      </c>
      <c r="BC22" s="13">
        <f t="shared" si="16"/>
        <v>5611.3507362968476</v>
      </c>
      <c r="BD22" s="14">
        <f t="shared" si="17"/>
        <v>38386.065350359175</v>
      </c>
      <c r="BF22" s="16">
        <f t="shared" si="18"/>
        <v>5408.1747282110682</v>
      </c>
      <c r="BG22" s="17">
        <f t="shared" si="19"/>
        <v>41649.174205402182</v>
      </c>
      <c r="BI22">
        <v>58</v>
      </c>
      <c r="BJ22" t="s">
        <v>48</v>
      </c>
      <c r="BK22" s="2">
        <v>45937.803807870368</v>
      </c>
      <c r="BL22">
        <v>308</v>
      </c>
      <c r="BM22" t="s">
        <v>13</v>
      </c>
      <c r="BN22">
        <v>0</v>
      </c>
      <c r="BO22">
        <v>2.8809999999999998</v>
      </c>
      <c r="BP22" s="3">
        <v>712196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45937.825057870374</v>
      </c>
      <c r="D23">
        <v>274</v>
      </c>
      <c r="E23" t="s">
        <v>13</v>
      </c>
      <c r="F23">
        <v>0</v>
      </c>
      <c r="G23">
        <v>6.0620000000000003</v>
      </c>
      <c r="H23" s="3">
        <v>4228</v>
      </c>
      <c r="I23">
        <v>0.01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45937.825057870374</v>
      </c>
      <c r="R23">
        <v>274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45937.825057870374</v>
      </c>
      <c r="AF23">
        <v>274</v>
      </c>
      <c r="AG23" t="s">
        <v>13</v>
      </c>
      <c r="AH23">
        <v>0</v>
      </c>
      <c r="AI23">
        <v>12.295999999999999</v>
      </c>
      <c r="AJ23" s="3">
        <v>9209</v>
      </c>
      <c r="AK23">
        <v>1.923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11.604716732111999</v>
      </c>
      <c r="AU23" s="17">
        <f t="shared" si="11"/>
        <v>1958.7278852333302</v>
      </c>
      <c r="AW23" s="6">
        <f t="shared" si="12"/>
        <v>4.3223376752</v>
      </c>
      <c r="AX23" s="7">
        <f t="shared" si="13"/>
        <v>1797.6360590208799</v>
      </c>
      <c r="AZ23" s="11">
        <f t="shared" si="14"/>
        <v>2.2266113600000015</v>
      </c>
      <c r="BA23" s="12">
        <f t="shared" si="15"/>
        <v>2186.5961288959002</v>
      </c>
      <c r="BC23" s="13">
        <f t="shared" si="16"/>
        <v>7.581717725759999</v>
      </c>
      <c r="BD23" s="14">
        <f t="shared" si="17"/>
        <v>1916.8736202761997</v>
      </c>
      <c r="BF23" s="16">
        <f t="shared" si="18"/>
        <v>11.604716732111999</v>
      </c>
      <c r="BG23" s="17">
        <f t="shared" si="19"/>
        <v>1958.7278852333302</v>
      </c>
      <c r="BI23">
        <v>59</v>
      </c>
      <c r="BJ23" t="s">
        <v>49</v>
      </c>
      <c r="BK23" s="2">
        <v>45937.825057870374</v>
      </c>
      <c r="BL23">
        <v>274</v>
      </c>
      <c r="BM23" t="s">
        <v>13</v>
      </c>
      <c r="BN23">
        <v>0</v>
      </c>
      <c r="BO23">
        <v>2.8759999999999999</v>
      </c>
      <c r="BP23" s="3">
        <v>861998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45937.846273148149</v>
      </c>
      <c r="D24">
        <v>317</v>
      </c>
      <c r="E24" t="s">
        <v>13</v>
      </c>
      <c r="F24">
        <v>0</v>
      </c>
      <c r="G24">
        <v>6.05</v>
      </c>
      <c r="H24" s="3">
        <v>29442</v>
      </c>
      <c r="I24">
        <v>6.7000000000000004E-2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45937.846273148149</v>
      </c>
      <c r="R24">
        <v>317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45937.846273148149</v>
      </c>
      <c r="AF24">
        <v>317</v>
      </c>
      <c r="AG24" t="s">
        <v>13</v>
      </c>
      <c r="AH24">
        <v>0</v>
      </c>
      <c r="AI24">
        <v>12.234999999999999</v>
      </c>
      <c r="AJ24" s="3">
        <v>58547</v>
      </c>
      <c r="AK24">
        <v>12.698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81.914467351268001</v>
      </c>
      <c r="AU24" s="17">
        <f t="shared" si="11"/>
        <v>13124.238182160419</v>
      </c>
      <c r="AW24" s="6">
        <f t="shared" si="12"/>
        <v>66.590001401943425</v>
      </c>
      <c r="AX24" s="7">
        <f t="shared" si="13"/>
        <v>11910.488689146319</v>
      </c>
      <c r="AZ24" s="11">
        <f t="shared" si="14"/>
        <v>77.805012938971998</v>
      </c>
      <c r="BA24" s="12">
        <f t="shared" si="15"/>
        <v>12584.8968755519</v>
      </c>
      <c r="BC24" s="13">
        <f t="shared" si="16"/>
        <v>80.781017102076817</v>
      </c>
      <c r="BD24" s="14">
        <f t="shared" si="17"/>
        <v>11445.17723844773</v>
      </c>
      <c r="BF24" s="16">
        <f t="shared" si="18"/>
        <v>81.914467351268001</v>
      </c>
      <c r="BG24" s="17">
        <f t="shared" si="19"/>
        <v>13124.238182160419</v>
      </c>
      <c r="BI24">
        <v>60</v>
      </c>
      <c r="BJ24" t="s">
        <v>50</v>
      </c>
      <c r="BK24" s="2">
        <v>45937.846273148149</v>
      </c>
      <c r="BL24">
        <v>317</v>
      </c>
      <c r="BM24" t="s">
        <v>13</v>
      </c>
      <c r="BN24">
        <v>0</v>
      </c>
      <c r="BO24">
        <v>2.875</v>
      </c>
      <c r="BP24" s="3">
        <v>839522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45937.867511574077</v>
      </c>
      <c r="D25">
        <v>328</v>
      </c>
      <c r="E25" t="s">
        <v>13</v>
      </c>
      <c r="F25">
        <v>0</v>
      </c>
      <c r="G25">
        <v>6.056</v>
      </c>
      <c r="H25" s="3">
        <v>96541</v>
      </c>
      <c r="I25">
        <v>0.218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45937.867511574077</v>
      </c>
      <c r="R25">
        <v>328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45937.867511574077</v>
      </c>
      <c r="AF25">
        <v>328</v>
      </c>
      <c r="AG25" t="s">
        <v>13</v>
      </c>
      <c r="AH25">
        <v>0</v>
      </c>
      <c r="AI25">
        <v>12.209</v>
      </c>
      <c r="AJ25" s="3">
        <v>89654</v>
      </c>
      <c r="AK25">
        <v>19.451000000000001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259.65075868889699</v>
      </c>
      <c r="AU25" s="17">
        <f t="shared" si="11"/>
        <v>19753.951942216081</v>
      </c>
      <c r="AW25" s="6">
        <f t="shared" si="12"/>
        <v>223.45762193659223</v>
      </c>
      <c r="AX25" s="7">
        <f t="shared" si="13"/>
        <v>18222.656130447678</v>
      </c>
      <c r="AZ25" s="11">
        <f t="shared" si="14"/>
        <v>268.65636329806301</v>
      </c>
      <c r="BA25" s="12">
        <f t="shared" si="15"/>
        <v>20101.548155615601</v>
      </c>
      <c r="BC25" s="13">
        <f t="shared" si="16"/>
        <v>272.85969544012721</v>
      </c>
      <c r="BD25" s="14">
        <f t="shared" si="17"/>
        <v>17751.770911624521</v>
      </c>
      <c r="BF25" s="16">
        <f t="shared" si="18"/>
        <v>259.65075868889699</v>
      </c>
      <c r="BG25" s="17">
        <f t="shared" si="19"/>
        <v>19753.951942216081</v>
      </c>
      <c r="BI25">
        <v>61</v>
      </c>
      <c r="BJ25" t="s">
        <v>51</v>
      </c>
      <c r="BK25" s="2">
        <v>45937.867511574077</v>
      </c>
      <c r="BL25">
        <v>328</v>
      </c>
      <c r="BM25" t="s">
        <v>13</v>
      </c>
      <c r="BN25">
        <v>0</v>
      </c>
      <c r="BO25">
        <v>2.879</v>
      </c>
      <c r="BP25" s="3">
        <v>915214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45937.888738425929</v>
      </c>
      <c r="D26">
        <v>288</v>
      </c>
      <c r="E26" t="s">
        <v>13</v>
      </c>
      <c r="F26">
        <v>0</v>
      </c>
      <c r="G26">
        <v>6.1</v>
      </c>
      <c r="H26" s="3">
        <v>1320</v>
      </c>
      <c r="I26">
        <v>3.0000000000000001E-3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45937.888738425929</v>
      </c>
      <c r="R26">
        <v>288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45937.888738425929</v>
      </c>
      <c r="AF26">
        <v>288</v>
      </c>
      <c r="AG26" t="s">
        <v>13</v>
      </c>
      <c r="AH26">
        <v>0</v>
      </c>
      <c r="AI26">
        <v>12.064</v>
      </c>
      <c r="AJ26" s="3">
        <v>249084</v>
      </c>
      <c r="AK26">
        <v>53.594999999999999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1.3420382031999996</v>
      </c>
      <c r="AU26" s="17">
        <f t="shared" si="11"/>
        <v>53410.039849225279</v>
      </c>
      <c r="AW26" s="6">
        <f t="shared" si="12"/>
        <v>-0.44976127999999993</v>
      </c>
      <c r="AX26" s="7">
        <f t="shared" si="13"/>
        <v>49798.629547290882</v>
      </c>
      <c r="AZ26" s="11">
        <f t="shared" si="14"/>
        <v>7.3710960000000005</v>
      </c>
      <c r="BA26" s="12">
        <f t="shared" si="15"/>
        <v>57383.554682609603</v>
      </c>
      <c r="BC26" s="13">
        <f t="shared" si="16"/>
        <v>-0.47347926400000029</v>
      </c>
      <c r="BD26" s="14">
        <f t="shared" si="17"/>
        <v>49344.439777484324</v>
      </c>
      <c r="BF26" s="16">
        <f t="shared" si="18"/>
        <v>1.3420382031999996</v>
      </c>
      <c r="BG26" s="17">
        <f t="shared" si="19"/>
        <v>53410.039849225279</v>
      </c>
      <c r="BI26">
        <v>62</v>
      </c>
      <c r="BJ26" t="s">
        <v>52</v>
      </c>
      <c r="BK26" s="2">
        <v>45937.888738425929</v>
      </c>
      <c r="BL26">
        <v>288</v>
      </c>
      <c r="BM26" t="s">
        <v>13</v>
      </c>
      <c r="BN26">
        <v>0</v>
      </c>
      <c r="BO26">
        <v>2.8769999999999998</v>
      </c>
      <c r="BP26" s="3">
        <v>933621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45937.90997685185</v>
      </c>
      <c r="D27">
        <v>338</v>
      </c>
      <c r="E27" t="s">
        <v>13</v>
      </c>
      <c r="F27">
        <v>0</v>
      </c>
      <c r="G27">
        <v>6.0369999999999999</v>
      </c>
      <c r="H27" s="3">
        <v>2874232</v>
      </c>
      <c r="I27">
        <v>6.5229999999999997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45937.90997685185</v>
      </c>
      <c r="R27">
        <v>338</v>
      </c>
      <c r="S27" t="s">
        <v>13</v>
      </c>
      <c r="T27">
        <v>0</v>
      </c>
      <c r="U27">
        <v>5.9909999999999997</v>
      </c>
      <c r="V27" s="3">
        <v>22719</v>
      </c>
      <c r="W27">
        <v>5.7039999999999997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45937.90997685185</v>
      </c>
      <c r="AF27">
        <v>338</v>
      </c>
      <c r="AG27" t="s">
        <v>13</v>
      </c>
      <c r="AH27">
        <v>0</v>
      </c>
      <c r="AI27">
        <v>12.087999999999999</v>
      </c>
      <c r="AJ27" s="3">
        <v>204201</v>
      </c>
      <c r="AK27">
        <v>44.06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6036.3486203014863</v>
      </c>
      <c r="AU27" s="17">
        <f t="shared" si="11"/>
        <v>43989.721425981377</v>
      </c>
      <c r="AW27" s="6">
        <f t="shared" si="12"/>
        <v>5830.6618556158201</v>
      </c>
      <c r="AX27" s="7">
        <f t="shared" si="13"/>
        <v>41040.512504806487</v>
      </c>
      <c r="AZ27" s="11">
        <f t="shared" si="14"/>
        <v>5576.4515816292742</v>
      </c>
      <c r="BA27" s="12">
        <f t="shared" si="15"/>
        <v>47098.137520399105</v>
      </c>
      <c r="BC27" s="13">
        <f t="shared" si="16"/>
        <v>6265.2596765430908</v>
      </c>
      <c r="BD27" s="14">
        <f t="shared" si="17"/>
        <v>40573.962196923974</v>
      </c>
      <c r="BF27" s="16">
        <f t="shared" si="18"/>
        <v>6036.3486203014863</v>
      </c>
      <c r="BG27" s="17">
        <f t="shared" si="19"/>
        <v>43989.721425981377</v>
      </c>
      <c r="BI27">
        <v>63</v>
      </c>
      <c r="BJ27" t="s">
        <v>53</v>
      </c>
      <c r="BK27" s="2">
        <v>45937.90997685185</v>
      </c>
      <c r="BL27">
        <v>338</v>
      </c>
      <c r="BM27" t="s">
        <v>13</v>
      </c>
      <c r="BN27">
        <v>0</v>
      </c>
      <c r="BO27">
        <v>2.875</v>
      </c>
      <c r="BP27" s="3">
        <v>799724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45937.931180555555</v>
      </c>
      <c r="D28">
        <v>204</v>
      </c>
      <c r="E28" t="s">
        <v>13</v>
      </c>
      <c r="F28">
        <v>0</v>
      </c>
      <c r="G28">
        <v>6.0549999999999997</v>
      </c>
      <c r="H28" s="3">
        <v>6768</v>
      </c>
      <c r="I28">
        <v>1.6E-2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45937.931180555555</v>
      </c>
      <c r="R28">
        <v>204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45937.931180555555</v>
      </c>
      <c r="AF28">
        <v>204</v>
      </c>
      <c r="AG28" t="s">
        <v>13</v>
      </c>
      <c r="AH28">
        <v>0</v>
      </c>
      <c r="AI28">
        <v>12.286</v>
      </c>
      <c r="AJ28" s="3">
        <v>7670</v>
      </c>
      <c r="AK28">
        <v>1.5860000000000001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20.686204863232</v>
      </c>
      <c r="AU28" s="17">
        <f t="shared" si="11"/>
        <v>1609.5722658770001</v>
      </c>
      <c r="AW28" s="6">
        <f t="shared" si="12"/>
        <v>10.5011894272</v>
      </c>
      <c r="AX28" s="7">
        <f t="shared" si="13"/>
        <v>1480.1876864719998</v>
      </c>
      <c r="AZ28" s="11">
        <f t="shared" si="14"/>
        <v>5.2056249599999962</v>
      </c>
      <c r="BA28" s="12">
        <f t="shared" si="15"/>
        <v>1822.92813871</v>
      </c>
      <c r="BC28" s="13">
        <f t="shared" si="16"/>
        <v>15.408248783359998</v>
      </c>
      <c r="BD28" s="14">
        <f t="shared" si="17"/>
        <v>1602.9320317799998</v>
      </c>
      <c r="BF28" s="16">
        <f t="shared" si="18"/>
        <v>20.686204863232</v>
      </c>
      <c r="BG28" s="17">
        <f t="shared" si="19"/>
        <v>1609.5722658770001</v>
      </c>
      <c r="BI28">
        <v>64</v>
      </c>
      <c r="BJ28" t="s">
        <v>54</v>
      </c>
      <c r="BK28" s="2">
        <v>45937.931180555555</v>
      </c>
      <c r="BL28">
        <v>204</v>
      </c>
      <c r="BM28" t="s">
        <v>13</v>
      </c>
      <c r="BN28">
        <v>0</v>
      </c>
      <c r="BO28">
        <v>2.871</v>
      </c>
      <c r="BP28" s="3">
        <v>941813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45937.952384259261</v>
      </c>
      <c r="D29">
        <v>368</v>
      </c>
      <c r="E29" t="s">
        <v>13</v>
      </c>
      <c r="F29">
        <v>0</v>
      </c>
      <c r="G29">
        <v>6.0679999999999996</v>
      </c>
      <c r="H29" s="3">
        <v>4572</v>
      </c>
      <c r="I29">
        <v>1.0999999999999999E-2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45937.952384259261</v>
      </c>
      <c r="R29">
        <v>368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45937.952384259261</v>
      </c>
      <c r="AF29">
        <v>368</v>
      </c>
      <c r="AG29" t="s">
        <v>13</v>
      </c>
      <c r="AH29">
        <v>0</v>
      </c>
      <c r="AI29">
        <v>12.298</v>
      </c>
      <c r="AJ29" s="3">
        <v>11662</v>
      </c>
      <c r="AK29" s="15">
        <v>2.4609999999999999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12.828234741712</v>
      </c>
      <c r="AU29" s="17">
        <f t="shared" si="11"/>
        <v>2514.7637698869203</v>
      </c>
      <c r="AW29" s="6">
        <f t="shared" si="12"/>
        <v>5.0493954352000001</v>
      </c>
      <c r="AX29" s="7">
        <f t="shared" si="13"/>
        <v>2303.3646227331201</v>
      </c>
      <c r="AZ29" s="11">
        <f t="shared" si="14"/>
        <v>2.2221393600000017</v>
      </c>
      <c r="BA29" s="12">
        <f t="shared" si="15"/>
        <v>2761.7773765115999</v>
      </c>
      <c r="BC29" s="13">
        <f t="shared" si="16"/>
        <v>8.5985239337599992</v>
      </c>
      <c r="BD29" s="14">
        <f t="shared" si="17"/>
        <v>2416.6770658087999</v>
      </c>
      <c r="BF29" s="16">
        <f t="shared" si="18"/>
        <v>12.828234741712</v>
      </c>
      <c r="BG29" s="17">
        <f t="shared" si="19"/>
        <v>2514.7637698869203</v>
      </c>
      <c r="BI29">
        <v>65</v>
      </c>
      <c r="BJ29" t="s">
        <v>55</v>
      </c>
      <c r="BK29" s="2">
        <v>45937.952384259261</v>
      </c>
      <c r="BL29">
        <v>368</v>
      </c>
      <c r="BM29" t="s">
        <v>13</v>
      </c>
      <c r="BN29">
        <v>0</v>
      </c>
      <c r="BO29">
        <v>2.8860000000000001</v>
      </c>
      <c r="BP29" s="3">
        <v>818466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2025-10-08T13:49:44Z</dcterms:modified>
</cp:coreProperties>
</file>