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EF9424BF-03E5-4B84-822E-78D9B989A22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AT41" i="1"/>
  <c r="AU41" i="1"/>
  <c r="AW41" i="1"/>
  <c r="AX41" i="1"/>
  <c r="AZ41" i="1"/>
  <c r="BA41" i="1"/>
  <c r="BC41" i="1"/>
  <c r="BD41" i="1"/>
  <c r="BF41" i="1"/>
  <c r="BG41" i="1"/>
  <c r="AT42" i="1"/>
  <c r="AU42" i="1"/>
  <c r="AW42" i="1"/>
  <c r="AX42" i="1"/>
  <c r="AZ42" i="1"/>
  <c r="BA42" i="1"/>
  <c r="BC42" i="1"/>
  <c r="BD42" i="1"/>
  <c r="BF42" i="1"/>
  <c r="BG42" i="1"/>
  <c r="AT43" i="1"/>
  <c r="AU43" i="1"/>
  <c r="AW43" i="1"/>
  <c r="AX43" i="1"/>
  <c r="AZ43" i="1"/>
  <c r="BA43" i="1"/>
  <c r="BC43" i="1"/>
  <c r="BD43" i="1"/>
  <c r="BF43" i="1"/>
  <c r="BG43" i="1"/>
  <c r="AT44" i="1"/>
  <c r="AU44" i="1"/>
  <c r="AW44" i="1"/>
  <c r="AX44" i="1"/>
  <c r="AZ44" i="1"/>
  <c r="BA44" i="1"/>
  <c r="BC44" i="1"/>
  <c r="BD44" i="1"/>
  <c r="BF44" i="1"/>
  <c r="BG44" i="1"/>
  <c r="AT45" i="1"/>
  <c r="AU45" i="1"/>
  <c r="AW45" i="1"/>
  <c r="AX45" i="1"/>
  <c r="AZ45" i="1"/>
  <c r="BA45" i="1"/>
  <c r="BC45" i="1"/>
  <c r="BD45" i="1"/>
  <c r="BF45" i="1"/>
  <c r="BG45" i="1"/>
  <c r="AT46" i="1"/>
  <c r="AU46" i="1"/>
  <c r="AW46" i="1"/>
  <c r="AX46" i="1"/>
  <c r="AZ46" i="1"/>
  <c r="BA46" i="1"/>
  <c r="BC46" i="1"/>
  <c r="BD46" i="1"/>
  <c r="BF46" i="1"/>
  <c r="BG46" i="1"/>
  <c r="AT47" i="1"/>
  <c r="AU47" i="1"/>
  <c r="AW47" i="1"/>
  <c r="AX47" i="1"/>
  <c r="AZ47" i="1"/>
  <c r="BA47" i="1"/>
  <c r="BC47" i="1"/>
  <c r="BD47" i="1"/>
  <c r="BF47" i="1"/>
  <c r="BG47" i="1"/>
  <c r="AT48" i="1"/>
  <c r="AU48" i="1"/>
  <c r="AW48" i="1"/>
  <c r="AX48" i="1"/>
  <c r="AZ48" i="1"/>
  <c r="BA48" i="1"/>
  <c r="BC48" i="1"/>
  <c r="BD48" i="1"/>
  <c r="BF48" i="1"/>
  <c r="BG48" i="1"/>
  <c r="AT49" i="1"/>
  <c r="AU49" i="1"/>
  <c r="AW49" i="1"/>
  <c r="AX49" i="1"/>
  <c r="AZ49" i="1"/>
  <c r="BA49" i="1"/>
  <c r="BC49" i="1"/>
  <c r="BD49" i="1"/>
  <c r="BF49" i="1"/>
  <c r="BG49" i="1"/>
  <c r="AT50" i="1"/>
  <c r="AU50" i="1"/>
  <c r="AW50" i="1"/>
  <c r="AX50" i="1"/>
  <c r="AZ50" i="1"/>
  <c r="BA50" i="1"/>
  <c r="BC50" i="1"/>
  <c r="BD50" i="1"/>
  <c r="BF50" i="1"/>
  <c r="BG50" i="1"/>
  <c r="AT51" i="1"/>
  <c r="AU51" i="1"/>
  <c r="AW51" i="1"/>
  <c r="AX51" i="1"/>
  <c r="AZ51" i="1"/>
  <c r="BA51" i="1"/>
  <c r="BC51" i="1"/>
  <c r="BD51" i="1"/>
  <c r="BF51" i="1"/>
  <c r="BG51" i="1"/>
  <c r="AT52" i="1"/>
  <c r="AU52" i="1"/>
  <c r="AW52" i="1"/>
  <c r="AX52" i="1"/>
  <c r="AZ52" i="1"/>
  <c r="BA52" i="1"/>
  <c r="BC52" i="1"/>
  <c r="BD52" i="1"/>
  <c r="BF52" i="1"/>
  <c r="BG52" i="1"/>
  <c r="AT53" i="1"/>
  <c r="AU53" i="1"/>
  <c r="AW53" i="1"/>
  <c r="AX53" i="1"/>
  <c r="AZ53" i="1"/>
  <c r="BA53" i="1"/>
  <c r="BC53" i="1"/>
  <c r="BD53" i="1"/>
  <c r="BF53" i="1"/>
  <c r="BG53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<sst xmlns="http://schemas.openxmlformats.org/spreadsheetml/2006/main" count="1271" uniqueCount="81">
  <si>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</si>
  <si>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</si>
  <si>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</si>
  <si>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</si>
  <si>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</si>
  <si>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</si>
  <si>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</si>
  <si>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</si>
  <si>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</si>
  <si>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</si>
  <si>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</si>
  <si>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</si>
  <si>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</si>
  <si>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</si>
  <si>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</si>
  <si>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</si>
  <si>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</si>
  <si>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</si>
  <si>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</si>
  <si>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</si>
  <si>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</si>
  <si>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</si>
  <si>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</si>
  <si>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</si>
  <si>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</si>
  <si>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</si>
  <si>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</si>
  <si>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</si>
  <si>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</si>
  <si>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</si>
  <si>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</si>
  <si>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</si>
  <si>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</si>
  <si>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</si>
  <si>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</si>
  <si>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FMI20251021_001.gcd</t>
  </si>
  <si>
    <t>FMI20251021_002.gcd</t>
  </si>
  <si>
    <t>FMI20251021_003.gcd</t>
  </si>
  <si>
    <t>FMI20251021_004.gcd</t>
  </si>
  <si>
    <t>FMI20251021_005.gcd</t>
  </si>
  <si>
    <t>FMI20251021_006.gcd</t>
  </si>
  <si>
    <t>FMI20251021_007.gcd</t>
  </si>
  <si>
    <t>FMI20251021_008.gcd</t>
  </si>
  <si>
    <t>FMI20251021_009.gcd</t>
  </si>
  <si>
    <t>FMI20251021_010.gcd</t>
  </si>
  <si>
    <t>FMI20251021_011.gcd</t>
  </si>
  <si>
    <t>FMI20251021_012.gcd</t>
  </si>
  <si>
    <t>FMI20251021_013.gcd</t>
  </si>
  <si>
    <t>FMI20251021_014.gcd</t>
  </si>
  <si>
    <t>FMI20251021_015.gcd</t>
  </si>
  <si>
    <t>FMI20251021_016.gcd</t>
  </si>
  <si>
    <t>FMI20251021_017.gcd</t>
  </si>
  <si>
    <t>FMI20251021_018.gcd</t>
  </si>
  <si>
    <t>FMI20251021_019.gcd</t>
  </si>
  <si>
    <t>FMI20251021_020.gcd</t>
  </si>
  <si>
    <t>FMI20251021_021.gcd</t>
  </si>
  <si>
    <t>FMI20251021_022.gcd</t>
  </si>
  <si>
    <t>FMI20251021_023.gcd</t>
  </si>
  <si>
    <t>FMI20251021_024.gcd</t>
  </si>
  <si>
    <t>FMI20251021_025.gcd</t>
  </si>
  <si>
    <t>FMI20251021_026.gcd</t>
  </si>
  <si>
    <t>FMI20251021_027.gcd</t>
  </si>
  <si>
    <t>FMI20251021_028.gcd</t>
  </si>
  <si>
    <t>FMI20251021_029.gcd</t>
  </si>
  <si>
    <t>FMI20251021_030.gcd</t>
  </si>
  <si>
    <t>FMI20251021_031.gcd</t>
  </si>
  <si>
    <t>FMI20251021_032.gcd</t>
  </si>
  <si>
    <t>FMI20251021_033.gcd</t>
  </si>
  <si>
    <t>FMI20251021_034.gcd</t>
  </si>
  <si>
    <t>FMI20251021_035.gcd</t>
  </si>
  <si>
    <t>FMI20251021_036.gcd</t>
  </si>
  <si>
    <t>FMI20251021_037.gcd</t>
  </si>
  <si>
    <t>FMI20251021_038.gcd</t>
  </si>
  <si>
    <t>FMI20251021_039.gcd</t>
  </si>
  <si>
    <t>FMI20251021_040.gcd</t>
  </si>
  <si>
    <t>FMI20251021_041.gcd</t>
  </si>
  <si>
    <t>FMI20251021_042.gcd</t>
  </si>
  <si>
    <t>FMI20251021_043.gcd</t>
  </si>
  <si>
    <t>FMI20251021_044.gcd</t>
  </si>
  <si>
    <t>FMI20251021_045.gcd</t>
  </si>
  <si>
    <t>moisture 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</si>
</sst>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54"/>
  <sheetViews>
    <sheetView tabSelected="1" topLeftCell="X6" workbookViewId="0">
      <selection activeCell="AQ44" sqref="AQ44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45951.559652777774</v>
      </c>
      <c r="D9" t="s">
        <v>33</v>
      </c>
      <c r="E9" t="s">
        <v>13</v>
      </c>
      <c r="F9">
        <v>0</v>
      </c>
      <c r="G9">
        <v>6.101</v>
      </c>
      <c r="H9" s="3">
        <v>695</v>
      </c>
      <c r="I9">
        <v>2E-3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45951.559652777774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45951.559652777774</v>
      </c>
      <c r="AF9" t="s">
        <v>33</v>
      </c>
      <c r="AG9" t="s">
        <v>13</v>
      </c>
      <c r="AH9">
        <v>0</v>
      </c>
      <c r="AI9">
        <v>12.375999999999999</v>
      </c>
      <c r="AJ9" s="3">
        <v>2220</v>
      </c>
      <c r="AK9">
        <v>0.39100000000000001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-0.84490766867500033</v>
      </c>
      <c r="AU9" s="17">
        <f t="shared" ref="AU9:AU14" si="1">IF(AJ9&lt;45000,((-0.00000004907*AJ9^2)+(0.2277*AJ9)+(-134)),((-0.00000001062*AJ9^2)+(0.2147*AJ9)+(590.6)))</f>
        <v>371.25216341200002</v>
      </c>
      <c r="AW9" s="6">
        <f t="shared" ref="AW9:AW14" si="2">IF(H9&lt;10000,((0.0000001453*H9^2)+(0.0008349*H9)+(-1.805)),(IF(H9&lt;700000,((-0.00000000008054*H9^2)+(0.002348*H9)+(-2.47)), ((-0.00000001938*V9^2)+(0.2471*V9)+(226.8)))))</f>
        <v>-1.1545609675000001</v>
      </c>
      <c r="AX9" s="7">
        <f t="shared" ref="AX9:AX14" si="3">(-0.00000002552*AJ9^2)+(0.2067*AJ9)+(-103.7)</f>
        <v>355.04822723199999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9.6691585</v>
      </c>
      <c r="BA9" s="12">
        <f t="shared" ref="BA9:BA14" si="5">IF(AJ9&lt;45000,((-0.0000004561*AJ9^2)+(0.244*AJ9)+(-21.72)),((-0.0000000409*AJ9^2)+(0.2477*AJ9)+(-1777)))</f>
        <v>517.71215675999997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-2.0785649514999998</v>
      </c>
      <c r="BD9" s="14">
        <f t="shared" ref="BD9:BD14" si="7">IF(AJ9&lt;45000,((-0.0000000598*AJ9^2)+(0.205*AJ9)+(34.1)),((-0.00000002403*AJ9^2)+(0.2063*AJ9)+(-550.7)))</f>
        <v>488.90528167999997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-0.84490766867500033</v>
      </c>
      <c r="BG9" s="17">
        <f t="shared" ref="BG9:BG14" si="9">IF(AJ9&lt;45000,((-0.00000004907*AJ9^2)+(0.2277*AJ9)+(-134)),((-0.00000001062*AJ9^2)+(0.2147*AJ9)+(590.6)))</f>
        <v>371.25216341200002</v>
      </c>
      <c r="BI9">
        <v>45</v>
      </c>
      <c r="BJ9" t="s">
        <v>35</v>
      </c>
      <c r="BK9" s="2">
        <v>45951.559652777774</v>
      </c>
      <c r="BL9" t="s">
        <v>33</v>
      </c>
      <c r="BM9" t="s">
        <v>13</v>
      </c>
      <c r="BN9">
        <v>0</v>
      </c>
      <c r="BO9">
        <v>2.74</v>
      </c>
      <c r="BP9" s="3">
        <v>4727206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45951.580879629626</v>
      </c>
      <c r="D10" t="s">
        <v>34</v>
      </c>
      <c r="E10" t="s">
        <v>13</v>
      </c>
      <c r="F10">
        <v>0</v>
      </c>
      <c r="G10">
        <v>6.07</v>
      </c>
      <c r="H10" s="3">
        <v>620506</v>
      </c>
      <c r="I10">
        <v>1.401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45951.580879629626</v>
      </c>
      <c r="R10" t="s">
        <v>34</v>
      </c>
      <c r="S10" t="s">
        <v>13</v>
      </c>
      <c r="T10">
        <v>0</v>
      </c>
      <c r="U10">
        <v>6.0270000000000001</v>
      </c>
      <c r="V10" s="3">
        <v>5315</v>
      </c>
      <c r="W10">
        <v>1.405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45951.580879629626</v>
      </c>
      <c r="AF10" t="s">
        <v>34</v>
      </c>
      <c r="AG10" t="s">
        <v>13</v>
      </c>
      <c r="AH10">
        <v>0</v>
      </c>
      <c r="AI10">
        <v>12.358000000000001</v>
      </c>
      <c r="AJ10" s="3">
        <v>7692</v>
      </c>
      <c r="AK10">
        <v>1.591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1447.3560677779124</v>
      </c>
      <c r="AU10" s="17">
        <f t="shared" si="1"/>
        <v>1614.5650819835203</v>
      </c>
      <c r="AW10" s="6">
        <f t="shared" si="2"/>
        <v>1423.4679573612605</v>
      </c>
      <c r="AX10" s="7">
        <f t="shared" si="3"/>
        <v>1484.72646163072</v>
      </c>
      <c r="AZ10" s="11">
        <f t="shared" si="4"/>
        <v>1350.7201248537306</v>
      </c>
      <c r="BA10" s="12">
        <f t="shared" si="5"/>
        <v>1828.1419933295999</v>
      </c>
      <c r="BC10" s="13">
        <f t="shared" si="6"/>
        <v>1484.3571862845768</v>
      </c>
      <c r="BD10" s="14">
        <f t="shared" si="7"/>
        <v>1607.4218215327999</v>
      </c>
      <c r="BF10" s="16">
        <f t="shared" si="8"/>
        <v>1447.3560677779124</v>
      </c>
      <c r="BG10" s="17">
        <f t="shared" si="9"/>
        <v>1614.5650819835203</v>
      </c>
      <c r="BI10">
        <v>46</v>
      </c>
      <c r="BJ10" t="s">
        <v>36</v>
      </c>
      <c r="BK10" s="2">
        <v>45951.580879629626</v>
      </c>
      <c r="BL10" t="s">
        <v>34</v>
      </c>
      <c r="BM10" t="s">
        <v>13</v>
      </c>
      <c r="BN10">
        <v>0</v>
      </c>
      <c r="BO10">
        <v>2.742</v>
      </c>
      <c r="BP10" s="3">
        <v>4706063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45951.602106481485</v>
      </c>
      <c r="D11" t="s">
        <v>28</v>
      </c>
      <c r="E11" t="s">
        <v>13</v>
      </c>
      <c r="F11">
        <v>0</v>
      </c>
      <c r="G11">
        <v>6.1</v>
      </c>
      <c r="H11" s="3">
        <v>2203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45951.602106481485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45951.602106481485</v>
      </c>
      <c r="AF11" t="s">
        <v>28</v>
      </c>
      <c r="AG11" t="s">
        <v>13</v>
      </c>
      <c r="AH11">
        <v>0</v>
      </c>
      <c r="AI11">
        <v>12.351000000000001</v>
      </c>
      <c r="AJ11" s="3">
        <v>1506</v>
      </c>
      <c r="AK11">
        <v>0.23400000000000001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4.4430643040369997</v>
      </c>
      <c r="AU11" s="17">
        <f t="shared" si="1"/>
        <v>208.80490747348</v>
      </c>
      <c r="AW11" s="6">
        <f t="shared" si="2"/>
        <v>0.73945596769999988</v>
      </c>
      <c r="AX11" s="7">
        <f t="shared" si="3"/>
        <v>207.53231972127998</v>
      </c>
      <c r="AZ11" s="11">
        <f t="shared" si="4"/>
        <v>4.8434378599999999</v>
      </c>
      <c r="BA11" s="12">
        <f t="shared" si="5"/>
        <v>344.70954878040004</v>
      </c>
      <c r="BC11" s="13">
        <f t="shared" si="6"/>
        <v>1.8702713622599996</v>
      </c>
      <c r="BD11" s="14">
        <f t="shared" si="7"/>
        <v>342.69437144720001</v>
      </c>
      <c r="BF11" s="16">
        <f t="shared" si="8"/>
        <v>4.4430643040369997</v>
      </c>
      <c r="BG11" s="17">
        <f t="shared" si="9"/>
        <v>208.80490747348</v>
      </c>
      <c r="BI11">
        <v>47</v>
      </c>
      <c r="BJ11" t="s">
        <v>37</v>
      </c>
      <c r="BK11" s="2">
        <v>45951.602106481485</v>
      </c>
      <c r="BL11" t="s">
        <v>28</v>
      </c>
      <c r="BM11" t="s">
        <v>13</v>
      </c>
      <c r="BN11">
        <v>0</v>
      </c>
      <c r="BO11">
        <v>2.7360000000000002</v>
      </c>
      <c r="BP11" s="3">
        <v>4884953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45951.623344907406</v>
      </c>
      <c r="D12">
        <v>72</v>
      </c>
      <c r="E12" t="s">
        <v>13</v>
      </c>
      <c r="F12">
        <v>0</v>
      </c>
      <c r="G12">
        <v>6.0720000000000001</v>
      </c>
      <c r="H12" s="3">
        <v>15973</v>
      </c>
      <c r="I12">
        <v>3.5999999999999997E-2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45951.623344907406</v>
      </c>
      <c r="R12">
        <v>72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45951.623344907406</v>
      </c>
      <c r="AF12">
        <v>72</v>
      </c>
      <c r="AG12" t="s">
        <v>13</v>
      </c>
      <c r="AH12">
        <v>0</v>
      </c>
      <c r="AI12">
        <v>12.317</v>
      </c>
      <c r="AJ12" s="3">
        <v>16810</v>
      </c>
      <c r="AK12">
        <v>3.5880000000000001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45.951485040272999</v>
      </c>
      <c r="AU12" s="17">
        <f t="shared" si="1"/>
        <v>3679.770990773</v>
      </c>
      <c r="AW12" s="6">
        <f t="shared" si="2"/>
        <v>35.01405528784634</v>
      </c>
      <c r="AX12" s="7">
        <f t="shared" si="3"/>
        <v>3363.7156579279999</v>
      </c>
      <c r="AZ12" s="11">
        <f t="shared" si="4"/>
        <v>37.783488378367004</v>
      </c>
      <c r="BA12" s="12">
        <f t="shared" si="5"/>
        <v>3951.0370407900004</v>
      </c>
      <c r="BC12" s="13">
        <f t="shared" si="6"/>
        <v>41.911043512664804</v>
      </c>
      <c r="BD12" s="14">
        <f t="shared" si="7"/>
        <v>3463.2519492199995</v>
      </c>
      <c r="BF12" s="16">
        <f t="shared" si="8"/>
        <v>45.951485040272999</v>
      </c>
      <c r="BG12" s="17">
        <f t="shared" si="9"/>
        <v>3679.770990773</v>
      </c>
      <c r="BI12">
        <v>48</v>
      </c>
      <c r="BJ12" t="s">
        <v>38</v>
      </c>
      <c r="BK12" s="2">
        <v>45951.623344907406</v>
      </c>
      <c r="BL12">
        <v>72</v>
      </c>
      <c r="BM12" t="s">
        <v>13</v>
      </c>
      <c r="BN12">
        <v>0</v>
      </c>
      <c r="BO12">
        <v>2.8809999999999998</v>
      </c>
      <c r="BP12" s="3">
        <v>938873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45951.644583333335</v>
      </c>
      <c r="D13">
        <v>183</v>
      </c>
      <c r="E13" t="s">
        <v>13</v>
      </c>
      <c r="F13">
        <v>0</v>
      </c>
      <c r="G13">
        <v>6.0709999999999997</v>
      </c>
      <c r="H13" s="3">
        <v>11153</v>
      </c>
      <c r="I13">
        <v>2.5999999999999999E-2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45951.644583333335</v>
      </c>
      <c r="R13">
        <v>183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45951.644583333335</v>
      </c>
      <c r="AF13">
        <v>183</v>
      </c>
      <c r="AG13" t="s">
        <v>13</v>
      </c>
      <c r="AH13">
        <v>0</v>
      </c>
      <c r="AI13">
        <v>12.2</v>
      </c>
      <c r="AJ13" s="3">
        <v>26298</v>
      </c>
      <c r="AK13">
        <v>5.6639999999999997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33.058631585432998</v>
      </c>
      <c r="AU13" s="17">
        <f t="shared" si="1"/>
        <v>5820.1185336677208</v>
      </c>
      <c r="AW13" s="6">
        <f t="shared" si="2"/>
        <v>23.707225676999141</v>
      </c>
      <c r="AX13" s="7">
        <f t="shared" si="3"/>
        <v>5314.4473558019199</v>
      </c>
      <c r="AZ13" s="11">
        <f t="shared" si="4"/>
        <v>23.322416902006999</v>
      </c>
      <c r="BA13" s="12">
        <f t="shared" si="5"/>
        <v>6079.5601708955992</v>
      </c>
      <c r="BC13" s="13">
        <f t="shared" si="6"/>
        <v>27.975623338680798</v>
      </c>
      <c r="BD13" s="14">
        <f t="shared" si="7"/>
        <v>5383.8332287207995</v>
      </c>
      <c r="BF13" s="16">
        <f t="shared" si="8"/>
        <v>33.058631585432998</v>
      </c>
      <c r="BG13" s="17">
        <f t="shared" si="9"/>
        <v>5820.1185336677208</v>
      </c>
      <c r="BI13">
        <v>49</v>
      </c>
      <c r="BJ13" t="s">
        <v>39</v>
      </c>
      <c r="BK13" s="2">
        <v>45951.644583333335</v>
      </c>
      <c r="BL13">
        <v>183</v>
      </c>
      <c r="BM13" t="s">
        <v>13</v>
      </c>
      <c r="BN13">
        <v>0</v>
      </c>
      <c r="BO13">
        <v>2.8889999999999998</v>
      </c>
      <c r="BP13" s="3">
        <v>788391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45951.66578703704</v>
      </c>
      <c r="D14">
        <v>221</v>
      </c>
      <c r="E14" t="s">
        <v>13</v>
      </c>
      <c r="F14">
        <v>0</v>
      </c>
      <c r="G14">
        <v>6.0860000000000003</v>
      </c>
      <c r="H14" s="3">
        <v>2621</v>
      </c>
      <c r="I14">
        <v>6.0000000000000001E-3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45951.66578703704</v>
      </c>
      <c r="R14">
        <v>221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45951.66578703704</v>
      </c>
      <c r="AF14">
        <v>221</v>
      </c>
      <c r="AG14" t="s">
        <v>13</v>
      </c>
      <c r="AH14">
        <v>0</v>
      </c>
      <c r="AI14">
        <v>12.288</v>
      </c>
      <c r="AJ14" s="3">
        <v>41219</v>
      </c>
      <c r="AK14">
        <v>8.923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5.9156658610130002</v>
      </c>
      <c r="AU14" s="17">
        <f t="shared" si="1"/>
        <v>9168.1960774937306</v>
      </c>
      <c r="AW14" s="6">
        <f t="shared" si="2"/>
        <v>1.3814317373</v>
      </c>
      <c r="AX14" s="7">
        <f t="shared" si="3"/>
        <v>8372.9086678752792</v>
      </c>
      <c r="AZ14" s="11">
        <f t="shared" si="4"/>
        <v>3.9405411400000006</v>
      </c>
      <c r="BA14" s="12">
        <f t="shared" si="5"/>
        <v>9260.7993811879005</v>
      </c>
      <c r="BC14" s="13">
        <f t="shared" si="6"/>
        <v>3.0108442867399994</v>
      </c>
      <c r="BD14" s="14">
        <f t="shared" si="7"/>
        <v>8382.3944435321991</v>
      </c>
      <c r="BF14" s="16">
        <f t="shared" si="8"/>
        <v>5.9156658610130002</v>
      </c>
      <c r="BG14" s="17">
        <f t="shared" si="9"/>
        <v>9168.1960774937306</v>
      </c>
      <c r="BI14">
        <v>50</v>
      </c>
      <c r="BJ14" t="s">
        <v>40</v>
      </c>
      <c r="BK14" s="2">
        <v>45951.66578703704</v>
      </c>
      <c r="BL14">
        <v>221</v>
      </c>
      <c r="BM14" t="s">
        <v>13</v>
      </c>
      <c r="BN14">
        <v>0</v>
      </c>
      <c r="BO14">
        <v>2.879</v>
      </c>
      <c r="BP14" s="3">
        <v>965629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45951.687013888892</v>
      </c>
      <c r="D15">
        <v>341</v>
      </c>
      <c r="E15" t="s">
        <v>13</v>
      </c>
      <c r="F15">
        <v>0</v>
      </c>
      <c r="G15">
        <v>6.08</v>
      </c>
      <c r="H15" s="3">
        <v>11528</v>
      </c>
      <c r="I15">
        <v>2.5999999999999999E-2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45951.687013888892</v>
      </c>
      <c r="R15">
        <v>341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45951.687013888892</v>
      </c>
      <c r="AF15">
        <v>341</v>
      </c>
      <c r="AG15" t="s">
        <v>13</v>
      </c>
      <c r="AH15">
        <v>0</v>
      </c>
      <c r="AI15">
        <v>12.329000000000001</v>
      </c>
      <c r="AJ15" s="3">
        <v>17371</v>
      </c>
      <c r="AK15">
        <v>3.7109999999999999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53" si="10">IF(H15&lt;10000,((H15^2*0.000000008493)+(H15*0.003482)+(-3.269)),(IF(H15&lt;200000,((H15^2*-0.000000000263)+(H15*0.002682)+(3.179)),(IF(H15&lt;8000000,((H15^2*-0.000000000005099)+(H15*0.002054)+(174.8)),((V15^2*-0.00000001014)+(V15*0.2415)+(1123)))))))</f>
        <v>34.062144671807999</v>
      </c>
      <c r="AU15" s="17">
        <f t="shared" ref="AU15:AU53" si="11">IF(AJ15&lt;45000,((-0.00000004907*AJ15^2)+(0.2277*AJ15)+(-134)),((-0.00000001062*AJ15^2)+(0.2147*AJ15)+(590.6)))</f>
        <v>3806.5697469761303</v>
      </c>
      <c r="AW15" s="6">
        <f t="shared" ref="AW15:AW53" si="12">IF(H15&lt;10000,((0.0000001453*H15^2)+(0.0008349*H15)+(-1.805)),(IF(H15&lt;700000,((-0.00000000008054*H15^2)+(0.002348*H15)+(-2.47)), ((-0.00000001938*V15^2)+(0.2471*V15)+(226.8)))))</f>
        <v>24.58704065409664</v>
      </c>
      <c r="AX15" s="7">
        <f t="shared" ref="AX15:AX53" si="13">(-0.00000002552*AJ15^2)+(0.2067*AJ15)+(-103.7)</f>
        <v>3479.1849981216801</v>
      </c>
      <c r="AZ15" s="11">
        <f t="shared" ref="AZ15:AZ53" si="14">IF(H15&lt;10000,((H15^2*0.00000054)+(H15*-0.004765)+(12.72)),(IF(H15&lt;200000,((H15^2*-0.000000001577)+(H15*0.003043)+(-10.42)),(IF(H15&lt;8000000,((H15^2*-0.0000000000186)+(H15*0.00194)+(154.1)),((V15^2*-0.00000002)+(V15*0.2565)+(-1032)))))))</f>
        <v>24.450128925632001</v>
      </c>
      <c r="BA15" s="12">
        <f t="shared" ref="BA15:BA53" si="15">IF(AJ15&lt;45000,((-0.0000004561*AJ15^2)+(0.244*AJ15)+(-21.72)),((-0.0000000409*AJ15^2)+(0.2477*AJ15)+(-1777)))</f>
        <v>4079.1750765399006</v>
      </c>
      <c r="BC15" s="13">
        <f t="shared" ref="BC15:BC53" si="16">IF(H15&lt;10000,((H15^2*0.00000005714)+(H15*0.002453)+(-3.811)),(IF(H15&lt;200000,((H15^2*-0.0000000002888)+(H15*0.002899)+(-4.321)),(IF(H15&lt;8000000,((H15^2*-0.0000000000062)+(H15*0.002143)+(157)),((V15^2*-0.000000031)+(V15*0.2771)+(-709.5)))))))</f>
        <v>29.060291986380804</v>
      </c>
      <c r="BD15" s="14">
        <f t="shared" ref="BD15:BD53" si="17">IF(AJ15&lt;45000,((-0.0000000598*AJ15^2)+(0.205*AJ15)+(34.1)),((-0.00000002403*AJ15^2)+(0.2063*AJ15)+(-550.7)))</f>
        <v>3577.1102518681996</v>
      </c>
      <c r="BF15" s="16">
        <f t="shared" ref="BF15:BF53" si="18">IF(H15&lt;10000,((H15^2*0.000000008493)+(H15*0.003482)+(-3.269)),(IF(H15&lt;200000,((H15^2*-0.000000000263)+(H15*0.002682)+(3.179)),(IF(H15&lt;8000000,((H15^2*-0.000000000005099)+(H15*0.002054)+(174.8)),((V15^2*-0.00000001014)+(V15*0.2415)+(1123)))))))</f>
        <v>34.062144671807999</v>
      </c>
      <c r="BG15" s="17">
        <f t="shared" ref="BG15:BG53" si="19">IF(AJ15&lt;45000,((-0.00000004907*AJ15^2)+(0.2277*AJ15)+(-134)),((-0.00000001062*AJ15^2)+(0.2147*AJ15)+(590.6)))</f>
        <v>3806.5697469761303</v>
      </c>
      <c r="BI15">
        <v>51</v>
      </c>
      <c r="BJ15" t="s">
        <v>41</v>
      </c>
      <c r="BK15" s="2">
        <v>45951.687013888892</v>
      </c>
      <c r="BL15">
        <v>341</v>
      </c>
      <c r="BM15" t="s">
        <v>13</v>
      </c>
      <c r="BN15">
        <v>0</v>
      </c>
      <c r="BO15">
        <v>2.8929999999999998</v>
      </c>
      <c r="BP15" s="3">
        <v>842498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45951.708252314813</v>
      </c>
      <c r="D16">
        <v>73</v>
      </c>
      <c r="E16" t="s">
        <v>13</v>
      </c>
      <c r="F16">
        <v>0</v>
      </c>
      <c r="G16">
        <v>6.1</v>
      </c>
      <c r="H16" s="3">
        <v>1846</v>
      </c>
      <c r="I16">
        <v>5.0000000000000001E-3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45951.708252314813</v>
      </c>
      <c r="R16">
        <v>73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45951.708252314813</v>
      </c>
      <c r="AF16">
        <v>73</v>
      </c>
      <c r="AG16" t="s">
        <v>13</v>
      </c>
      <c r="AH16">
        <v>0</v>
      </c>
      <c r="AI16">
        <v>12.253</v>
      </c>
      <c r="AJ16" s="3">
        <v>84808</v>
      </c>
      <c r="AK16">
        <v>18.401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3.1877137319879996</v>
      </c>
      <c r="AU16" s="17">
        <f t="shared" si="11"/>
        <v>18722.49434530432</v>
      </c>
      <c r="AW16" s="6">
        <f t="shared" si="12"/>
        <v>0.23136653480000002</v>
      </c>
      <c r="AX16" s="7">
        <f t="shared" si="13"/>
        <v>17242.56363203072</v>
      </c>
      <c r="AZ16" s="11">
        <f t="shared" si="14"/>
        <v>5.7639766399999992</v>
      </c>
      <c r="BA16" s="12">
        <f t="shared" si="15"/>
        <v>18935.7725682624</v>
      </c>
      <c r="BC16" s="13">
        <f t="shared" si="16"/>
        <v>0.91195489223999981</v>
      </c>
      <c r="BD16" s="14">
        <f t="shared" si="17"/>
        <v>16772.357103358081</v>
      </c>
      <c r="BF16" s="16">
        <f t="shared" si="18"/>
        <v>3.1877137319879996</v>
      </c>
      <c r="BG16" s="17">
        <f t="shared" si="19"/>
        <v>18722.49434530432</v>
      </c>
      <c r="BI16">
        <v>52</v>
      </c>
      <c r="BJ16" t="s">
        <v>42</v>
      </c>
      <c r="BK16" s="2">
        <v>45951.708252314813</v>
      </c>
      <c r="BL16">
        <v>73</v>
      </c>
      <c r="BM16" t="s">
        <v>13</v>
      </c>
      <c r="BN16">
        <v>0</v>
      </c>
      <c r="BO16">
        <v>2.8820000000000001</v>
      </c>
      <c r="BP16" s="3">
        <v>996277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45951.729456018518</v>
      </c>
      <c r="D17">
        <v>371</v>
      </c>
      <c r="E17" t="s">
        <v>13</v>
      </c>
      <c r="F17">
        <v>0</v>
      </c>
      <c r="G17">
        <v>6.0590000000000002</v>
      </c>
      <c r="H17" s="3">
        <v>3072183</v>
      </c>
      <c r="I17">
        <v>6.9749999999999996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45951.729456018518</v>
      </c>
      <c r="R17">
        <v>371</v>
      </c>
      <c r="S17" t="s">
        <v>13</v>
      </c>
      <c r="T17">
        <v>0</v>
      </c>
      <c r="U17">
        <v>6.0119999999999996</v>
      </c>
      <c r="V17" s="3">
        <v>22698</v>
      </c>
      <c r="W17">
        <v>5.6989999999999998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45951.729456018518</v>
      </c>
      <c r="AF17">
        <v>371</v>
      </c>
      <c r="AG17" t="s">
        <v>13</v>
      </c>
      <c r="AH17">
        <v>0</v>
      </c>
      <c r="AI17">
        <v>12.304</v>
      </c>
      <c r="AJ17" s="3">
        <v>32307</v>
      </c>
      <c r="AK17">
        <v>6.9770000000000003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6436.9379475423912</v>
      </c>
      <c r="AU17" s="17">
        <f t="shared" si="11"/>
        <v>7171.0874678415712</v>
      </c>
      <c r="AW17" s="6">
        <f t="shared" si="12"/>
        <v>5825.4912394264802</v>
      </c>
      <c r="AX17" s="7">
        <f t="shared" si="13"/>
        <v>6547.5205978055201</v>
      </c>
      <c r="AZ17" s="11">
        <f t="shared" si="14"/>
        <v>5938.5824840299056</v>
      </c>
      <c r="BA17" s="12">
        <f t="shared" si="15"/>
        <v>7385.1371602310992</v>
      </c>
      <c r="BC17" s="13">
        <f t="shared" si="16"/>
        <v>6682.1706570099686</v>
      </c>
      <c r="BD17" s="14">
        <f t="shared" si="17"/>
        <v>6594.6192135097999</v>
      </c>
      <c r="BF17" s="16">
        <f t="shared" si="18"/>
        <v>6436.9379475423912</v>
      </c>
      <c r="BG17" s="17">
        <f t="shared" si="19"/>
        <v>7171.0874678415712</v>
      </c>
      <c r="BI17">
        <v>53</v>
      </c>
      <c r="BJ17" t="s">
        <v>43</v>
      </c>
      <c r="BK17" s="2">
        <v>45951.729456018518</v>
      </c>
      <c r="BL17">
        <v>371</v>
      </c>
      <c r="BM17" t="s">
        <v>13</v>
      </c>
      <c r="BN17">
        <v>0</v>
      </c>
      <c r="BO17">
        <v>2.88</v>
      </c>
      <c r="BP17" s="3">
        <v>933286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45951.750671296293</v>
      </c>
      <c r="D18">
        <v>26</v>
      </c>
      <c r="E18" t="s">
        <v>13</v>
      </c>
      <c r="F18">
        <v>0</v>
      </c>
      <c r="G18">
        <v>6.0910000000000002</v>
      </c>
      <c r="H18" s="3">
        <v>2815</v>
      </c>
      <c r="I18">
        <v>7.0000000000000001E-3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45951.750671296293</v>
      </c>
      <c r="R18">
        <v>26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45951.750671296293</v>
      </c>
      <c r="AF18">
        <v>26</v>
      </c>
      <c r="AG18" t="s">
        <v>13</v>
      </c>
      <c r="AH18">
        <v>0</v>
      </c>
      <c r="AI18">
        <v>12.295999999999999</v>
      </c>
      <c r="AJ18" s="3">
        <v>38121</v>
      </c>
      <c r="AK18">
        <v>8.2469999999999999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6.6001304429249981</v>
      </c>
      <c r="AU18" s="17">
        <f t="shared" si="11"/>
        <v>8474.8426538461299</v>
      </c>
      <c r="AW18" s="6">
        <f t="shared" si="12"/>
        <v>1.6966333925000001</v>
      </c>
      <c r="AX18" s="7">
        <f t="shared" si="13"/>
        <v>7738.8247644416806</v>
      </c>
      <c r="AZ18" s="11">
        <f t="shared" si="14"/>
        <v>3.5856065000000008</v>
      </c>
      <c r="BA18" s="12">
        <f t="shared" si="15"/>
        <v>8616.9946266399002</v>
      </c>
      <c r="BC18" s="13">
        <f t="shared" si="16"/>
        <v>3.5469852165000004</v>
      </c>
      <c r="BD18" s="14">
        <f t="shared" si="17"/>
        <v>7762.0030036682001</v>
      </c>
      <c r="BF18" s="16">
        <f t="shared" si="18"/>
        <v>6.6001304429249981</v>
      </c>
      <c r="BG18" s="17">
        <f t="shared" si="19"/>
        <v>8474.8426538461299</v>
      </c>
      <c r="BI18">
        <v>54</v>
      </c>
      <c r="BJ18" t="s">
        <v>44</v>
      </c>
      <c r="BK18" s="2">
        <v>45951.750671296293</v>
      </c>
      <c r="BL18">
        <v>26</v>
      </c>
      <c r="BM18" t="s">
        <v>13</v>
      </c>
      <c r="BN18">
        <v>0</v>
      </c>
      <c r="BO18">
        <v>2.891</v>
      </c>
      <c r="BP18" s="3">
        <v>737213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45951.771909722222</v>
      </c>
      <c r="D19">
        <v>392</v>
      </c>
      <c r="E19" t="s">
        <v>13</v>
      </c>
      <c r="F19">
        <v>0</v>
      </c>
      <c r="G19">
        <v>6.0780000000000003</v>
      </c>
      <c r="H19" s="3">
        <v>8019</v>
      </c>
      <c r="I19">
        <v>1.7999999999999999E-2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45951.771909722222</v>
      </c>
      <c r="R19">
        <v>392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45951.771909722222</v>
      </c>
      <c r="AF19">
        <v>392</v>
      </c>
      <c r="AG19" t="s">
        <v>13</v>
      </c>
      <c r="AH19">
        <v>0</v>
      </c>
      <c r="AI19">
        <v>12.3</v>
      </c>
      <c r="AJ19" s="3">
        <v>29961</v>
      </c>
      <c r="AK19">
        <v>6.4649999999999999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25.199294937973001</v>
      </c>
      <c r="AU19" s="17">
        <f t="shared" si="11"/>
        <v>6644.0714491645303</v>
      </c>
      <c r="AW19" s="6">
        <f t="shared" si="12"/>
        <v>14.233486753299999</v>
      </c>
      <c r="AX19" s="7">
        <f t="shared" si="13"/>
        <v>6066.3303779840799</v>
      </c>
      <c r="AZ19" s="11">
        <f t="shared" si="14"/>
        <v>9.2338199399999983</v>
      </c>
      <c r="BA19" s="12">
        <f t="shared" si="15"/>
        <v>6879.3405802718989</v>
      </c>
      <c r="BC19" s="13">
        <f t="shared" si="16"/>
        <v>19.533958187540001</v>
      </c>
      <c r="BD19" s="14">
        <f t="shared" si="17"/>
        <v>6122.4248410441996</v>
      </c>
      <c r="BF19" s="16">
        <f t="shared" si="18"/>
        <v>25.199294937973001</v>
      </c>
      <c r="BG19" s="17">
        <f t="shared" si="19"/>
        <v>6644.0714491645303</v>
      </c>
      <c r="BI19">
        <v>55</v>
      </c>
      <c r="BJ19" t="s">
        <v>45</v>
      </c>
      <c r="BK19" s="2">
        <v>45951.771909722222</v>
      </c>
      <c r="BL19">
        <v>392</v>
      </c>
      <c r="BM19" t="s">
        <v>13</v>
      </c>
      <c r="BN19">
        <v>0</v>
      </c>
      <c r="BO19">
        <v>2.8730000000000002</v>
      </c>
      <c r="BP19" s="3">
        <v>1046328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45951.793136574073</v>
      </c>
      <c r="D20">
        <v>282</v>
      </c>
      <c r="E20" t="s">
        <v>13</v>
      </c>
      <c r="F20">
        <v>0</v>
      </c>
      <c r="G20">
        <v>6.0540000000000003</v>
      </c>
      <c r="H20" s="3">
        <v>3275260</v>
      </c>
      <c r="I20">
        <v>7.44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45951.793136574073</v>
      </c>
      <c r="R20">
        <v>282</v>
      </c>
      <c r="S20" t="s">
        <v>13</v>
      </c>
      <c r="T20">
        <v>0</v>
      </c>
      <c r="U20">
        <v>6.0060000000000002</v>
      </c>
      <c r="V20" s="3">
        <v>24431</v>
      </c>
      <c r="W20">
        <v>6.1269999999999998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45951.793136574073</v>
      </c>
      <c r="AF20">
        <v>282</v>
      </c>
      <c r="AG20" t="s">
        <v>13</v>
      </c>
      <c r="AH20">
        <v>0</v>
      </c>
      <c r="AI20">
        <v>12.292999999999999</v>
      </c>
      <c r="AJ20" s="3">
        <v>39740</v>
      </c>
      <c r="AK20">
        <v>8.6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6847.485394183308</v>
      </c>
      <c r="AU20" s="17">
        <f t="shared" si="11"/>
        <v>8837.3033388680014</v>
      </c>
      <c r="AW20" s="6">
        <f t="shared" si="12"/>
        <v>6252.1326865118199</v>
      </c>
      <c r="AX20" s="7">
        <f t="shared" si="13"/>
        <v>8070.2550908479998</v>
      </c>
      <c r="AZ20" s="11">
        <f t="shared" si="14"/>
        <v>6308.5760979426414</v>
      </c>
      <c r="BA20" s="12">
        <f t="shared" si="15"/>
        <v>8954.5360476400001</v>
      </c>
      <c r="BC20" s="13">
        <f t="shared" si="16"/>
        <v>7109.3727459808797</v>
      </c>
      <c r="BD20" s="14">
        <f t="shared" si="17"/>
        <v>8086.35979752</v>
      </c>
      <c r="BF20" s="16">
        <f t="shared" si="18"/>
        <v>6847.485394183308</v>
      </c>
      <c r="BG20" s="17">
        <f t="shared" si="19"/>
        <v>8837.3033388680014</v>
      </c>
      <c r="BI20">
        <v>56</v>
      </c>
      <c r="BJ20" t="s">
        <v>46</v>
      </c>
      <c r="BK20" s="2">
        <v>45951.793136574073</v>
      </c>
      <c r="BL20">
        <v>282</v>
      </c>
      <c r="BM20" t="s">
        <v>13</v>
      </c>
      <c r="BN20">
        <v>0</v>
      </c>
      <c r="BO20">
        <v>2.879</v>
      </c>
      <c r="BP20" s="3">
        <v>910884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45951.814363425925</v>
      </c>
      <c r="D21">
        <v>234</v>
      </c>
      <c r="E21" t="s">
        <v>13</v>
      </c>
      <c r="F21">
        <v>0</v>
      </c>
      <c r="G21">
        <v>6.1150000000000002</v>
      </c>
      <c r="H21" s="3">
        <v>1298</v>
      </c>
      <c r="I21">
        <v>3.0000000000000001E-3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45951.814363425925</v>
      </c>
      <c r="R21">
        <v>234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45951.814363425925</v>
      </c>
      <c r="AF21">
        <v>234</v>
      </c>
      <c r="AG21" t="s">
        <v>13</v>
      </c>
      <c r="AH21">
        <v>0</v>
      </c>
      <c r="AI21" t="s">
        <v>14</v>
      </c>
      <c r="AJ21" s="3" t="s">
        <v>14</v>
      </c>
      <c r="AK21" t="s">
        <v>14</v>
      </c>
      <c r="AL21" t="s">
        <v>14</v>
      </c>
      <c r="AM21" t="s">
        <v>14</v>
      </c>
      <c r="AN21" t="s">
        <v>14</v>
      </c>
      <c r="AO21" t="s">
        <v>14</v>
      </c>
      <c r="AQ21">
        <v>2</v>
      </c>
      <c r="AR21" t="s">
        <v>80</v>
      </c>
      <c r="AS21" s="10">
        <v>57</v>
      </c>
      <c r="AT21" s="16">
        <f t="shared" si="10"/>
        <v>1.264945040372</v>
      </c>
      <c r="AU21" s="17" t="e">
        <f t="shared" si="11"/>
        <v>#VALUE!</v>
      </c>
      <c r="AW21" s="6">
        <f t="shared" si="12"/>
        <v>-0.47649777879999999</v>
      </c>
      <c r="AX21" s="7" t="e">
        <f t="shared" si="13"/>
        <v>#VALUE!</v>
      </c>
      <c r="AZ21" s="11">
        <f t="shared" si="14"/>
        <v>7.4448241600000005</v>
      </c>
      <c r="BA21" s="12" t="e">
        <f t="shared" si="15"/>
        <v>#VALUE!</v>
      </c>
      <c r="BC21" s="13">
        <f t="shared" si="16"/>
        <v>-0.53073629944</v>
      </c>
      <c r="BD21" s="14" t="e">
        <f t="shared" si="17"/>
        <v>#VALUE!</v>
      </c>
      <c r="BF21" s="16">
        <f t="shared" si="18"/>
        <v>1.264945040372</v>
      </c>
      <c r="BG21" s="17" t="e">
        <f t="shared" si="19"/>
        <v>#VALUE!</v>
      </c>
      <c r="BI21">
        <v>57</v>
      </c>
      <c r="BJ21" t="s">
        <v>47</v>
      </c>
      <c r="BK21" s="2">
        <v>45951.814363425925</v>
      </c>
      <c r="BL21">
        <v>234</v>
      </c>
      <c r="BM21" t="s">
        <v>13</v>
      </c>
      <c r="BN21">
        <v>0</v>
      </c>
      <c r="BO21">
        <v>2.8849999999999998</v>
      </c>
      <c r="BP21" s="3">
        <v>757418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45951.835590277777</v>
      </c>
      <c r="D22">
        <v>49</v>
      </c>
      <c r="E22" t="s">
        <v>13</v>
      </c>
      <c r="F22">
        <v>0</v>
      </c>
      <c r="G22">
        <v>6.0629999999999997</v>
      </c>
      <c r="H22" s="3">
        <v>69474</v>
      </c>
      <c r="I22">
        <v>0.157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45951.835590277777</v>
      </c>
      <c r="R22">
        <v>49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45951.835590277777</v>
      </c>
      <c r="AF22">
        <v>49</v>
      </c>
      <c r="AG22" t="s">
        <v>13</v>
      </c>
      <c r="AH22">
        <v>0</v>
      </c>
      <c r="AI22">
        <v>12.214</v>
      </c>
      <c r="AJ22" s="3">
        <v>22361</v>
      </c>
      <c r="AK22">
        <v>4.8029999999999999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188.23886255421198</v>
      </c>
      <c r="AU22" s="17">
        <f t="shared" si="11"/>
        <v>4933.0639972685303</v>
      </c>
      <c r="AW22" s="6">
        <f t="shared" si="12"/>
        <v>160.26621468211493</v>
      </c>
      <c r="AX22" s="7">
        <f t="shared" si="13"/>
        <v>4505.5583345280802</v>
      </c>
      <c r="AZ22" s="11">
        <f t="shared" si="14"/>
        <v>193.37777596194803</v>
      </c>
      <c r="BA22" s="12">
        <f t="shared" si="15"/>
        <v>5206.3074681918997</v>
      </c>
      <c r="BC22" s="13">
        <f t="shared" si="16"/>
        <v>195.6901933279712</v>
      </c>
      <c r="BD22" s="14">
        <f t="shared" si="17"/>
        <v>4588.2041436042009</v>
      </c>
      <c r="BF22" s="16">
        <f t="shared" si="18"/>
        <v>188.23886255421198</v>
      </c>
      <c r="BG22" s="17">
        <f t="shared" si="19"/>
        <v>4933.0639972685303</v>
      </c>
      <c r="BI22">
        <v>58</v>
      </c>
      <c r="BJ22" t="s">
        <v>48</v>
      </c>
      <c r="BK22" s="2">
        <v>45951.835590277777</v>
      </c>
      <c r="BL22">
        <v>49</v>
      </c>
      <c r="BM22" t="s">
        <v>13</v>
      </c>
      <c r="BN22">
        <v>0</v>
      </c>
      <c r="BO22">
        <v>2.8820000000000001</v>
      </c>
      <c r="BP22" s="3">
        <v>855536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45951.856805555559</v>
      </c>
      <c r="D23">
        <v>375</v>
      </c>
      <c r="E23" t="s">
        <v>13</v>
      </c>
      <c r="F23">
        <v>0</v>
      </c>
      <c r="G23">
        <v>6.0670000000000002</v>
      </c>
      <c r="H23" s="3">
        <v>13199</v>
      </c>
      <c r="I23">
        <v>0.03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45951.856805555559</v>
      </c>
      <c r="R23">
        <v>375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45951.856805555559</v>
      </c>
      <c r="AF23">
        <v>375</v>
      </c>
      <c r="AG23" t="s">
        <v>13</v>
      </c>
      <c r="AH23">
        <v>0</v>
      </c>
      <c r="AI23">
        <v>12.242000000000001</v>
      </c>
      <c r="AJ23" s="3">
        <v>21449</v>
      </c>
      <c r="AK23">
        <v>4.6040000000000001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38.532899822937004</v>
      </c>
      <c r="AU23" s="17">
        <f t="shared" si="11"/>
        <v>4727.3621753789303</v>
      </c>
      <c r="AW23" s="6">
        <f t="shared" si="12"/>
        <v>28.50722083657546</v>
      </c>
      <c r="AX23" s="7">
        <f t="shared" si="13"/>
        <v>4318.06757898248</v>
      </c>
      <c r="AZ23" s="11">
        <f t="shared" si="14"/>
        <v>29.469822151222999</v>
      </c>
      <c r="BA23" s="12">
        <f t="shared" si="15"/>
        <v>5002.0028159838994</v>
      </c>
      <c r="BC23" s="13">
        <f t="shared" si="16"/>
        <v>33.892588112031206</v>
      </c>
      <c r="BD23" s="14">
        <f t="shared" si="17"/>
        <v>4403.6334358602007</v>
      </c>
      <c r="BF23" s="16">
        <f t="shared" si="18"/>
        <v>38.532899822937004</v>
      </c>
      <c r="BG23" s="17">
        <f t="shared" si="19"/>
        <v>4727.3621753789303</v>
      </c>
      <c r="BI23">
        <v>59</v>
      </c>
      <c r="BJ23" t="s">
        <v>49</v>
      </c>
      <c r="BK23" s="2">
        <v>45951.856805555559</v>
      </c>
      <c r="BL23">
        <v>375</v>
      </c>
      <c r="BM23" t="s">
        <v>13</v>
      </c>
      <c r="BN23">
        <v>0</v>
      </c>
      <c r="BO23">
        <v>2.8849999999999998</v>
      </c>
      <c r="BP23" s="3">
        <v>802217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45951.878020833334</v>
      </c>
      <c r="D24">
        <v>388</v>
      </c>
      <c r="E24" t="s">
        <v>13</v>
      </c>
      <c r="F24">
        <v>0</v>
      </c>
      <c r="G24">
        <v>6.0750000000000002</v>
      </c>
      <c r="H24" s="3">
        <v>6384</v>
      </c>
      <c r="I24">
        <v>1.4999999999999999E-2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45951.878020833334</v>
      </c>
      <c r="R24">
        <v>388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45951.878020833334</v>
      </c>
      <c r="AF24">
        <v>388</v>
      </c>
      <c r="AG24" t="s">
        <v>13</v>
      </c>
      <c r="AH24">
        <v>0</v>
      </c>
      <c r="AI24">
        <v>12.276</v>
      </c>
      <c r="AJ24" s="3">
        <v>29026</v>
      </c>
      <c r="AK24">
        <v>6.26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19.306224087807998</v>
      </c>
      <c r="AU24" s="17">
        <f t="shared" si="11"/>
        <v>6433.8782992686811</v>
      </c>
      <c r="AW24" s="6">
        <f t="shared" si="12"/>
        <v>9.4467693568000008</v>
      </c>
      <c r="AX24" s="7">
        <f t="shared" si="13"/>
        <v>5874.47337858848</v>
      </c>
      <c r="AZ24" s="11">
        <f t="shared" si="14"/>
        <v>4.3081862399999995</v>
      </c>
      <c r="BA24" s="12">
        <f t="shared" si="15"/>
        <v>6676.3557928763994</v>
      </c>
      <c r="BC24" s="13">
        <f t="shared" si="16"/>
        <v>14.177718755839997</v>
      </c>
      <c r="BD24" s="14">
        <f t="shared" si="17"/>
        <v>5934.0479811752002</v>
      </c>
      <c r="BF24" s="16">
        <f t="shared" si="18"/>
        <v>19.306224087807998</v>
      </c>
      <c r="BG24" s="17">
        <f t="shared" si="19"/>
        <v>6433.8782992686811</v>
      </c>
      <c r="BI24">
        <v>60</v>
      </c>
      <c r="BJ24" t="s">
        <v>50</v>
      </c>
      <c r="BK24" s="2">
        <v>45951.878020833334</v>
      </c>
      <c r="BL24">
        <v>388</v>
      </c>
      <c r="BM24" t="s">
        <v>13</v>
      </c>
      <c r="BN24">
        <v>0</v>
      </c>
      <c r="BO24">
        <v>2.8820000000000001</v>
      </c>
      <c r="BP24" s="3">
        <v>846333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45951.899247685185</v>
      </c>
      <c r="D25">
        <v>366</v>
      </c>
      <c r="E25" t="s">
        <v>13</v>
      </c>
      <c r="F25">
        <v>0</v>
      </c>
      <c r="G25">
        <v>6.0620000000000003</v>
      </c>
      <c r="H25" s="3">
        <v>48247</v>
      </c>
      <c r="I25">
        <v>0.109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45951.899247685185</v>
      </c>
      <c r="R25">
        <v>366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45951.899247685185</v>
      </c>
      <c r="AF25">
        <v>366</v>
      </c>
      <c r="AG25" t="s">
        <v>13</v>
      </c>
      <c r="AH25">
        <v>0</v>
      </c>
      <c r="AI25">
        <v>12.255000000000001</v>
      </c>
      <c r="AJ25" s="3">
        <v>22196</v>
      </c>
      <c r="AK25">
        <v>4.7670000000000003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131.96524969863299</v>
      </c>
      <c r="AU25" s="17">
        <f t="shared" si="11"/>
        <v>4895.8542552468798</v>
      </c>
      <c r="AW25" s="6">
        <f t="shared" si="12"/>
        <v>110.62647716185514</v>
      </c>
      <c r="AX25" s="7">
        <f t="shared" si="13"/>
        <v>4471.6404551436799</v>
      </c>
      <c r="AZ25" s="11">
        <f t="shared" si="14"/>
        <v>132.724722964807</v>
      </c>
      <c r="BA25" s="12">
        <f t="shared" si="15"/>
        <v>5169.4006720623993</v>
      </c>
      <c r="BC25" s="13">
        <f t="shared" si="16"/>
        <v>134.87479215500082</v>
      </c>
      <c r="BD25" s="14">
        <f t="shared" si="17"/>
        <v>4554.8187875231997</v>
      </c>
      <c r="BF25" s="16">
        <f t="shared" si="18"/>
        <v>131.96524969863299</v>
      </c>
      <c r="BG25" s="17">
        <f t="shared" si="19"/>
        <v>4895.8542552468798</v>
      </c>
      <c r="BI25">
        <v>61</v>
      </c>
      <c r="BJ25" t="s">
        <v>51</v>
      </c>
      <c r="BK25" s="2">
        <v>45951.899247685185</v>
      </c>
      <c r="BL25">
        <v>366</v>
      </c>
      <c r="BM25" t="s">
        <v>13</v>
      </c>
      <c r="BN25">
        <v>0</v>
      </c>
      <c r="BO25">
        <v>2.8860000000000001</v>
      </c>
      <c r="BP25" s="3">
        <v>770338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45951.920474537037</v>
      </c>
      <c r="D26">
        <v>340</v>
      </c>
      <c r="E26" t="s">
        <v>13</v>
      </c>
      <c r="F26">
        <v>0</v>
      </c>
      <c r="G26">
        <v>6.0679999999999996</v>
      </c>
      <c r="H26" s="3">
        <v>10910</v>
      </c>
      <c r="I26">
        <v>2.5000000000000001E-2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45951.920474537037</v>
      </c>
      <c r="R26">
        <v>340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45951.920474537037</v>
      </c>
      <c r="AF26">
        <v>340</v>
      </c>
      <c r="AG26" t="s">
        <v>13</v>
      </c>
      <c r="AH26">
        <v>0</v>
      </c>
      <c r="AI26">
        <v>12.298999999999999</v>
      </c>
      <c r="AJ26" s="3">
        <v>17689</v>
      </c>
      <c r="AK26">
        <v>3.7810000000000001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32.408315609699997</v>
      </c>
      <c r="AU26" s="17">
        <f t="shared" si="11"/>
        <v>3878.4312616205307</v>
      </c>
      <c r="AW26" s="6">
        <f t="shared" si="12"/>
        <v>23.137093476825999</v>
      </c>
      <c r="AX26" s="7">
        <f t="shared" si="13"/>
        <v>3544.6310736000801</v>
      </c>
      <c r="AZ26" s="11">
        <f t="shared" si="14"/>
        <v>22.5914226863</v>
      </c>
      <c r="BA26" s="12">
        <f t="shared" si="15"/>
        <v>4151.6819811518999</v>
      </c>
      <c r="BC26" s="13">
        <f t="shared" si="16"/>
        <v>27.27271468472</v>
      </c>
      <c r="BD26" s="14">
        <f t="shared" si="17"/>
        <v>3641.6335368841997</v>
      </c>
      <c r="BF26" s="16">
        <f t="shared" si="18"/>
        <v>32.408315609699997</v>
      </c>
      <c r="BG26" s="17">
        <f t="shared" si="19"/>
        <v>3878.4312616205307</v>
      </c>
      <c r="BI26">
        <v>62</v>
      </c>
      <c r="BJ26" t="s">
        <v>52</v>
      </c>
      <c r="BK26" s="2">
        <v>45951.920474537037</v>
      </c>
      <c r="BL26">
        <v>340</v>
      </c>
      <c r="BM26" t="s">
        <v>13</v>
      </c>
      <c r="BN26">
        <v>0</v>
      </c>
      <c r="BO26">
        <v>2.88</v>
      </c>
      <c r="BP26" s="3">
        <v>882264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45951.941712962966</v>
      </c>
      <c r="D27">
        <v>86</v>
      </c>
      <c r="E27" t="s">
        <v>13</v>
      </c>
      <c r="F27">
        <v>0</v>
      </c>
      <c r="G27">
        <v>6.0960000000000001</v>
      </c>
      <c r="H27" s="3">
        <v>2551</v>
      </c>
      <c r="I27">
        <v>6.0000000000000001E-3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45951.941712962966</v>
      </c>
      <c r="R27">
        <v>86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45951.941712962966</v>
      </c>
      <c r="AF27">
        <v>86</v>
      </c>
      <c r="AG27" t="s">
        <v>13</v>
      </c>
      <c r="AH27">
        <v>0</v>
      </c>
      <c r="AI27">
        <v>12.247999999999999</v>
      </c>
      <c r="AJ27" s="3">
        <v>49994</v>
      </c>
      <c r="AK27">
        <v>10.836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5.6688510552929987</v>
      </c>
      <c r="AU27" s="17">
        <f t="shared" si="11"/>
        <v>11297.768171617681</v>
      </c>
      <c r="AW27" s="6">
        <f t="shared" si="12"/>
        <v>1.2703843253</v>
      </c>
      <c r="AX27" s="7">
        <f t="shared" si="13"/>
        <v>10166.275111081279</v>
      </c>
      <c r="AZ27" s="11">
        <f t="shared" si="14"/>
        <v>4.0785895399999994</v>
      </c>
      <c r="BA27" s="12">
        <f t="shared" si="15"/>
        <v>10504.2883385276</v>
      </c>
      <c r="BC27" s="13">
        <f t="shared" si="16"/>
        <v>2.8184473211399999</v>
      </c>
      <c r="BD27" s="14">
        <f t="shared" si="17"/>
        <v>9703.0016171349198</v>
      </c>
      <c r="BF27" s="16">
        <f t="shared" si="18"/>
        <v>5.6688510552929987</v>
      </c>
      <c r="BG27" s="17">
        <f t="shared" si="19"/>
        <v>11297.768171617681</v>
      </c>
      <c r="BI27">
        <v>63</v>
      </c>
      <c r="BJ27" t="s">
        <v>53</v>
      </c>
      <c r="BK27" s="2">
        <v>45951.941712962966</v>
      </c>
      <c r="BL27">
        <v>86</v>
      </c>
      <c r="BM27" t="s">
        <v>13</v>
      </c>
      <c r="BN27">
        <v>0</v>
      </c>
      <c r="BO27">
        <v>2.879</v>
      </c>
      <c r="BP27" s="3">
        <v>877982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45951.962916666664</v>
      </c>
      <c r="D28">
        <v>99</v>
      </c>
      <c r="E28" t="s">
        <v>13</v>
      </c>
      <c r="F28">
        <v>0</v>
      </c>
      <c r="G28">
        <v>6.07</v>
      </c>
      <c r="H28" s="3">
        <v>20086</v>
      </c>
      <c r="I28">
        <v>4.5999999999999999E-2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45951.962916666664</v>
      </c>
      <c r="R28">
        <v>99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45951.962916666664</v>
      </c>
      <c r="AF28">
        <v>99</v>
      </c>
      <c r="AG28" t="s">
        <v>13</v>
      </c>
      <c r="AH28">
        <v>0</v>
      </c>
      <c r="AI28">
        <v>12.272</v>
      </c>
      <c r="AJ28" s="3">
        <v>19645</v>
      </c>
      <c r="AK28">
        <v>4.2089999999999996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56.943545334852004</v>
      </c>
      <c r="AU28" s="17">
        <f t="shared" si="11"/>
        <v>4320.2291099532504</v>
      </c>
      <c r="AW28" s="6">
        <f t="shared" si="12"/>
        <v>44.659434346726158</v>
      </c>
      <c r="AX28" s="7">
        <f t="shared" si="13"/>
        <v>3947.0726678420001</v>
      </c>
      <c r="AZ28" s="11">
        <f t="shared" si="14"/>
        <v>50.065461456508004</v>
      </c>
      <c r="BA28" s="12">
        <f t="shared" si="15"/>
        <v>4595.6391399975</v>
      </c>
      <c r="BC28" s="13">
        <f t="shared" si="16"/>
        <v>53.791798392035204</v>
      </c>
      <c r="BD28" s="14">
        <f t="shared" si="17"/>
        <v>4038.2466237049998</v>
      </c>
      <c r="BF28" s="16">
        <f t="shared" si="18"/>
        <v>56.943545334852004</v>
      </c>
      <c r="BG28" s="17">
        <f t="shared" si="19"/>
        <v>4320.2291099532504</v>
      </c>
      <c r="BI28">
        <v>64</v>
      </c>
      <c r="BJ28" t="s">
        <v>54</v>
      </c>
      <c r="BK28" s="2">
        <v>45951.962916666664</v>
      </c>
      <c r="BL28">
        <v>99</v>
      </c>
      <c r="BM28" t="s">
        <v>13</v>
      </c>
      <c r="BN28">
        <v>0</v>
      </c>
      <c r="BO28">
        <v>2.88</v>
      </c>
      <c r="BP28" s="3">
        <v>998045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45951.984143518515</v>
      </c>
      <c r="D29">
        <v>131</v>
      </c>
      <c r="E29" t="s">
        <v>13</v>
      </c>
      <c r="F29">
        <v>0</v>
      </c>
      <c r="G29">
        <v>6.0780000000000003</v>
      </c>
      <c r="H29" s="3">
        <v>2362</v>
      </c>
      <c r="I29">
        <v>6.0000000000000001E-3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45951.984143518515</v>
      </c>
      <c r="R29">
        <v>131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45951.984143518515</v>
      </c>
      <c r="AF29">
        <v>131</v>
      </c>
      <c r="AG29" t="s">
        <v>13</v>
      </c>
      <c r="AH29">
        <v>0</v>
      </c>
      <c r="AI29">
        <v>12.259</v>
      </c>
      <c r="AJ29" s="3">
        <v>43896</v>
      </c>
      <c r="AK29" s="15">
        <v>9.5060000000000002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5.0028668206920006</v>
      </c>
      <c r="AU29" s="17">
        <f t="shared" si="11"/>
        <v>9766.5682378988804</v>
      </c>
      <c r="AW29" s="6">
        <f t="shared" si="12"/>
        <v>0.97766889319999994</v>
      </c>
      <c r="AX29" s="7">
        <f t="shared" si="13"/>
        <v>8920.4297630156798</v>
      </c>
      <c r="AZ29" s="11">
        <f t="shared" si="14"/>
        <v>4.4777537600000006</v>
      </c>
      <c r="BA29" s="12">
        <f t="shared" si="15"/>
        <v>9810.0636940224013</v>
      </c>
      <c r="BC29" s="13">
        <f t="shared" si="16"/>
        <v>2.3017725741599993</v>
      </c>
      <c r="BD29" s="14">
        <f t="shared" si="17"/>
        <v>8917.5538428032014</v>
      </c>
      <c r="BF29" s="16">
        <f t="shared" si="18"/>
        <v>5.0028668206920006</v>
      </c>
      <c r="BG29" s="17">
        <f t="shared" si="19"/>
        <v>9766.5682378988804</v>
      </c>
      <c r="BI29">
        <v>65</v>
      </c>
      <c r="BJ29" t="s">
        <v>55</v>
      </c>
      <c r="BK29" s="2">
        <v>45951.984143518515</v>
      </c>
      <c r="BL29">
        <v>131</v>
      </c>
      <c r="BM29" t="s">
        <v>13</v>
      </c>
      <c r="BN29">
        <v>0</v>
      </c>
      <c r="BO29">
        <v>2.883</v>
      </c>
      <c r="BP29" s="3">
        <v>803562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45952.005370370367</v>
      </c>
      <c r="D30">
        <v>355</v>
      </c>
      <c r="E30" t="s">
        <v>13</v>
      </c>
      <c r="F30">
        <v>0</v>
      </c>
      <c r="G30">
        <v>6.069</v>
      </c>
      <c r="H30" s="3">
        <v>15150</v>
      </c>
      <c r="I30">
        <v>3.5000000000000003E-2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45952.005370370367</v>
      </c>
      <c r="R30">
        <v>355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45952.005370370367</v>
      </c>
      <c r="AF30">
        <v>355</v>
      </c>
      <c r="AG30" t="s">
        <v>13</v>
      </c>
      <c r="AH30">
        <v>0</v>
      </c>
      <c r="AI30">
        <v>12.294</v>
      </c>
      <c r="AJ30" s="3">
        <v>18050</v>
      </c>
      <c r="AK30">
        <v>3.86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si="10"/>
        <v>43.750935582500006</v>
      </c>
      <c r="AU30" s="17">
        <f t="shared" si="11"/>
        <v>3959.9978713250007</v>
      </c>
      <c r="AW30" s="6">
        <f t="shared" si="12"/>
        <v>33.083714257849998</v>
      </c>
      <c r="AX30" s="7">
        <f t="shared" si="13"/>
        <v>3618.9205202000003</v>
      </c>
      <c r="AZ30" s="11">
        <f t="shared" si="14"/>
        <v>35.319493017500001</v>
      </c>
      <c r="BA30" s="12">
        <f t="shared" si="15"/>
        <v>4233.8814797499999</v>
      </c>
      <c r="BC30" s="13">
        <f t="shared" si="16"/>
        <v>39.532563902000007</v>
      </c>
      <c r="BD30" s="14">
        <f t="shared" si="17"/>
        <v>3714.8670105000001</v>
      </c>
      <c r="BF30" s="16">
        <f t="shared" si="18"/>
        <v>43.750935582500006</v>
      </c>
      <c r="BG30" s="17">
        <f t="shared" si="19"/>
        <v>3959.9978713250007</v>
      </c>
      <c r="BI30">
        <v>66</v>
      </c>
      <c r="BJ30" t="s">
        <v>56</v>
      </c>
      <c r="BK30" s="2">
        <v>45952.005370370367</v>
      </c>
      <c r="BL30">
        <v>355</v>
      </c>
      <c r="BM30" t="s">
        <v>13</v>
      </c>
      <c r="BN30">
        <v>0</v>
      </c>
      <c r="BO30">
        <v>2.8889999999999998</v>
      </c>
      <c r="BP30" s="3">
        <v>840986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45952.026597222219</v>
      </c>
      <c r="D31">
        <v>30</v>
      </c>
      <c r="E31" t="s">
        <v>13</v>
      </c>
      <c r="F31">
        <v>0</v>
      </c>
      <c r="G31">
        <v>6.0990000000000002</v>
      </c>
      <c r="H31" s="3">
        <v>1404</v>
      </c>
      <c r="I31">
        <v>4.0000000000000001E-3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45952.026597222219</v>
      </c>
      <c r="R31">
        <v>30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45952.026597222219</v>
      </c>
      <c r="AF31">
        <v>30</v>
      </c>
      <c r="AG31" t="s">
        <v>13</v>
      </c>
      <c r="AH31">
        <v>0</v>
      </c>
      <c r="AI31">
        <v>12.189</v>
      </c>
      <c r="AJ31" s="3">
        <v>85059</v>
      </c>
      <c r="AK31">
        <v>18.454999999999998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10"/>
        <v>1.6364695374879989</v>
      </c>
      <c r="AU31" s="17">
        <f t="shared" si="11"/>
        <v>18775.93124443178</v>
      </c>
      <c r="AW31" s="6">
        <f t="shared" si="12"/>
        <v>-0.34638271520000008</v>
      </c>
      <c r="AX31" s="7">
        <f t="shared" si="13"/>
        <v>17293.357245564879</v>
      </c>
      <c r="AZ31" s="11">
        <f t="shared" si="14"/>
        <v>7.0943966400000011</v>
      </c>
      <c r="BA31" s="12">
        <f t="shared" si="15"/>
        <v>18996.201430627101</v>
      </c>
      <c r="BC31" s="13">
        <f t="shared" si="16"/>
        <v>-0.25435271776000024</v>
      </c>
      <c r="BD31" s="14">
        <f t="shared" si="17"/>
        <v>16823.113845451571</v>
      </c>
      <c r="BF31" s="16">
        <f t="shared" si="18"/>
        <v>1.6364695374879989</v>
      </c>
      <c r="BG31" s="17">
        <f t="shared" si="19"/>
        <v>18775.93124443178</v>
      </c>
      <c r="BI31">
        <v>67</v>
      </c>
      <c r="BJ31" t="s">
        <v>57</v>
      </c>
      <c r="BK31" s="2">
        <v>45952.026597222219</v>
      </c>
      <c r="BL31">
        <v>30</v>
      </c>
      <c r="BM31" t="s">
        <v>13</v>
      </c>
      <c r="BN31">
        <v>0</v>
      </c>
      <c r="BO31">
        <v>2.8769999999999998</v>
      </c>
      <c r="BP31" s="3">
        <v>891594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45952.047812500001</v>
      </c>
      <c r="D32">
        <v>265</v>
      </c>
      <c r="E32" t="s">
        <v>13</v>
      </c>
      <c r="F32">
        <v>0</v>
      </c>
      <c r="G32">
        <v>6.0609999999999999</v>
      </c>
      <c r="H32" s="3">
        <v>12800</v>
      </c>
      <c r="I32">
        <v>2.9000000000000001E-2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45952.047812500001</v>
      </c>
      <c r="R32">
        <v>265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45952.047812500001</v>
      </c>
      <c r="AF32">
        <v>265</v>
      </c>
      <c r="AG32" t="s">
        <v>13</v>
      </c>
      <c r="AH32">
        <v>0</v>
      </c>
      <c r="AI32">
        <v>12.279</v>
      </c>
      <c r="AJ32" s="3">
        <v>23545</v>
      </c>
      <c r="AK32">
        <v>5.0620000000000003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68</v>
      </c>
      <c r="AT32" s="16">
        <f t="shared" si="10"/>
        <v>37.465510080000001</v>
      </c>
      <c r="AU32" s="17">
        <f t="shared" si="11"/>
        <v>5199.9937100832503</v>
      </c>
      <c r="AW32" s="6">
        <f t="shared" si="12"/>
        <v>27.5712043264</v>
      </c>
      <c r="AX32" s="7">
        <f t="shared" si="13"/>
        <v>4748.9040535220001</v>
      </c>
      <c r="AZ32" s="11">
        <f t="shared" si="14"/>
        <v>28.27202432</v>
      </c>
      <c r="BA32" s="12">
        <f t="shared" si="15"/>
        <v>5470.413199897499</v>
      </c>
      <c r="BC32" s="13">
        <f t="shared" si="16"/>
        <v>32.738883008000002</v>
      </c>
      <c r="BD32" s="14">
        <f t="shared" si="17"/>
        <v>4827.6738519049995</v>
      </c>
      <c r="BF32" s="16">
        <f t="shared" si="18"/>
        <v>37.465510080000001</v>
      </c>
      <c r="BG32" s="17">
        <f t="shared" si="19"/>
        <v>5199.9937100832503</v>
      </c>
      <c r="BI32">
        <v>68</v>
      </c>
      <c r="BJ32" t="s">
        <v>58</v>
      </c>
      <c r="BK32" s="2">
        <v>45952.047812500001</v>
      </c>
      <c r="BL32">
        <v>265</v>
      </c>
      <c r="BM32" t="s">
        <v>13</v>
      </c>
      <c r="BN32">
        <v>0</v>
      </c>
      <c r="BO32">
        <v>2.8730000000000002</v>
      </c>
      <c r="BP32" s="3">
        <v>980455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45952.069062499999</v>
      </c>
      <c r="D33">
        <v>305</v>
      </c>
      <c r="E33" t="s">
        <v>13</v>
      </c>
      <c r="F33">
        <v>0</v>
      </c>
      <c r="G33">
        <v>6.1379999999999999</v>
      </c>
      <c r="H33" s="3">
        <v>826</v>
      </c>
      <c r="I33">
        <v>2E-3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45952.069062499999</v>
      </c>
      <c r="R33">
        <v>305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45952.069062499999</v>
      </c>
      <c r="AF33">
        <v>305</v>
      </c>
      <c r="AG33" t="s">
        <v>13</v>
      </c>
      <c r="AH33">
        <v>0</v>
      </c>
      <c r="AI33">
        <v>12.067</v>
      </c>
      <c r="AJ33" s="3">
        <v>247938</v>
      </c>
      <c r="AK33">
        <v>53.351999999999997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10">
        <v>69</v>
      </c>
      <c r="AT33" s="16">
        <f t="shared" si="10"/>
        <v>-0.38707342993200022</v>
      </c>
      <c r="AU33" s="17">
        <f t="shared" si="11"/>
        <v>53170.042665416717</v>
      </c>
      <c r="AW33" s="6">
        <f t="shared" si="12"/>
        <v>-1.0162378971999999</v>
      </c>
      <c r="AX33" s="7">
        <f t="shared" si="13"/>
        <v>49576.287212941119</v>
      </c>
      <c r="AZ33" s="11">
        <f t="shared" si="14"/>
        <v>9.1525390400000006</v>
      </c>
      <c r="BA33" s="12">
        <f t="shared" si="15"/>
        <v>57122.986599580399</v>
      </c>
      <c r="BC33" s="13">
        <f t="shared" si="16"/>
        <v>-1.74583674936</v>
      </c>
      <c r="BD33" s="14">
        <f t="shared" si="17"/>
        <v>49121.707158188685</v>
      </c>
      <c r="BF33" s="16">
        <f t="shared" si="18"/>
        <v>-0.38707342993200022</v>
      </c>
      <c r="BG33" s="17">
        <f t="shared" si="19"/>
        <v>53170.042665416717</v>
      </c>
      <c r="BI33">
        <v>69</v>
      </c>
      <c r="BJ33" t="s">
        <v>59</v>
      </c>
      <c r="BK33" s="2">
        <v>45952.069062499999</v>
      </c>
      <c r="BL33">
        <v>305</v>
      </c>
      <c r="BM33" t="s">
        <v>13</v>
      </c>
      <c r="BN33">
        <v>0</v>
      </c>
      <c r="BO33">
        <v>2.8730000000000002</v>
      </c>
      <c r="BP33" s="3">
        <v>942460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45952.090289351851</v>
      </c>
      <c r="D34">
        <v>180</v>
      </c>
      <c r="E34" t="s">
        <v>13</v>
      </c>
      <c r="F34">
        <v>0</v>
      </c>
      <c r="G34">
        <v>6.077</v>
      </c>
      <c r="H34" s="3">
        <v>2054</v>
      </c>
      <c r="I34">
        <v>5.0000000000000001E-3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45952.090289351851</v>
      </c>
      <c r="R34">
        <v>180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45952.090289351851</v>
      </c>
      <c r="AF34">
        <v>180</v>
      </c>
      <c r="AG34" t="s">
        <v>13</v>
      </c>
      <c r="AH34">
        <v>0</v>
      </c>
      <c r="AI34">
        <v>12.257</v>
      </c>
      <c r="AJ34" s="3">
        <v>38694</v>
      </c>
      <c r="AK34">
        <v>8.3719999999999999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10"/>
        <v>3.9188592535879998</v>
      </c>
      <c r="AU34" s="17">
        <f t="shared" si="11"/>
        <v>8603.1549380414817</v>
      </c>
      <c r="AW34" s="6">
        <f t="shared" si="12"/>
        <v>0.52289309480000035</v>
      </c>
      <c r="AX34" s="7">
        <f t="shared" si="13"/>
        <v>7856.1406017692798</v>
      </c>
      <c r="AZ34" s="11">
        <f t="shared" si="14"/>
        <v>5.2109046400000008</v>
      </c>
      <c r="BA34" s="12">
        <f t="shared" si="15"/>
        <v>8736.7313874203992</v>
      </c>
      <c r="BC34" s="13">
        <f t="shared" si="16"/>
        <v>1.4685308602400005</v>
      </c>
      <c r="BD34" s="14">
        <f t="shared" si="17"/>
        <v>7876.8359069671997</v>
      </c>
      <c r="BF34" s="16">
        <f t="shared" si="18"/>
        <v>3.9188592535879998</v>
      </c>
      <c r="BG34" s="17">
        <f t="shared" si="19"/>
        <v>8603.1549380414817</v>
      </c>
      <c r="BI34">
        <v>70</v>
      </c>
      <c r="BJ34" t="s">
        <v>60</v>
      </c>
      <c r="BK34" s="2">
        <v>45952.090289351851</v>
      </c>
      <c r="BL34">
        <v>180</v>
      </c>
      <c r="BM34" t="s">
        <v>13</v>
      </c>
      <c r="BN34">
        <v>0</v>
      </c>
      <c r="BO34">
        <v>2.8820000000000001</v>
      </c>
      <c r="BP34" s="3">
        <v>816492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45952.111527777779</v>
      </c>
      <c r="D35">
        <v>384</v>
      </c>
      <c r="E35" t="s">
        <v>13</v>
      </c>
      <c r="F35">
        <v>0</v>
      </c>
      <c r="G35">
        <v>6.0759999999999996</v>
      </c>
      <c r="H35" s="3">
        <v>2957</v>
      </c>
      <c r="I35">
        <v>7.0000000000000001E-3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45952.111527777779</v>
      </c>
      <c r="R35">
        <v>384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45952.111527777779</v>
      </c>
      <c r="AF35">
        <v>384</v>
      </c>
      <c r="AG35" t="s">
        <v>13</v>
      </c>
      <c r="AH35">
        <v>0</v>
      </c>
      <c r="AI35">
        <v>12.305</v>
      </c>
      <c r="AJ35" s="3">
        <v>7250</v>
      </c>
      <c r="AK35">
        <v>1.494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10">
        <v>71</v>
      </c>
      <c r="AT35" s="16">
        <f t="shared" si="10"/>
        <v>7.1015355095569994</v>
      </c>
      <c r="AU35" s="17">
        <f t="shared" si="11"/>
        <v>1514.2457581250001</v>
      </c>
      <c r="AW35" s="6">
        <f t="shared" si="12"/>
        <v>1.9342805597000001</v>
      </c>
      <c r="AX35" s="7">
        <f t="shared" si="13"/>
        <v>1393.5336050000001</v>
      </c>
      <c r="AZ35" s="11">
        <f t="shared" si="14"/>
        <v>3.3515734599999991</v>
      </c>
      <c r="BA35" s="12">
        <f t="shared" si="15"/>
        <v>1723.30624375</v>
      </c>
      <c r="BC35" s="13">
        <f t="shared" si="16"/>
        <v>3.9421445318599995</v>
      </c>
      <c r="BD35" s="14">
        <f t="shared" si="17"/>
        <v>1517.2067625</v>
      </c>
      <c r="BF35" s="16">
        <f t="shared" si="18"/>
        <v>7.1015355095569994</v>
      </c>
      <c r="BG35" s="17">
        <f t="shared" si="19"/>
        <v>1514.2457581250001</v>
      </c>
      <c r="BI35">
        <v>71</v>
      </c>
      <c r="BJ35" t="s">
        <v>61</v>
      </c>
      <c r="BK35" s="2">
        <v>45952.111527777779</v>
      </c>
      <c r="BL35">
        <v>384</v>
      </c>
      <c r="BM35" t="s">
        <v>13</v>
      </c>
      <c r="BN35">
        <v>0</v>
      </c>
      <c r="BO35">
        <v>2.8780000000000001</v>
      </c>
      <c r="BP35" s="3">
        <v>894895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45952.132743055554</v>
      </c>
      <c r="D36">
        <v>285</v>
      </c>
      <c r="E36" t="s">
        <v>13</v>
      </c>
      <c r="F36">
        <v>0</v>
      </c>
      <c r="G36">
        <v>6.0750000000000002</v>
      </c>
      <c r="H36" s="3">
        <v>3086</v>
      </c>
      <c r="I36">
        <v>7.0000000000000001E-3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45952.132743055554</v>
      </c>
      <c r="R36">
        <v>285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45952.132743055554</v>
      </c>
      <c r="AF36">
        <v>285</v>
      </c>
      <c r="AG36" t="s">
        <v>13</v>
      </c>
      <c r="AH36">
        <v>0</v>
      </c>
      <c r="AI36">
        <v>12.303000000000001</v>
      </c>
      <c r="AJ36" s="3">
        <v>6910</v>
      </c>
      <c r="AK36">
        <v>1.419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10"/>
        <v>7.5573342022280006</v>
      </c>
      <c r="AU36" s="17">
        <f t="shared" si="11"/>
        <v>1437.0640007330001</v>
      </c>
      <c r="AW36" s="6">
        <f t="shared" si="12"/>
        <v>2.1552508387999998</v>
      </c>
      <c r="AX36" s="7">
        <f t="shared" si="13"/>
        <v>1323.378468488</v>
      </c>
      <c r="AZ36" s="11">
        <f t="shared" si="14"/>
        <v>3.15784384</v>
      </c>
      <c r="BA36" s="12">
        <f t="shared" si="15"/>
        <v>1642.5420915899999</v>
      </c>
      <c r="BC36" s="13">
        <f t="shared" si="16"/>
        <v>4.3031248474399995</v>
      </c>
      <c r="BD36" s="14">
        <f t="shared" si="17"/>
        <v>1447.7946636199999</v>
      </c>
      <c r="BF36" s="16">
        <f t="shared" si="18"/>
        <v>7.5573342022280006</v>
      </c>
      <c r="BG36" s="17">
        <f t="shared" si="19"/>
        <v>1437.0640007330001</v>
      </c>
      <c r="BI36">
        <v>72</v>
      </c>
      <c r="BJ36" t="s">
        <v>62</v>
      </c>
      <c r="BK36" s="2">
        <v>45952.132743055554</v>
      </c>
      <c r="BL36">
        <v>285</v>
      </c>
      <c r="BM36" t="s">
        <v>13</v>
      </c>
      <c r="BN36">
        <v>0</v>
      </c>
      <c r="BO36">
        <v>2.8769999999999998</v>
      </c>
      <c r="BP36" s="3">
        <v>921482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45952.153969907406</v>
      </c>
      <c r="D37">
        <v>327</v>
      </c>
      <c r="E37" t="s">
        <v>13</v>
      </c>
      <c r="F37">
        <v>0</v>
      </c>
      <c r="G37">
        <v>6.0579999999999998</v>
      </c>
      <c r="H37" s="3">
        <v>98122</v>
      </c>
      <c r="I37">
        <v>0.222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45952.153969907406</v>
      </c>
      <c r="R37">
        <v>327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45952.153969907406</v>
      </c>
      <c r="AF37">
        <v>327</v>
      </c>
      <c r="AG37" t="s">
        <v>13</v>
      </c>
      <c r="AH37">
        <v>0</v>
      </c>
      <c r="AI37">
        <v>12.221</v>
      </c>
      <c r="AJ37" s="3">
        <v>81866</v>
      </c>
      <c r="AK37">
        <v>17.763000000000002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10"/>
        <v>263.810059229508</v>
      </c>
      <c r="AU37" s="17">
        <f t="shared" si="11"/>
        <v>18096.054514427276</v>
      </c>
      <c r="AW37" s="6">
        <f t="shared" si="12"/>
        <v>227.1450227687626</v>
      </c>
      <c r="AX37" s="7">
        <f t="shared" si="13"/>
        <v>16646.96608928288</v>
      </c>
      <c r="AZ37" s="11">
        <f t="shared" si="14"/>
        <v>272.982005303932</v>
      </c>
      <c r="BA37" s="12">
        <f t="shared" si="15"/>
        <v>18227.0946839996</v>
      </c>
      <c r="BC37" s="13">
        <f t="shared" si="16"/>
        <v>277.35413271590079</v>
      </c>
      <c r="BD37" s="14">
        <f t="shared" si="17"/>
        <v>16177.205731797319</v>
      </c>
      <c r="BF37" s="16">
        <f t="shared" si="18"/>
        <v>263.810059229508</v>
      </c>
      <c r="BG37" s="17">
        <f t="shared" si="19"/>
        <v>18096.054514427276</v>
      </c>
      <c r="BI37">
        <v>73</v>
      </c>
      <c r="BJ37" t="s">
        <v>63</v>
      </c>
      <c r="BK37" s="2">
        <v>45952.153969907406</v>
      </c>
      <c r="BL37">
        <v>327</v>
      </c>
      <c r="BM37" t="s">
        <v>13</v>
      </c>
      <c r="BN37">
        <v>0</v>
      </c>
      <c r="BO37">
        <v>2.8759999999999999</v>
      </c>
      <c r="BP37" s="3">
        <v>930004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45952.175150462965</v>
      </c>
      <c r="D38">
        <v>223</v>
      </c>
      <c r="E38" t="s">
        <v>13</v>
      </c>
      <c r="F38">
        <v>0</v>
      </c>
      <c r="G38">
        <v>6.085</v>
      </c>
      <c r="H38" s="3">
        <v>2387</v>
      </c>
      <c r="I38">
        <v>6.0000000000000001E-3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45952.175150462965</v>
      </c>
      <c r="R38">
        <v>223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45952.175150462965</v>
      </c>
      <c r="AF38">
        <v>223</v>
      </c>
      <c r="AG38" t="s">
        <v>13</v>
      </c>
      <c r="AH38">
        <v>0</v>
      </c>
      <c r="AI38">
        <v>12.269</v>
      </c>
      <c r="AJ38" s="3">
        <v>43200</v>
      </c>
      <c r="AK38">
        <v>9.3550000000000004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10">
        <v>74</v>
      </c>
      <c r="AT38" s="16">
        <f t="shared" si="10"/>
        <v>5.0909251521170003</v>
      </c>
      <c r="AU38" s="17">
        <f t="shared" si="11"/>
        <v>9611.063603200002</v>
      </c>
      <c r="AW38" s="6">
        <f t="shared" si="12"/>
        <v>1.0157921357000002</v>
      </c>
      <c r="AX38" s="7">
        <f t="shared" si="13"/>
        <v>8778.1135551999996</v>
      </c>
      <c r="AZ38" s="11">
        <f t="shared" si="14"/>
        <v>4.4227402599999994</v>
      </c>
      <c r="BA38" s="12">
        <f t="shared" si="15"/>
        <v>9667.8879359999992</v>
      </c>
      <c r="BC38" s="13">
        <f t="shared" si="16"/>
        <v>2.3698815206599999</v>
      </c>
      <c r="BD38" s="14">
        <f t="shared" si="17"/>
        <v>8778.4988480000011</v>
      </c>
      <c r="BF38" s="16">
        <f t="shared" si="18"/>
        <v>5.0909251521170003</v>
      </c>
      <c r="BG38" s="17">
        <f t="shared" si="19"/>
        <v>9611.063603200002</v>
      </c>
      <c r="BI38">
        <v>74</v>
      </c>
      <c r="BJ38" t="s">
        <v>64</v>
      </c>
      <c r="BK38" s="2">
        <v>45952.175150462965</v>
      </c>
      <c r="BL38">
        <v>223</v>
      </c>
      <c r="BM38" t="s">
        <v>13</v>
      </c>
      <c r="BN38">
        <v>0</v>
      </c>
      <c r="BO38">
        <v>2.875</v>
      </c>
      <c r="BP38" s="3">
        <v>974257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A39">
        <v>75</v>
      </c>
      <c r="B39" t="s">
        <v>65</v>
      </c>
      <c r="C39" s="2">
        <v>45952.19635416667</v>
      </c>
      <c r="D39">
        <v>140</v>
      </c>
      <c r="E39" t="s">
        <v>13</v>
      </c>
      <c r="F39">
        <v>0</v>
      </c>
      <c r="G39">
        <v>6.0549999999999997</v>
      </c>
      <c r="H39" s="3">
        <v>941179</v>
      </c>
      <c r="I39">
        <v>2.1259999999999999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65</v>
      </c>
      <c r="Q39" s="2">
        <v>45952.19635416667</v>
      </c>
      <c r="R39">
        <v>140</v>
      </c>
      <c r="S39" t="s">
        <v>13</v>
      </c>
      <c r="T39">
        <v>0</v>
      </c>
      <c r="U39">
        <v>6.008</v>
      </c>
      <c r="V39" s="3">
        <v>8278</v>
      </c>
      <c r="W39">
        <v>2.1379999999999999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65</v>
      </c>
      <c r="AE39" s="2">
        <v>45952.19635416667</v>
      </c>
      <c r="AF39">
        <v>140</v>
      </c>
      <c r="AG39" t="s">
        <v>13</v>
      </c>
      <c r="AH39">
        <v>0</v>
      </c>
      <c r="AI39">
        <v>12.224</v>
      </c>
      <c r="AJ39" s="3">
        <v>71040</v>
      </c>
      <c r="AK39">
        <v>15.414</v>
      </c>
      <c r="AL39" t="s">
        <v>14</v>
      </c>
      <c r="AM39" t="s">
        <v>14</v>
      </c>
      <c r="AN39" t="s">
        <v>14</v>
      </c>
      <c r="AO39" t="s">
        <v>14</v>
      </c>
      <c r="AQ39">
        <v>1</v>
      </c>
      <c r="AS39" s="10">
        <v>75</v>
      </c>
      <c r="AT39" s="16">
        <f t="shared" si="10"/>
        <v>2103.4648804767012</v>
      </c>
      <c r="AU39" s="17">
        <f t="shared" si="11"/>
        <v>15789.292241408</v>
      </c>
      <c r="AW39" s="6">
        <f t="shared" si="12"/>
        <v>2270.9657799960801</v>
      </c>
      <c r="AX39" s="7">
        <f t="shared" si="13"/>
        <v>14451.476685567999</v>
      </c>
      <c r="AZ39" s="11">
        <f t="shared" si="14"/>
        <v>1963.5110468732375</v>
      </c>
      <c r="BA39" s="12">
        <f t="shared" si="15"/>
        <v>15613.198722559999</v>
      </c>
      <c r="BC39" s="13">
        <f t="shared" si="16"/>
        <v>2168.4545259577458</v>
      </c>
      <c r="BD39" s="14">
        <f t="shared" si="17"/>
        <v>13983.580241152</v>
      </c>
      <c r="BF39" s="16">
        <f t="shared" si="18"/>
        <v>2103.4648804767012</v>
      </c>
      <c r="BG39" s="17">
        <f t="shared" si="19"/>
        <v>15789.292241408</v>
      </c>
      <c r="BI39">
        <v>75</v>
      </c>
      <c r="BJ39" t="s">
        <v>65</v>
      </c>
      <c r="BK39" s="2">
        <v>45952.19635416667</v>
      </c>
      <c r="BL39">
        <v>140</v>
      </c>
      <c r="BM39" t="s">
        <v>13</v>
      </c>
      <c r="BN39">
        <v>0</v>
      </c>
      <c r="BO39">
        <v>2.8660000000000001</v>
      </c>
      <c r="BP39" s="3">
        <v>1081580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35">
      <c r="A40">
        <v>76</v>
      </c>
      <c r="B40" t="s">
        <v>66</v>
      </c>
      <c r="C40" s="2">
        <v>45952.217581018522</v>
      </c>
      <c r="D40">
        <v>322</v>
      </c>
      <c r="E40" t="s">
        <v>13</v>
      </c>
      <c r="F40">
        <v>0</v>
      </c>
      <c r="G40">
        <v>6.0570000000000004</v>
      </c>
      <c r="H40" s="3">
        <v>773835</v>
      </c>
      <c r="I40">
        <v>1.7470000000000001</v>
      </c>
      <c r="J40" t="s">
        <v>14</v>
      </c>
      <c r="K40" t="s">
        <v>14</v>
      </c>
      <c r="L40" t="s">
        <v>14</v>
      </c>
      <c r="M40" t="s">
        <v>14</v>
      </c>
      <c r="O40">
        <v>76</v>
      </c>
      <c r="P40" t="s">
        <v>66</v>
      </c>
      <c r="Q40" s="2">
        <v>45952.217581018522</v>
      </c>
      <c r="R40">
        <v>322</v>
      </c>
      <c r="S40" t="s">
        <v>13</v>
      </c>
      <c r="T40">
        <v>0</v>
      </c>
      <c r="U40">
        <v>6.0090000000000003</v>
      </c>
      <c r="V40" s="3">
        <v>6870</v>
      </c>
      <c r="W40">
        <v>1.79</v>
      </c>
      <c r="X40" t="s">
        <v>14</v>
      </c>
      <c r="Y40" t="s">
        <v>14</v>
      </c>
      <c r="Z40" t="s">
        <v>14</v>
      </c>
      <c r="AA40" t="s">
        <v>14</v>
      </c>
      <c r="AC40">
        <v>76</v>
      </c>
      <c r="AD40" t="s">
        <v>66</v>
      </c>
      <c r="AE40" s="2">
        <v>45952.217581018522</v>
      </c>
      <c r="AF40">
        <v>322</v>
      </c>
      <c r="AG40" t="s">
        <v>13</v>
      </c>
      <c r="AH40">
        <v>0</v>
      </c>
      <c r="AI40">
        <v>12.247</v>
      </c>
      <c r="AJ40" s="3">
        <v>72476</v>
      </c>
      <c r="AK40">
        <v>15.726000000000001</v>
      </c>
      <c r="AL40" t="s">
        <v>14</v>
      </c>
      <c r="AM40" t="s">
        <v>14</v>
      </c>
      <c r="AN40" t="s">
        <v>14</v>
      </c>
      <c r="AO40" t="s">
        <v>14</v>
      </c>
      <c r="AQ40">
        <v>1</v>
      </c>
      <c r="AS40" s="10">
        <v>76</v>
      </c>
      <c r="AT40" s="16">
        <f t="shared" si="10"/>
        <v>1761.2037037237596</v>
      </c>
      <c r="AU40" s="17">
        <f t="shared" si="11"/>
        <v>16095.412776482881</v>
      </c>
      <c r="AW40" s="6">
        <f t="shared" si="12"/>
        <v>1923.4623240779999</v>
      </c>
      <c r="AX40" s="7">
        <f t="shared" si="13"/>
        <v>14743.038494900478</v>
      </c>
      <c r="AZ40" s="11">
        <f t="shared" si="14"/>
        <v>1644.2018367056151</v>
      </c>
      <c r="BA40" s="12">
        <f t="shared" si="15"/>
        <v>15960.466883441601</v>
      </c>
      <c r="BC40" s="13">
        <f t="shared" si="16"/>
        <v>1811.615717235205</v>
      </c>
      <c r="BD40" s="14">
        <f t="shared" si="17"/>
        <v>14274.87472305872</v>
      </c>
      <c r="BF40" s="16">
        <f t="shared" si="18"/>
        <v>1761.2037037237596</v>
      </c>
      <c r="BG40" s="17">
        <f t="shared" si="19"/>
        <v>16095.412776482881</v>
      </c>
      <c r="BI40">
        <v>76</v>
      </c>
      <c r="BJ40" t="s">
        <v>66</v>
      </c>
      <c r="BK40" s="2">
        <v>45952.217581018522</v>
      </c>
      <c r="BL40">
        <v>322</v>
      </c>
      <c r="BM40" t="s">
        <v>13</v>
      </c>
      <c r="BN40">
        <v>0</v>
      </c>
      <c r="BO40">
        <v>2.871</v>
      </c>
      <c r="BP40" s="3">
        <v>997266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35">
      <c r="A41">
        <v>77</v>
      </c>
      <c r="B41" t="s">
        <v>67</v>
      </c>
      <c r="C41" s="2">
        <v>45952.238807870373</v>
      </c>
      <c r="D41">
        <v>345</v>
      </c>
      <c r="E41" t="s">
        <v>13</v>
      </c>
      <c r="F41">
        <v>0</v>
      </c>
      <c r="G41">
        <v>6.056</v>
      </c>
      <c r="H41" s="3">
        <v>1440715</v>
      </c>
      <c r="I41">
        <v>3.258</v>
      </c>
      <c r="J41" t="s">
        <v>14</v>
      </c>
      <c r="K41" t="s">
        <v>14</v>
      </c>
      <c r="L41" t="s">
        <v>14</v>
      </c>
      <c r="M41" t="s">
        <v>14</v>
      </c>
      <c r="O41">
        <v>77</v>
      </c>
      <c r="P41" t="s">
        <v>67</v>
      </c>
      <c r="Q41" s="2">
        <v>45952.238807870373</v>
      </c>
      <c r="R41">
        <v>345</v>
      </c>
      <c r="S41" t="s">
        <v>13</v>
      </c>
      <c r="T41">
        <v>0</v>
      </c>
      <c r="U41">
        <v>6.01</v>
      </c>
      <c r="V41" s="3">
        <v>11232</v>
      </c>
      <c r="W41">
        <v>2.8679999999999999</v>
      </c>
      <c r="X41" t="s">
        <v>14</v>
      </c>
      <c r="Y41" t="s">
        <v>14</v>
      </c>
      <c r="Z41" t="s">
        <v>14</v>
      </c>
      <c r="AA41" t="s">
        <v>14</v>
      </c>
      <c r="AC41">
        <v>77</v>
      </c>
      <c r="AD41" t="s">
        <v>67</v>
      </c>
      <c r="AE41" s="2">
        <v>45952.238807870373</v>
      </c>
      <c r="AF41">
        <v>345</v>
      </c>
      <c r="AG41" t="s">
        <v>13</v>
      </c>
      <c r="AH41">
        <v>0</v>
      </c>
      <c r="AI41">
        <v>12.282999999999999</v>
      </c>
      <c r="AJ41" s="3">
        <v>38994</v>
      </c>
      <c r="AK41">
        <v>8.4369999999999994</v>
      </c>
      <c r="AL41" t="s">
        <v>14</v>
      </c>
      <c r="AM41" t="s">
        <v>14</v>
      </c>
      <c r="AN41" t="s">
        <v>14</v>
      </c>
      <c r="AO41" t="s">
        <v>14</v>
      </c>
      <c r="AQ41">
        <v>1</v>
      </c>
      <c r="AS41" s="10">
        <v>77</v>
      </c>
      <c r="AT41" s="16">
        <f t="shared" si="10"/>
        <v>3123.4448211324634</v>
      </c>
      <c r="AU41" s="17">
        <f t="shared" si="11"/>
        <v>8670.3212929934798</v>
      </c>
      <c r="AW41" s="6">
        <f t="shared" si="12"/>
        <v>2999.78226137088</v>
      </c>
      <c r="AX41" s="7">
        <f t="shared" si="13"/>
        <v>7917.5558224412798</v>
      </c>
      <c r="AZ41" s="11">
        <f t="shared" si="14"/>
        <v>2910.4798293712151</v>
      </c>
      <c r="BA41" s="12">
        <f t="shared" si="15"/>
        <v>8799.3013383804009</v>
      </c>
      <c r="BC41" s="13">
        <f t="shared" si="16"/>
        <v>3231.5831547904049</v>
      </c>
      <c r="BD41" s="14">
        <f t="shared" si="17"/>
        <v>7936.9421842472002</v>
      </c>
      <c r="BF41" s="16">
        <f t="shared" si="18"/>
        <v>3123.4448211324634</v>
      </c>
      <c r="BG41" s="17">
        <f t="shared" si="19"/>
        <v>8670.3212929934798</v>
      </c>
      <c r="BI41">
        <v>77</v>
      </c>
      <c r="BJ41" t="s">
        <v>67</v>
      </c>
      <c r="BK41" s="2">
        <v>45952.238807870373</v>
      </c>
      <c r="BL41">
        <v>345</v>
      </c>
      <c r="BM41" t="s">
        <v>13</v>
      </c>
      <c r="BN41">
        <v>0</v>
      </c>
      <c r="BO41">
        <v>2.8719999999999999</v>
      </c>
      <c r="BP41" s="3">
        <v>1001923</v>
      </c>
      <c r="BQ41">
        <v>0</v>
      </c>
      <c r="BR41" t="s">
        <v>14</v>
      </c>
      <c r="BS41" t="s">
        <v>14</v>
      </c>
      <c r="BT41" t="s">
        <v>14</v>
      </c>
      <c r="BU41" t="s">
        <v>14</v>
      </c>
    </row>
    <row r="42" spans="1:73" x14ac:dyDescent="0.35">
      <c r="A42">
        <v>78</v>
      </c>
      <c r="B42" t="s">
        <v>68</v>
      </c>
      <c r="C42" s="2">
        <v>45952.260023148148</v>
      </c>
      <c r="D42">
        <v>186</v>
      </c>
      <c r="E42" t="s">
        <v>13</v>
      </c>
      <c r="F42">
        <v>0</v>
      </c>
      <c r="G42">
        <v>6.0650000000000004</v>
      </c>
      <c r="H42" s="3">
        <v>10273</v>
      </c>
      <c r="I42">
        <v>2.4E-2</v>
      </c>
      <c r="J42" t="s">
        <v>14</v>
      </c>
      <c r="K42" t="s">
        <v>14</v>
      </c>
      <c r="L42" t="s">
        <v>14</v>
      </c>
      <c r="M42" t="s">
        <v>14</v>
      </c>
      <c r="O42">
        <v>78</v>
      </c>
      <c r="P42" t="s">
        <v>68</v>
      </c>
      <c r="Q42" s="2">
        <v>45952.260023148148</v>
      </c>
      <c r="R42">
        <v>186</v>
      </c>
      <c r="S42" t="s">
        <v>13</v>
      </c>
      <c r="T42">
        <v>0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C42">
        <v>78</v>
      </c>
      <c r="AD42" t="s">
        <v>68</v>
      </c>
      <c r="AE42" s="2">
        <v>45952.260023148148</v>
      </c>
      <c r="AF42">
        <v>186</v>
      </c>
      <c r="AG42" t="s">
        <v>13</v>
      </c>
      <c r="AH42">
        <v>0</v>
      </c>
      <c r="AI42">
        <v>12.292999999999999</v>
      </c>
      <c r="AJ42" s="3">
        <v>29226</v>
      </c>
      <c r="AK42">
        <v>6.3040000000000003</v>
      </c>
      <c r="AL42" t="s">
        <v>14</v>
      </c>
      <c r="AM42" t="s">
        <v>14</v>
      </c>
      <c r="AN42" t="s">
        <v>14</v>
      </c>
      <c r="AO42" t="s">
        <v>14</v>
      </c>
      <c r="AQ42">
        <v>1</v>
      </c>
      <c r="AS42" s="10">
        <v>78</v>
      </c>
      <c r="AT42" s="16">
        <f t="shared" si="10"/>
        <v>30.703430418872998</v>
      </c>
      <c r="AU42" s="17">
        <f t="shared" si="11"/>
        <v>6478.8466141406807</v>
      </c>
      <c r="AW42" s="6">
        <f t="shared" si="12"/>
        <v>21.642504249034339</v>
      </c>
      <c r="AX42" s="7">
        <f t="shared" si="13"/>
        <v>5915.5160603804798</v>
      </c>
      <c r="AZ42" s="11">
        <f t="shared" si="14"/>
        <v>20.674311047766999</v>
      </c>
      <c r="BA42" s="12">
        <f t="shared" si="15"/>
        <v>6719.8420454363995</v>
      </c>
      <c r="BC42" s="13">
        <f t="shared" si="16"/>
        <v>25.429948628024803</v>
      </c>
      <c r="BD42" s="14">
        <f t="shared" si="17"/>
        <v>5974.3512872552001</v>
      </c>
      <c r="BF42" s="16">
        <f t="shared" si="18"/>
        <v>30.703430418872998</v>
      </c>
      <c r="BG42" s="17">
        <f t="shared" si="19"/>
        <v>6478.8466141406807</v>
      </c>
      <c r="BI42">
        <v>78</v>
      </c>
      <c r="BJ42" t="s">
        <v>68</v>
      </c>
      <c r="BK42" s="2">
        <v>45952.260023148148</v>
      </c>
      <c r="BL42">
        <v>186</v>
      </c>
      <c r="BM42" t="s">
        <v>13</v>
      </c>
      <c r="BN42">
        <v>0</v>
      </c>
      <c r="BO42">
        <v>2.871</v>
      </c>
      <c r="BP42" s="3">
        <v>1039600</v>
      </c>
      <c r="BQ42">
        <v>0</v>
      </c>
      <c r="BR42" t="s">
        <v>14</v>
      </c>
      <c r="BS42" t="s">
        <v>14</v>
      </c>
      <c r="BT42" t="s">
        <v>14</v>
      </c>
      <c r="BU42" t="s">
        <v>14</v>
      </c>
    </row>
    <row r="43" spans="1:73" x14ac:dyDescent="0.35">
      <c r="A43">
        <v>79</v>
      </c>
      <c r="B43" t="s">
        <v>69</v>
      </c>
      <c r="C43" s="2">
        <v>45952.28125</v>
      </c>
      <c r="D43">
        <v>317</v>
      </c>
      <c r="E43" t="s">
        <v>13</v>
      </c>
      <c r="F43">
        <v>0</v>
      </c>
      <c r="G43">
        <v>6.0590000000000002</v>
      </c>
      <c r="H43" s="3">
        <v>91161</v>
      </c>
      <c r="I43">
        <v>0.20599999999999999</v>
      </c>
      <c r="J43" t="s">
        <v>14</v>
      </c>
      <c r="K43" t="s">
        <v>14</v>
      </c>
      <c r="L43" t="s">
        <v>14</v>
      </c>
      <c r="M43" t="s">
        <v>14</v>
      </c>
      <c r="O43">
        <v>79</v>
      </c>
      <c r="P43" t="s">
        <v>69</v>
      </c>
      <c r="Q43" s="2">
        <v>45952.28125</v>
      </c>
      <c r="R43">
        <v>317</v>
      </c>
      <c r="S43" t="s">
        <v>13</v>
      </c>
      <c r="T43">
        <v>0</v>
      </c>
      <c r="U43" t="s">
        <v>14</v>
      </c>
      <c r="V43" t="s">
        <v>14</v>
      </c>
      <c r="W43" t="s">
        <v>14</v>
      </c>
      <c r="X43" t="s">
        <v>14</v>
      </c>
      <c r="Y43" t="s">
        <v>14</v>
      </c>
      <c r="Z43" t="s">
        <v>14</v>
      </c>
      <c r="AA43" t="s">
        <v>14</v>
      </c>
      <c r="AC43">
        <v>79</v>
      </c>
      <c r="AD43" t="s">
        <v>69</v>
      </c>
      <c r="AE43" s="2">
        <v>45952.28125</v>
      </c>
      <c r="AF43">
        <v>317</v>
      </c>
      <c r="AG43" t="s">
        <v>13</v>
      </c>
      <c r="AH43">
        <v>0</v>
      </c>
      <c r="AI43" t="s">
        <v>14</v>
      </c>
      <c r="AJ43" t="s">
        <v>14</v>
      </c>
      <c r="AK43" t="s">
        <v>14</v>
      </c>
      <c r="AL43" t="s">
        <v>14</v>
      </c>
      <c r="AM43" t="s">
        <v>14</v>
      </c>
      <c r="AN43" t="s">
        <v>14</v>
      </c>
      <c r="AO43" t="s">
        <v>14</v>
      </c>
      <c r="AQ43">
        <v>2</v>
      </c>
      <c r="AR43" t="s">
        <v>80</v>
      </c>
      <c r="AS43" s="10">
        <v>79</v>
      </c>
      <c r="AT43" s="16">
        <f t="shared" si="10"/>
        <v>245.487185756777</v>
      </c>
      <c r="AU43" s="17" t="e">
        <f t="shared" si="11"/>
        <v>#VALUE!</v>
      </c>
      <c r="AW43" s="6">
        <f t="shared" si="12"/>
        <v>210.90671418924265</v>
      </c>
      <c r="AX43" s="7" t="e">
        <f t="shared" si="13"/>
        <v>#VALUE!</v>
      </c>
      <c r="AZ43" s="11">
        <f t="shared" si="14"/>
        <v>253.87753586858301</v>
      </c>
      <c r="BA43" s="12" t="e">
        <f t="shared" si="15"/>
        <v>#VALUE!</v>
      </c>
      <c r="BC43" s="13">
        <f t="shared" si="16"/>
        <v>257.55471629641517</v>
      </c>
      <c r="BD43" s="14" t="e">
        <f t="shared" si="17"/>
        <v>#VALUE!</v>
      </c>
      <c r="BF43" s="16">
        <f t="shared" si="18"/>
        <v>245.487185756777</v>
      </c>
      <c r="BG43" s="17" t="e">
        <f t="shared" si="19"/>
        <v>#VALUE!</v>
      </c>
      <c r="BI43">
        <v>79</v>
      </c>
      <c r="BJ43" t="s">
        <v>69</v>
      </c>
      <c r="BK43" s="2">
        <v>45952.28125</v>
      </c>
      <c r="BL43">
        <v>317</v>
      </c>
      <c r="BM43" t="s">
        <v>13</v>
      </c>
      <c r="BN43">
        <v>0</v>
      </c>
      <c r="BO43">
        <v>2.871</v>
      </c>
      <c r="BP43" s="3">
        <v>991580</v>
      </c>
      <c r="BQ43">
        <v>0</v>
      </c>
      <c r="BR43" t="s">
        <v>14</v>
      </c>
      <c r="BS43" t="s">
        <v>14</v>
      </c>
      <c r="BT43" t="s">
        <v>14</v>
      </c>
      <c r="BU43" t="s">
        <v>14</v>
      </c>
    </row>
    <row r="44" spans="1:73" x14ac:dyDescent="0.35">
      <c r="A44">
        <v>80</v>
      </c>
      <c r="B44" t="s">
        <v>70</v>
      </c>
      <c r="C44" s="2">
        <v>45952.302476851852</v>
      </c>
      <c r="D44">
        <v>252</v>
      </c>
      <c r="E44" t="s">
        <v>13</v>
      </c>
      <c r="F44">
        <v>0</v>
      </c>
      <c r="G44">
        <v>6.0810000000000004</v>
      </c>
      <c r="H44" s="3">
        <v>2521</v>
      </c>
      <c r="I44">
        <v>6.0000000000000001E-3</v>
      </c>
      <c r="J44" t="s">
        <v>14</v>
      </c>
      <c r="K44" t="s">
        <v>14</v>
      </c>
      <c r="L44" t="s">
        <v>14</v>
      </c>
      <c r="M44" t="s">
        <v>14</v>
      </c>
      <c r="O44">
        <v>80</v>
      </c>
      <c r="P44" t="s">
        <v>70</v>
      </c>
      <c r="Q44" s="2">
        <v>45952.302476851852</v>
      </c>
      <c r="R44">
        <v>252</v>
      </c>
      <c r="S44" t="s">
        <v>13</v>
      </c>
      <c r="T44">
        <v>0</v>
      </c>
      <c r="U44" t="s">
        <v>14</v>
      </c>
      <c r="V44" t="s">
        <v>14</v>
      </c>
      <c r="W44" t="s">
        <v>14</v>
      </c>
      <c r="X44" t="s">
        <v>14</v>
      </c>
      <c r="Y44" t="s">
        <v>14</v>
      </c>
      <c r="Z44" t="s">
        <v>14</v>
      </c>
      <c r="AA44" t="s">
        <v>14</v>
      </c>
      <c r="AC44">
        <v>80</v>
      </c>
      <c r="AD44" t="s">
        <v>70</v>
      </c>
      <c r="AE44" s="2">
        <v>45952.302476851852</v>
      </c>
      <c r="AF44">
        <v>252</v>
      </c>
      <c r="AG44" t="s">
        <v>13</v>
      </c>
      <c r="AH44">
        <v>0</v>
      </c>
      <c r="AI44">
        <v>12.191000000000001</v>
      </c>
      <c r="AJ44" s="3">
        <v>38967</v>
      </c>
      <c r="AK44">
        <v>8.4309999999999992</v>
      </c>
      <c r="AL44" t="s">
        <v>14</v>
      </c>
      <c r="AM44" t="s">
        <v>14</v>
      </c>
      <c r="AN44" t="s">
        <v>14</v>
      </c>
      <c r="AO44" t="s">
        <v>14</v>
      </c>
      <c r="AQ44">
        <v>1</v>
      </c>
      <c r="AS44" s="10">
        <v>80</v>
      </c>
      <c r="AT44" s="16">
        <f t="shared" si="10"/>
        <v>5.5630987604130002</v>
      </c>
      <c r="AU44" s="17">
        <f t="shared" si="11"/>
        <v>8664.2766827427713</v>
      </c>
      <c r="AW44" s="6">
        <f t="shared" si="12"/>
        <v>1.2232284773</v>
      </c>
      <c r="AX44" s="7">
        <f t="shared" si="13"/>
        <v>7912.0286406887199</v>
      </c>
      <c r="AZ44" s="11">
        <f t="shared" si="14"/>
        <v>4.13937314</v>
      </c>
      <c r="BA44" s="12">
        <f t="shared" si="15"/>
        <v>8793.6734047071004</v>
      </c>
      <c r="BC44" s="13">
        <f t="shared" si="16"/>
        <v>2.7361628987399991</v>
      </c>
      <c r="BD44" s="14">
        <f t="shared" si="17"/>
        <v>7931.5330600777997</v>
      </c>
      <c r="BF44" s="16">
        <f t="shared" si="18"/>
        <v>5.5630987604130002</v>
      </c>
      <c r="BG44" s="17">
        <f t="shared" si="19"/>
        <v>8664.2766827427713</v>
      </c>
      <c r="BI44">
        <v>80</v>
      </c>
      <c r="BJ44" t="s">
        <v>70</v>
      </c>
      <c r="BK44" s="2">
        <v>45952.302476851852</v>
      </c>
      <c r="BL44">
        <v>252</v>
      </c>
      <c r="BM44" t="s">
        <v>13</v>
      </c>
      <c r="BN44">
        <v>0</v>
      </c>
      <c r="BO44">
        <v>2.879</v>
      </c>
      <c r="BP44" s="3">
        <v>887706</v>
      </c>
      <c r="BQ44">
        <v>0</v>
      </c>
      <c r="BR44" t="s">
        <v>14</v>
      </c>
      <c r="BS44" t="s">
        <v>14</v>
      </c>
      <c r="BT44" t="s">
        <v>14</v>
      </c>
      <c r="BU44" t="s">
        <v>14</v>
      </c>
    </row>
    <row r="45" spans="1:73" x14ac:dyDescent="0.35">
      <c r="A45">
        <v>81</v>
      </c>
      <c r="B45" t="s">
        <v>71</v>
      </c>
      <c r="C45" s="2">
        <v>45952.323680555557</v>
      </c>
      <c r="D45">
        <v>204</v>
      </c>
      <c r="E45" t="s">
        <v>13</v>
      </c>
      <c r="F45">
        <v>0</v>
      </c>
      <c r="G45">
        <v>6.1260000000000003</v>
      </c>
      <c r="H45" s="3">
        <v>1133</v>
      </c>
      <c r="I45">
        <v>3.0000000000000001E-3</v>
      </c>
      <c r="J45" t="s">
        <v>14</v>
      </c>
      <c r="K45" t="s">
        <v>14</v>
      </c>
      <c r="L45" t="s">
        <v>14</v>
      </c>
      <c r="M45" t="s">
        <v>14</v>
      </c>
      <c r="O45">
        <v>81</v>
      </c>
      <c r="P45" t="s">
        <v>71</v>
      </c>
      <c r="Q45" s="2">
        <v>45952.323680555557</v>
      </c>
      <c r="R45">
        <v>204</v>
      </c>
      <c r="S45" t="s">
        <v>13</v>
      </c>
      <c r="T45">
        <v>0</v>
      </c>
      <c r="U45" t="s">
        <v>14</v>
      </c>
      <c r="V45" t="s">
        <v>14</v>
      </c>
      <c r="W45" t="s">
        <v>14</v>
      </c>
      <c r="X45" t="s">
        <v>14</v>
      </c>
      <c r="Y45" t="s">
        <v>14</v>
      </c>
      <c r="Z45" t="s">
        <v>14</v>
      </c>
      <c r="AA45" t="s">
        <v>14</v>
      </c>
      <c r="AC45">
        <v>81</v>
      </c>
      <c r="AD45" t="s">
        <v>71</v>
      </c>
      <c r="AE45" s="2">
        <v>45952.323680555557</v>
      </c>
      <c r="AF45">
        <v>204</v>
      </c>
      <c r="AG45" t="s">
        <v>13</v>
      </c>
      <c r="AH45">
        <v>0</v>
      </c>
      <c r="AI45">
        <v>12.096</v>
      </c>
      <c r="AJ45" s="3">
        <v>208709</v>
      </c>
      <c r="AK45">
        <v>45.021000000000001</v>
      </c>
      <c r="AL45" t="s">
        <v>14</v>
      </c>
      <c r="AM45" t="s">
        <v>14</v>
      </c>
      <c r="AN45" t="s">
        <v>14</v>
      </c>
      <c r="AO45" t="s">
        <v>14</v>
      </c>
      <c r="AQ45">
        <v>1</v>
      </c>
      <c r="AS45" s="10">
        <v>81</v>
      </c>
      <c r="AT45" s="16">
        <f t="shared" si="10"/>
        <v>0.68700837067699982</v>
      </c>
      <c r="AU45" s="17">
        <f t="shared" si="11"/>
        <v>44937.820976247778</v>
      </c>
      <c r="AW45" s="6">
        <f t="shared" si="12"/>
        <v>-0.67253828829999995</v>
      </c>
      <c r="AX45" s="7">
        <f t="shared" si="13"/>
        <v>41924.813220700882</v>
      </c>
      <c r="AZ45" s="11">
        <f t="shared" si="14"/>
        <v>8.014447060000002</v>
      </c>
      <c r="BA45" s="12">
        <f t="shared" si="15"/>
        <v>48138.637930747107</v>
      </c>
      <c r="BC45" s="13">
        <f t="shared" si="16"/>
        <v>-0.95840101053999982</v>
      </c>
      <c r="BD45" s="14">
        <f t="shared" si="17"/>
        <v>41459.233196255576</v>
      </c>
      <c r="BF45" s="16">
        <f t="shared" si="18"/>
        <v>0.68700837067699982</v>
      </c>
      <c r="BG45" s="17">
        <f t="shared" si="19"/>
        <v>44937.820976247778</v>
      </c>
      <c r="BI45">
        <v>81</v>
      </c>
      <c r="BJ45" t="s">
        <v>71</v>
      </c>
      <c r="BK45" s="2">
        <v>45952.323680555557</v>
      </c>
      <c r="BL45">
        <v>204</v>
      </c>
      <c r="BM45" t="s">
        <v>13</v>
      </c>
      <c r="BN45">
        <v>0</v>
      </c>
      <c r="BO45">
        <v>2.871</v>
      </c>
      <c r="BP45" s="3">
        <v>1013507</v>
      </c>
      <c r="BQ45">
        <v>0</v>
      </c>
      <c r="BR45" t="s">
        <v>14</v>
      </c>
      <c r="BS45" t="s">
        <v>14</v>
      </c>
      <c r="BT45" t="s">
        <v>14</v>
      </c>
      <c r="BU45" t="s">
        <v>14</v>
      </c>
    </row>
    <row r="46" spans="1:73" x14ac:dyDescent="0.35">
      <c r="A46">
        <v>82</v>
      </c>
      <c r="B46" t="s">
        <v>72</v>
      </c>
      <c r="C46" s="2">
        <v>45952.344884259262</v>
      </c>
      <c r="D46">
        <v>411</v>
      </c>
      <c r="E46" t="s">
        <v>13</v>
      </c>
      <c r="F46">
        <v>0</v>
      </c>
      <c r="G46">
        <v>6.0650000000000004</v>
      </c>
      <c r="H46" s="3">
        <v>16232</v>
      </c>
      <c r="I46">
        <v>3.6999999999999998E-2</v>
      </c>
      <c r="J46" t="s">
        <v>14</v>
      </c>
      <c r="K46" t="s">
        <v>14</v>
      </c>
      <c r="L46" t="s">
        <v>14</v>
      </c>
      <c r="M46" t="s">
        <v>14</v>
      </c>
      <c r="O46">
        <v>82</v>
      </c>
      <c r="P46" t="s">
        <v>72</v>
      </c>
      <c r="Q46" s="2">
        <v>45952.344884259262</v>
      </c>
      <c r="R46">
        <v>411</v>
      </c>
      <c r="S46" t="s">
        <v>13</v>
      </c>
      <c r="T46">
        <v>0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C46">
        <v>82</v>
      </c>
      <c r="AD46" t="s">
        <v>72</v>
      </c>
      <c r="AE46" s="2">
        <v>45952.344884259262</v>
      </c>
      <c r="AF46">
        <v>411</v>
      </c>
      <c r="AG46" t="s">
        <v>13</v>
      </c>
      <c r="AH46">
        <v>0</v>
      </c>
      <c r="AI46">
        <v>12.287000000000001</v>
      </c>
      <c r="AJ46" s="3">
        <v>20381</v>
      </c>
      <c r="AK46">
        <v>4.37</v>
      </c>
      <c r="AL46" t="s">
        <v>14</v>
      </c>
      <c r="AM46" t="s">
        <v>14</v>
      </c>
      <c r="AN46" t="s">
        <v>14</v>
      </c>
      <c r="AO46" t="s">
        <v>14</v>
      </c>
      <c r="AQ46">
        <v>1</v>
      </c>
      <c r="AS46" s="10">
        <v>82</v>
      </c>
      <c r="AT46" s="16">
        <f t="shared" si="10"/>
        <v>46.643929332288003</v>
      </c>
      <c r="AU46" s="17">
        <f t="shared" si="11"/>
        <v>4486.3707501497302</v>
      </c>
      <c r="AW46" s="6">
        <f t="shared" si="12"/>
        <v>35.621515496055039</v>
      </c>
      <c r="AX46" s="7">
        <f t="shared" si="13"/>
        <v>4098.4520706912799</v>
      </c>
      <c r="AZ46" s="11">
        <f t="shared" si="14"/>
        <v>38.558471471552004</v>
      </c>
      <c r="BA46" s="12">
        <f t="shared" si="15"/>
        <v>4761.7868280678995</v>
      </c>
      <c r="BC46" s="13">
        <f t="shared" si="16"/>
        <v>42.659475604428799</v>
      </c>
      <c r="BD46" s="14">
        <f t="shared" si="17"/>
        <v>4187.3649673722002</v>
      </c>
      <c r="BF46" s="16">
        <f t="shared" si="18"/>
        <v>46.643929332288003</v>
      </c>
      <c r="BG46" s="17">
        <f t="shared" si="19"/>
        <v>4486.3707501497302</v>
      </c>
      <c r="BI46">
        <v>82</v>
      </c>
      <c r="BJ46" t="s">
        <v>72</v>
      </c>
      <c r="BK46" s="2">
        <v>45952.344884259262</v>
      </c>
      <c r="BL46">
        <v>411</v>
      </c>
      <c r="BM46" t="s">
        <v>13</v>
      </c>
      <c r="BN46">
        <v>0</v>
      </c>
      <c r="BO46">
        <v>2.8759999999999999</v>
      </c>
      <c r="BP46" s="3">
        <v>971750</v>
      </c>
      <c r="BQ46">
        <v>0</v>
      </c>
      <c r="BR46" t="s">
        <v>14</v>
      </c>
      <c r="BS46" t="s">
        <v>14</v>
      </c>
      <c r="BT46" t="s">
        <v>14</v>
      </c>
      <c r="BU46" t="s">
        <v>14</v>
      </c>
    </row>
    <row r="47" spans="1:73" x14ac:dyDescent="0.35">
      <c r="A47">
        <v>83</v>
      </c>
      <c r="B47" t="s">
        <v>73</v>
      </c>
      <c r="C47" s="2">
        <v>45952.36613425926</v>
      </c>
      <c r="D47">
        <v>122</v>
      </c>
      <c r="E47" t="s">
        <v>13</v>
      </c>
      <c r="F47">
        <v>0</v>
      </c>
      <c r="G47">
        <v>6.0819999999999999</v>
      </c>
      <c r="H47" s="3">
        <v>3124</v>
      </c>
      <c r="I47">
        <v>7.0000000000000001E-3</v>
      </c>
      <c r="J47" t="s">
        <v>14</v>
      </c>
      <c r="K47" t="s">
        <v>14</v>
      </c>
      <c r="L47" t="s">
        <v>14</v>
      </c>
      <c r="M47" t="s">
        <v>14</v>
      </c>
      <c r="O47">
        <v>83</v>
      </c>
      <c r="P47" t="s">
        <v>73</v>
      </c>
      <c r="Q47" s="2">
        <v>45952.36613425926</v>
      </c>
      <c r="R47">
        <v>122</v>
      </c>
      <c r="S47" t="s">
        <v>13</v>
      </c>
      <c r="T47">
        <v>0</v>
      </c>
      <c r="U47" t="s">
        <v>14</v>
      </c>
      <c r="V47" t="s">
        <v>14</v>
      </c>
      <c r="W47" t="s">
        <v>14</v>
      </c>
      <c r="X47" t="s">
        <v>14</v>
      </c>
      <c r="Y47" t="s">
        <v>14</v>
      </c>
      <c r="Z47" t="s">
        <v>14</v>
      </c>
      <c r="AA47" t="s">
        <v>14</v>
      </c>
      <c r="AC47">
        <v>83</v>
      </c>
      <c r="AD47" t="s">
        <v>73</v>
      </c>
      <c r="AE47" s="2">
        <v>45952.36613425926</v>
      </c>
      <c r="AF47">
        <v>122</v>
      </c>
      <c r="AG47" t="s">
        <v>13</v>
      </c>
      <c r="AH47">
        <v>0</v>
      </c>
      <c r="AI47">
        <v>12.1</v>
      </c>
      <c r="AJ47" s="3">
        <v>212407</v>
      </c>
      <c r="AK47">
        <v>45.808</v>
      </c>
      <c r="AL47" t="s">
        <v>14</v>
      </c>
      <c r="AM47" t="s">
        <v>14</v>
      </c>
      <c r="AN47" t="s">
        <v>14</v>
      </c>
      <c r="AO47" t="s">
        <v>14</v>
      </c>
      <c r="AQ47">
        <v>1</v>
      </c>
      <c r="AS47" s="10">
        <v>83</v>
      </c>
      <c r="AT47" s="16">
        <f t="shared" si="10"/>
        <v>7.691654380368</v>
      </c>
      <c r="AU47" s="17">
        <f t="shared" si="11"/>
        <v>45715.243188647619</v>
      </c>
      <c r="AW47" s="6">
        <f t="shared" si="12"/>
        <v>2.2212649328000005</v>
      </c>
      <c r="AX47" s="7">
        <f t="shared" si="13"/>
        <v>42649.447857277519</v>
      </c>
      <c r="AZ47" s="11">
        <f t="shared" si="14"/>
        <v>3.1042030399999998</v>
      </c>
      <c r="BA47" s="12">
        <f t="shared" si="15"/>
        <v>48990.939493755905</v>
      </c>
      <c r="BC47" s="13">
        <f t="shared" si="16"/>
        <v>4.4098227446399996</v>
      </c>
      <c r="BD47" s="14">
        <f t="shared" si="17"/>
        <v>42184.70899041454</v>
      </c>
      <c r="BF47" s="16">
        <f t="shared" si="18"/>
        <v>7.691654380368</v>
      </c>
      <c r="BG47" s="17">
        <f t="shared" si="19"/>
        <v>45715.243188647619</v>
      </c>
      <c r="BI47">
        <v>83</v>
      </c>
      <c r="BJ47" t="s">
        <v>73</v>
      </c>
      <c r="BK47" s="2">
        <v>45952.36613425926</v>
      </c>
      <c r="BL47">
        <v>122</v>
      </c>
      <c r="BM47" t="s">
        <v>13</v>
      </c>
      <c r="BN47">
        <v>0</v>
      </c>
      <c r="BO47">
        <v>2.8740000000000001</v>
      </c>
      <c r="BP47" s="3">
        <v>967319</v>
      </c>
      <c r="BQ47">
        <v>0</v>
      </c>
      <c r="BR47" t="s">
        <v>14</v>
      </c>
      <c r="BS47" t="s">
        <v>14</v>
      </c>
      <c r="BT47" t="s">
        <v>14</v>
      </c>
      <c r="BU47" t="s">
        <v>14</v>
      </c>
    </row>
    <row r="48" spans="1:73" x14ac:dyDescent="0.35">
      <c r="A48">
        <v>84</v>
      </c>
      <c r="B48" t="s">
        <v>74</v>
      </c>
      <c r="C48" s="2">
        <v>45952.387361111112</v>
      </c>
      <c r="D48">
        <v>277</v>
      </c>
      <c r="E48" t="s">
        <v>13</v>
      </c>
      <c r="F48">
        <v>0</v>
      </c>
      <c r="G48">
        <v>6.093</v>
      </c>
      <c r="H48" s="3">
        <v>2373</v>
      </c>
      <c r="I48">
        <v>6.0000000000000001E-3</v>
      </c>
      <c r="J48" t="s">
        <v>14</v>
      </c>
      <c r="K48" t="s">
        <v>14</v>
      </c>
      <c r="L48" t="s">
        <v>14</v>
      </c>
      <c r="M48" t="s">
        <v>14</v>
      </c>
      <c r="O48">
        <v>84</v>
      </c>
      <c r="P48" t="s">
        <v>74</v>
      </c>
      <c r="Q48" s="2">
        <v>45952.387361111112</v>
      </c>
      <c r="R48">
        <v>277</v>
      </c>
      <c r="S48" t="s">
        <v>13</v>
      </c>
      <c r="T48">
        <v>0</v>
      </c>
      <c r="U48" t="s">
        <v>14</v>
      </c>
      <c r="V48" t="s">
        <v>14</v>
      </c>
      <c r="W48" t="s">
        <v>14</v>
      </c>
      <c r="X48" t="s">
        <v>14</v>
      </c>
      <c r="Y48" t="s">
        <v>14</v>
      </c>
      <c r="Z48" t="s">
        <v>14</v>
      </c>
      <c r="AA48" t="s">
        <v>14</v>
      </c>
      <c r="AC48">
        <v>84</v>
      </c>
      <c r="AD48" t="s">
        <v>74</v>
      </c>
      <c r="AE48" s="2">
        <v>45952.387361111112</v>
      </c>
      <c r="AF48">
        <v>277</v>
      </c>
      <c r="AG48" t="s">
        <v>13</v>
      </c>
      <c r="AH48">
        <v>0</v>
      </c>
      <c r="AI48">
        <v>12.26</v>
      </c>
      <c r="AJ48" s="3">
        <v>49965</v>
      </c>
      <c r="AK48">
        <v>10.829000000000001</v>
      </c>
      <c r="AL48" t="s">
        <v>14</v>
      </c>
      <c r="AM48" t="s">
        <v>14</v>
      </c>
      <c r="AN48" t="s">
        <v>14</v>
      </c>
      <c r="AO48" t="s">
        <v>14</v>
      </c>
      <c r="AQ48">
        <v>1</v>
      </c>
      <c r="AS48" s="10">
        <v>84</v>
      </c>
      <c r="AT48" s="16">
        <f t="shared" si="10"/>
        <v>5.0416111785969999</v>
      </c>
      <c r="AU48" s="17">
        <f t="shared" si="11"/>
        <v>11291.572656990502</v>
      </c>
      <c r="AW48" s="6">
        <f t="shared" si="12"/>
        <v>0.99442074369999989</v>
      </c>
      <c r="AX48" s="7">
        <f t="shared" si="13"/>
        <v>10160.354788737999</v>
      </c>
      <c r="AZ48" s="11">
        <f t="shared" si="14"/>
        <v>4.4534646600000016</v>
      </c>
      <c r="BA48" s="12">
        <f t="shared" si="15"/>
        <v>10497.223599897499</v>
      </c>
      <c r="BC48" s="13">
        <f t="shared" si="16"/>
        <v>2.3317317110599998</v>
      </c>
      <c r="BD48" s="14">
        <f t="shared" si="17"/>
        <v>9697.0885755632498</v>
      </c>
      <c r="BF48" s="16">
        <f t="shared" si="18"/>
        <v>5.0416111785969999</v>
      </c>
      <c r="BG48" s="17">
        <f t="shared" si="19"/>
        <v>11291.572656990502</v>
      </c>
      <c r="BI48">
        <v>84</v>
      </c>
      <c r="BJ48" t="s">
        <v>74</v>
      </c>
      <c r="BK48" s="2">
        <v>45952.387361111112</v>
      </c>
      <c r="BL48">
        <v>277</v>
      </c>
      <c r="BM48" t="s">
        <v>13</v>
      </c>
      <c r="BN48">
        <v>0</v>
      </c>
      <c r="BO48">
        <v>2.875</v>
      </c>
      <c r="BP48" s="3">
        <v>983286</v>
      </c>
      <c r="BQ48">
        <v>0</v>
      </c>
      <c r="BR48" t="s">
        <v>14</v>
      </c>
      <c r="BS48" t="s">
        <v>14</v>
      </c>
      <c r="BT48" t="s">
        <v>14</v>
      </c>
      <c r="BU48" t="s">
        <v>14</v>
      </c>
    </row>
    <row r="49" spans="1:73" x14ac:dyDescent="0.35">
      <c r="A49">
        <v>85</v>
      </c>
      <c r="B49" t="s">
        <v>75</v>
      </c>
      <c r="C49" s="2">
        <v>45952.408599537041</v>
      </c>
      <c r="D49">
        <v>217</v>
      </c>
      <c r="E49" t="s">
        <v>13</v>
      </c>
      <c r="F49">
        <v>0</v>
      </c>
      <c r="G49">
        <v>6.06</v>
      </c>
      <c r="H49" s="3">
        <v>1120674</v>
      </c>
      <c r="I49">
        <v>2.532</v>
      </c>
      <c r="J49" t="s">
        <v>14</v>
      </c>
      <c r="K49" t="s">
        <v>14</v>
      </c>
      <c r="L49" t="s">
        <v>14</v>
      </c>
      <c r="M49" t="s">
        <v>14</v>
      </c>
      <c r="O49">
        <v>85</v>
      </c>
      <c r="P49" t="s">
        <v>75</v>
      </c>
      <c r="Q49" s="2">
        <v>45952.408599537041</v>
      </c>
      <c r="R49">
        <v>217</v>
      </c>
      <c r="S49" t="s">
        <v>13</v>
      </c>
      <c r="T49">
        <v>0</v>
      </c>
      <c r="U49">
        <v>6.0119999999999996</v>
      </c>
      <c r="V49" s="3">
        <v>9022</v>
      </c>
      <c r="W49">
        <v>2.3220000000000001</v>
      </c>
      <c r="X49" t="s">
        <v>14</v>
      </c>
      <c r="Y49" t="s">
        <v>14</v>
      </c>
      <c r="Z49" t="s">
        <v>14</v>
      </c>
      <c r="AA49" t="s">
        <v>14</v>
      </c>
      <c r="AC49">
        <v>85</v>
      </c>
      <c r="AD49" t="s">
        <v>75</v>
      </c>
      <c r="AE49" s="2">
        <v>45952.408599537041</v>
      </c>
      <c r="AF49">
        <v>217</v>
      </c>
      <c r="AG49" t="s">
        <v>13</v>
      </c>
      <c r="AH49">
        <v>0</v>
      </c>
      <c r="AI49">
        <v>12.298999999999999</v>
      </c>
      <c r="AJ49" s="3">
        <v>24517</v>
      </c>
      <c r="AK49">
        <v>5.2750000000000004</v>
      </c>
      <c r="AL49" t="s">
        <v>14</v>
      </c>
      <c r="AM49" t="s">
        <v>14</v>
      </c>
      <c r="AN49" t="s">
        <v>14</v>
      </c>
      <c r="AO49" t="s">
        <v>14</v>
      </c>
      <c r="AQ49">
        <v>1</v>
      </c>
      <c r="AS49" s="10">
        <v>85</v>
      </c>
      <c r="AT49" s="16">
        <f t="shared" si="10"/>
        <v>2470.2605098174067</v>
      </c>
      <c r="AU49" s="17">
        <f t="shared" si="11"/>
        <v>5419.0257430087704</v>
      </c>
      <c r="AW49" s="6">
        <f t="shared" si="12"/>
        <v>2454.5587361400799</v>
      </c>
      <c r="AX49" s="7">
        <f t="shared" si="13"/>
        <v>4948.6242544647193</v>
      </c>
      <c r="AZ49" s="11">
        <f t="shared" si="14"/>
        <v>2304.8476300144662</v>
      </c>
      <c r="BA49" s="12">
        <f t="shared" si="15"/>
        <v>5686.2739118870995</v>
      </c>
      <c r="BC49" s="13">
        <f t="shared" si="16"/>
        <v>2550.8177386714888</v>
      </c>
      <c r="BD49" s="14">
        <f t="shared" si="17"/>
        <v>5024.1402193178001</v>
      </c>
      <c r="BF49" s="16">
        <f t="shared" si="18"/>
        <v>2470.2605098174067</v>
      </c>
      <c r="BG49" s="17">
        <f t="shared" si="19"/>
        <v>5419.0257430087704</v>
      </c>
      <c r="BI49">
        <v>85</v>
      </c>
      <c r="BJ49" t="s">
        <v>75</v>
      </c>
      <c r="BK49" s="2">
        <v>45952.408599537041</v>
      </c>
      <c r="BL49">
        <v>217</v>
      </c>
      <c r="BM49" t="s">
        <v>13</v>
      </c>
      <c r="BN49">
        <v>0</v>
      </c>
      <c r="BO49">
        <v>2.88</v>
      </c>
      <c r="BP49" s="3">
        <v>890694</v>
      </c>
      <c r="BQ49">
        <v>0</v>
      </c>
      <c r="BR49" t="s">
        <v>14</v>
      </c>
      <c r="BS49" t="s">
        <v>14</v>
      </c>
      <c r="BT49" t="s">
        <v>14</v>
      </c>
      <c r="BU49" t="s">
        <v>14</v>
      </c>
    </row>
    <row r="50" spans="1:73" x14ac:dyDescent="0.35">
      <c r="A50">
        <v>86</v>
      </c>
      <c r="B50" t="s">
        <v>76</v>
      </c>
      <c r="C50" s="2">
        <v>45952.429826388892</v>
      </c>
      <c r="D50">
        <v>171</v>
      </c>
      <c r="E50" t="s">
        <v>13</v>
      </c>
      <c r="F50">
        <v>0</v>
      </c>
      <c r="G50">
        <v>6.06</v>
      </c>
      <c r="H50" s="3">
        <v>1024507</v>
      </c>
      <c r="I50">
        <v>2.3149999999999999</v>
      </c>
      <c r="J50" t="s">
        <v>14</v>
      </c>
      <c r="K50" t="s">
        <v>14</v>
      </c>
      <c r="L50" t="s">
        <v>14</v>
      </c>
      <c r="M50" t="s">
        <v>14</v>
      </c>
      <c r="O50">
        <v>86</v>
      </c>
      <c r="P50" t="s">
        <v>76</v>
      </c>
      <c r="Q50" s="2">
        <v>45952.429826388892</v>
      </c>
      <c r="R50">
        <v>171</v>
      </c>
      <c r="S50" t="s">
        <v>13</v>
      </c>
      <c r="T50">
        <v>0</v>
      </c>
      <c r="U50">
        <v>6.0119999999999996</v>
      </c>
      <c r="V50" s="3">
        <v>9204</v>
      </c>
      <c r="W50">
        <v>2.367</v>
      </c>
      <c r="X50" t="s">
        <v>14</v>
      </c>
      <c r="Y50" t="s">
        <v>14</v>
      </c>
      <c r="Z50" t="s">
        <v>14</v>
      </c>
      <c r="AA50" t="s">
        <v>14</v>
      </c>
      <c r="AC50">
        <v>86</v>
      </c>
      <c r="AD50" t="s">
        <v>76</v>
      </c>
      <c r="AE50" s="2">
        <v>45952.429826388892</v>
      </c>
      <c r="AF50">
        <v>171</v>
      </c>
      <c r="AG50" t="s">
        <v>13</v>
      </c>
      <c r="AH50">
        <v>0</v>
      </c>
      <c r="AI50">
        <v>12.292999999999999</v>
      </c>
      <c r="AJ50" s="3">
        <v>26340</v>
      </c>
      <c r="AK50">
        <v>5.673</v>
      </c>
      <c r="AL50" t="s">
        <v>14</v>
      </c>
      <c r="AM50" t="s">
        <v>14</v>
      </c>
      <c r="AN50" t="s">
        <v>14</v>
      </c>
      <c r="AO50" t="s">
        <v>14</v>
      </c>
      <c r="AQ50">
        <v>1</v>
      </c>
      <c r="AS50" s="10">
        <v>86</v>
      </c>
      <c r="AT50" s="16">
        <f t="shared" si="10"/>
        <v>2273.7853931900431</v>
      </c>
      <c r="AU50" s="17">
        <f t="shared" si="11"/>
        <v>5829.5734499080008</v>
      </c>
      <c r="AW50" s="6">
        <f t="shared" si="12"/>
        <v>2499.4666501219199</v>
      </c>
      <c r="AX50" s="7">
        <f t="shared" si="13"/>
        <v>5323.0723362879999</v>
      </c>
      <c r="AZ50" s="11">
        <f t="shared" si="14"/>
        <v>2122.1207485692885</v>
      </c>
      <c r="BA50" s="12">
        <f t="shared" si="15"/>
        <v>6088.7998268399997</v>
      </c>
      <c r="BC50" s="13">
        <f t="shared" si="16"/>
        <v>2346.0108905230964</v>
      </c>
      <c r="BD50" s="14">
        <f t="shared" si="17"/>
        <v>5392.3110231199998</v>
      </c>
      <c r="BF50" s="16">
        <f t="shared" si="18"/>
        <v>2273.7853931900431</v>
      </c>
      <c r="BG50" s="17">
        <f t="shared" si="19"/>
        <v>5829.5734499080008</v>
      </c>
      <c r="BI50">
        <v>86</v>
      </c>
      <c r="BJ50" t="s">
        <v>76</v>
      </c>
      <c r="BK50" s="2">
        <v>45952.429826388892</v>
      </c>
      <c r="BL50">
        <v>171</v>
      </c>
      <c r="BM50" t="s">
        <v>13</v>
      </c>
      <c r="BN50">
        <v>0</v>
      </c>
      <c r="BO50">
        <v>2.8690000000000002</v>
      </c>
      <c r="BP50" s="3">
        <v>1090216</v>
      </c>
      <c r="BQ50">
        <v>0</v>
      </c>
      <c r="BR50" t="s">
        <v>14</v>
      </c>
      <c r="BS50" t="s">
        <v>14</v>
      </c>
      <c r="BT50" t="s">
        <v>14</v>
      </c>
      <c r="BU50" t="s">
        <v>14</v>
      </c>
    </row>
    <row r="51" spans="1:73" x14ac:dyDescent="0.35">
      <c r="A51">
        <v>87</v>
      </c>
      <c r="B51" t="s">
        <v>77</v>
      </c>
      <c r="C51" s="2">
        <v>45952.45107638889</v>
      </c>
      <c r="D51">
        <v>300</v>
      </c>
      <c r="E51" t="s">
        <v>13</v>
      </c>
      <c r="F51">
        <v>0</v>
      </c>
      <c r="G51">
        <v>6.0590000000000002</v>
      </c>
      <c r="H51" s="3">
        <v>1173727</v>
      </c>
      <c r="I51">
        <v>2.653</v>
      </c>
      <c r="J51" t="s">
        <v>14</v>
      </c>
      <c r="K51" t="s">
        <v>14</v>
      </c>
      <c r="L51" t="s">
        <v>14</v>
      </c>
      <c r="M51" t="s">
        <v>14</v>
      </c>
      <c r="O51">
        <v>87</v>
      </c>
      <c r="P51" t="s">
        <v>77</v>
      </c>
      <c r="Q51" s="2">
        <v>45952.45107638889</v>
      </c>
      <c r="R51">
        <v>300</v>
      </c>
      <c r="S51" t="s">
        <v>13</v>
      </c>
      <c r="T51">
        <v>0</v>
      </c>
      <c r="U51">
        <v>6.0129999999999999</v>
      </c>
      <c r="V51" s="3">
        <v>9803</v>
      </c>
      <c r="W51">
        <v>2.5150000000000001</v>
      </c>
      <c r="X51" t="s">
        <v>14</v>
      </c>
      <c r="Y51" t="s">
        <v>14</v>
      </c>
      <c r="Z51" t="s">
        <v>14</v>
      </c>
      <c r="AA51" t="s">
        <v>14</v>
      </c>
      <c r="AC51">
        <v>87</v>
      </c>
      <c r="AD51" t="s">
        <v>77</v>
      </c>
      <c r="AE51" s="2">
        <v>45952.45107638889</v>
      </c>
      <c r="AF51">
        <v>300</v>
      </c>
      <c r="AG51" t="s">
        <v>13</v>
      </c>
      <c r="AH51">
        <v>0</v>
      </c>
      <c r="AI51">
        <v>12.281000000000001</v>
      </c>
      <c r="AJ51" s="3">
        <v>40173</v>
      </c>
      <c r="AK51">
        <v>8.6950000000000003</v>
      </c>
      <c r="AL51" t="s">
        <v>14</v>
      </c>
      <c r="AM51" t="s">
        <v>14</v>
      </c>
      <c r="AN51" t="s">
        <v>14</v>
      </c>
      <c r="AO51" t="s">
        <v>14</v>
      </c>
      <c r="AQ51">
        <v>1</v>
      </c>
      <c r="AS51" s="10">
        <v>87</v>
      </c>
      <c r="AT51" s="16">
        <f t="shared" si="10"/>
        <v>2578.6106967753726</v>
      </c>
      <c r="AU51" s="17">
        <f t="shared" si="11"/>
        <v>8934.1995025839715</v>
      </c>
      <c r="AW51" s="6">
        <f t="shared" si="12"/>
        <v>2647.2589050815805</v>
      </c>
      <c r="AX51" s="7">
        <f t="shared" si="13"/>
        <v>8158.8731394119195</v>
      </c>
      <c r="AZ51" s="11">
        <f t="shared" si="14"/>
        <v>2405.5063676881605</v>
      </c>
      <c r="BA51" s="12">
        <f t="shared" si="15"/>
        <v>9044.4059253831001</v>
      </c>
      <c r="BC51" s="13">
        <f t="shared" si="16"/>
        <v>2663.7556235627203</v>
      </c>
      <c r="BD51" s="14">
        <f t="shared" si="17"/>
        <v>8173.0555782458005</v>
      </c>
      <c r="BF51" s="16">
        <f t="shared" si="18"/>
        <v>2578.6106967753726</v>
      </c>
      <c r="BG51" s="17">
        <f t="shared" si="19"/>
        <v>8934.1995025839715</v>
      </c>
      <c r="BI51">
        <v>87</v>
      </c>
      <c r="BJ51" t="s">
        <v>77</v>
      </c>
      <c r="BK51" s="2">
        <v>45952.45107638889</v>
      </c>
      <c r="BL51">
        <v>300</v>
      </c>
      <c r="BM51" t="s">
        <v>13</v>
      </c>
      <c r="BN51">
        <v>0</v>
      </c>
      <c r="BO51">
        <v>2.871</v>
      </c>
      <c r="BP51" s="3">
        <v>1030596</v>
      </c>
      <c r="BQ51">
        <v>0</v>
      </c>
      <c r="BR51" t="s">
        <v>14</v>
      </c>
      <c r="BS51" t="s">
        <v>14</v>
      </c>
      <c r="BT51" t="s">
        <v>14</v>
      </c>
      <c r="BU51" t="s">
        <v>14</v>
      </c>
    </row>
    <row r="52" spans="1:73" x14ac:dyDescent="0.35">
      <c r="A52">
        <v>88</v>
      </c>
      <c r="B52" t="s">
        <v>78</v>
      </c>
      <c r="C52" s="2">
        <v>45952.472326388888</v>
      </c>
      <c r="D52">
        <v>8</v>
      </c>
      <c r="E52" t="s">
        <v>13</v>
      </c>
      <c r="F52">
        <v>0</v>
      </c>
      <c r="G52">
        <v>6.0720000000000001</v>
      </c>
      <c r="H52" s="3">
        <v>1546606</v>
      </c>
      <c r="I52">
        <v>3.4980000000000002</v>
      </c>
      <c r="J52" t="s">
        <v>14</v>
      </c>
      <c r="K52" t="s">
        <v>14</v>
      </c>
      <c r="L52" t="s">
        <v>14</v>
      </c>
      <c r="M52" t="s">
        <v>14</v>
      </c>
      <c r="O52">
        <v>88</v>
      </c>
      <c r="P52" t="s">
        <v>78</v>
      </c>
      <c r="Q52" s="2">
        <v>45952.472326388888</v>
      </c>
      <c r="R52">
        <v>8</v>
      </c>
      <c r="S52" t="s">
        <v>13</v>
      </c>
      <c r="T52">
        <v>0</v>
      </c>
      <c r="U52">
        <v>6.0270000000000001</v>
      </c>
      <c r="V52" s="3">
        <v>12363</v>
      </c>
      <c r="W52">
        <v>3.1469999999999998</v>
      </c>
      <c r="X52" t="s">
        <v>14</v>
      </c>
      <c r="Y52" t="s">
        <v>14</v>
      </c>
      <c r="Z52" t="s">
        <v>14</v>
      </c>
      <c r="AA52" t="s">
        <v>14</v>
      </c>
      <c r="AC52">
        <v>88</v>
      </c>
      <c r="AD52" t="s">
        <v>78</v>
      </c>
      <c r="AE52" s="2">
        <v>45952.472326388888</v>
      </c>
      <c r="AF52">
        <v>8</v>
      </c>
      <c r="AG52" t="s">
        <v>13</v>
      </c>
      <c r="AH52">
        <v>0</v>
      </c>
      <c r="AI52">
        <v>12.304</v>
      </c>
      <c r="AJ52" s="3">
        <v>32901</v>
      </c>
      <c r="AK52">
        <v>7.1070000000000002</v>
      </c>
      <c r="AL52" t="s">
        <v>14</v>
      </c>
      <c r="AM52" t="s">
        <v>14</v>
      </c>
      <c r="AN52" t="s">
        <v>14</v>
      </c>
      <c r="AO52" t="s">
        <v>14</v>
      </c>
      <c r="AQ52">
        <v>1</v>
      </c>
      <c r="AS52" s="10">
        <v>88</v>
      </c>
      <c r="AT52" s="16">
        <f t="shared" si="10"/>
        <v>3339.3319663820153</v>
      </c>
      <c r="AU52" s="17">
        <f t="shared" si="11"/>
        <v>7304.4406124449306</v>
      </c>
      <c r="AW52" s="6">
        <f t="shared" si="12"/>
        <v>3278.7351877567799</v>
      </c>
      <c r="AX52" s="7">
        <f t="shared" si="13"/>
        <v>6669.3119175584798</v>
      </c>
      <c r="AZ52" s="11">
        <f t="shared" si="14"/>
        <v>3110.0246237822103</v>
      </c>
      <c r="BA52" s="12">
        <f t="shared" si="15"/>
        <v>7512.4067871638999</v>
      </c>
      <c r="BC52" s="13">
        <f t="shared" si="16"/>
        <v>3456.5463192607367</v>
      </c>
      <c r="BD52" s="14">
        <f t="shared" si="17"/>
        <v>6714.0729471002005</v>
      </c>
      <c r="BF52" s="16">
        <f t="shared" si="18"/>
        <v>3339.3319663820153</v>
      </c>
      <c r="BG52" s="17">
        <f t="shared" si="19"/>
        <v>7304.4406124449306</v>
      </c>
      <c r="BI52">
        <v>88</v>
      </c>
      <c r="BJ52" t="s">
        <v>78</v>
      </c>
      <c r="BK52" s="2">
        <v>45952.472326388888</v>
      </c>
      <c r="BL52">
        <v>8</v>
      </c>
      <c r="BM52" t="s">
        <v>13</v>
      </c>
      <c r="BN52">
        <v>0</v>
      </c>
      <c r="BO52">
        <v>2.879</v>
      </c>
      <c r="BP52" s="3">
        <v>1141458</v>
      </c>
      <c r="BQ52">
        <v>0</v>
      </c>
      <c r="BR52" t="s">
        <v>14</v>
      </c>
      <c r="BS52" t="s">
        <v>14</v>
      </c>
      <c r="BT52" t="s">
        <v>14</v>
      </c>
      <c r="BU52" t="s">
        <v>14</v>
      </c>
    </row>
    <row r="53" spans="1:73" x14ac:dyDescent="0.35">
      <c r="A53">
        <v>89</v>
      </c>
      <c r="B53" t="s">
        <v>79</v>
      </c>
      <c r="C53" s="2">
        <v>45952.493587962963</v>
      </c>
      <c r="D53">
        <v>232</v>
      </c>
      <c r="E53" t="s">
        <v>13</v>
      </c>
      <c r="F53">
        <v>0</v>
      </c>
      <c r="G53">
        <v>6.0590000000000002</v>
      </c>
      <c r="H53" s="3">
        <v>1719267</v>
      </c>
      <c r="I53">
        <v>3.891</v>
      </c>
      <c r="J53" t="s">
        <v>14</v>
      </c>
      <c r="K53" t="s">
        <v>14</v>
      </c>
      <c r="L53" t="s">
        <v>14</v>
      </c>
      <c r="M53" t="s">
        <v>14</v>
      </c>
      <c r="O53">
        <v>89</v>
      </c>
      <c r="P53" t="s">
        <v>79</v>
      </c>
      <c r="Q53" s="2">
        <v>45952.493587962963</v>
      </c>
      <c r="R53">
        <v>232</v>
      </c>
      <c r="S53" t="s">
        <v>13</v>
      </c>
      <c r="T53">
        <v>0</v>
      </c>
      <c r="U53">
        <v>6.0129999999999999</v>
      </c>
      <c r="V53" s="3">
        <v>13343</v>
      </c>
      <c r="W53">
        <v>3.3889999999999998</v>
      </c>
      <c r="X53" t="s">
        <v>14</v>
      </c>
      <c r="Y53" t="s">
        <v>14</v>
      </c>
      <c r="Z53" t="s">
        <v>14</v>
      </c>
      <c r="AA53" t="s">
        <v>14</v>
      </c>
      <c r="AC53">
        <v>89</v>
      </c>
      <c r="AD53" t="s">
        <v>79</v>
      </c>
      <c r="AE53" s="2">
        <v>45952.493587962963</v>
      </c>
      <c r="AF53">
        <v>232</v>
      </c>
      <c r="AG53" t="s">
        <v>13</v>
      </c>
      <c r="AH53">
        <v>0</v>
      </c>
      <c r="AI53">
        <v>12.292</v>
      </c>
      <c r="AJ53" s="3">
        <v>37644</v>
      </c>
      <c r="AK53">
        <v>8.1430000000000007</v>
      </c>
      <c r="AL53" t="s">
        <v>14</v>
      </c>
      <c r="AM53" t="s">
        <v>14</v>
      </c>
      <c r="AN53" t="s">
        <v>14</v>
      </c>
      <c r="AO53" t="s">
        <v>14</v>
      </c>
      <c r="AQ53">
        <v>1</v>
      </c>
      <c r="AS53" s="10">
        <v>89</v>
      </c>
      <c r="AT53" s="16">
        <f t="shared" si="10"/>
        <v>3691.1023908908433</v>
      </c>
      <c r="AU53" s="17">
        <f t="shared" si="11"/>
        <v>8368.0031389844808</v>
      </c>
      <c r="AW53" s="6">
        <f t="shared" si="12"/>
        <v>3520.40496912238</v>
      </c>
      <c r="AX53" s="7">
        <f t="shared" si="13"/>
        <v>7641.1511548172803</v>
      </c>
      <c r="AZ53" s="11">
        <f t="shared" si="14"/>
        <v>3434.4986302784246</v>
      </c>
      <c r="BA53" s="12">
        <f t="shared" si="15"/>
        <v>8517.0900373104014</v>
      </c>
      <c r="BC53" s="13">
        <f t="shared" si="16"/>
        <v>3823.062731092808</v>
      </c>
      <c r="BD53" s="14">
        <f t="shared" si="17"/>
        <v>7666.3791699871999</v>
      </c>
      <c r="BF53" s="16">
        <f t="shared" si="18"/>
        <v>3691.1023908908433</v>
      </c>
      <c r="BG53" s="17">
        <f t="shared" si="19"/>
        <v>8368.0031389844808</v>
      </c>
      <c r="BI53">
        <v>89</v>
      </c>
      <c r="BJ53" t="s">
        <v>79</v>
      </c>
      <c r="BK53" s="2">
        <v>45952.493587962963</v>
      </c>
      <c r="BL53">
        <v>232</v>
      </c>
      <c r="BM53" t="s">
        <v>13</v>
      </c>
      <c r="BN53">
        <v>0</v>
      </c>
      <c r="BO53">
        <v>2.8759999999999999</v>
      </c>
      <c r="BP53" s="3">
        <v>958264</v>
      </c>
      <c r="BQ53">
        <v>0</v>
      </c>
      <c r="BR53" t="s">
        <v>14</v>
      </c>
      <c r="BS53" t="s">
        <v>14</v>
      </c>
      <c r="BT53" t="s">
        <v>14</v>
      </c>
      <c r="BU53" t="s">
        <v>14</v>
      </c>
    </row>
    <row r="54" spans="1:73" x14ac:dyDescent="0.35">
      <c r="AS54" s="10"/>
      <c r="AT54" s="16"/>
      <c r="AU54" s="17"/>
      <c r="AW54" s="6"/>
      <c r="AX54" s="7"/>
      <c r="AZ54" s="11"/>
      <c r="BA54" s="12"/>
      <c r="BC54" s="13"/>
      <c r="BD54" s="14"/>
      <c r="BF54" s="16"/>
      <c r="BG54" s="17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2025-10-22T18:02:45Z</dcterms:modified>
</cp:coreProperties>
</file>