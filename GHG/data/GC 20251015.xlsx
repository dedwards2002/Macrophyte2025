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5 season misc analyses\GC 2025\"/>
    </mc:Choice>
  </mc:AlternateContent>
  <xr:revisionPtr revIDLastSave="0" documentId="8_{AB53DE8B-7350-48F5-9823-480A4268210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5" i="1" l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</calcChain>
</file>

<file path=xl/sharedStrings.xml><?xml version="1.0" encoding="utf-8"?>
<sst xmlns="http://schemas.openxmlformats.org/spreadsheetml/2006/main" count="571" uniqueCount="56">
  <si>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</si>
  <si>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</si>
  <si>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</si>
  <si>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</si>
  <si>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</si>
  <si>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</si>
  <si>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</si>
  <si>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</si>
  <si>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</si>
  <si>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</si>
  <si>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</si>
  <si>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</si>
  <si>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</si>
  <si>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</si>
  <si>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</si>
  <si>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</si>
  <si>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</si>
  <si>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</si>
  <si>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</si>
  <si>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</si>
  <si>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</si>
  <si>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</si>
  <si>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</si>
  <si>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</si>
  <si>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</si>
  <si>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</si>
  <si>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</si>
  <si>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</si>
  <si>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</si>
  <si>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</si>
  <si>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</si>
  <si>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</si>
  <si>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</si>
  <si>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</si>
  <si>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</si>
  <si>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FMI20251014_001.gcd</t>
  </si>
  <si>
    <t>FMI20251014_002.gcd</t>
  </si>
  <si>
    <t>FMI20251014_003.gcd</t>
  </si>
  <si>
    <t>FMI20251014_004.gcd</t>
  </si>
  <si>
    <t>FMI20251014_005.gcd</t>
  </si>
  <si>
    <t>FMI20251014_006.gcd</t>
  </si>
  <si>
    <t>FMI20251014_007.gcd</t>
  </si>
  <si>
    <t>FMI20251014_008.gcd</t>
  </si>
  <si>
    <t>FMI20251014_009.gcd</t>
  </si>
  <si>
    <t>FMI20251014_010.gcd</t>
  </si>
  <si>
    <t>FMI20251014_011.gcd</t>
  </si>
  <si>
    <t>FMI20251014_012.gcd</t>
  </si>
  <si>
    <t>FMI20251014_013.gcd</t>
  </si>
  <si>
    <t>FMI20251014_014.gcd</t>
  </si>
  <si>
    <t>FMI20251014_015.gcd</t>
  </si>
  <si>
    <t>FMI20251014_016.gcd</t>
  </si>
  <si>
    <t>FMI20251014_017.gcd</t>
  </si>
  <si>
    <t>FMI20251014_018.gcd</t>
  </si>
  <si>
    <t>338 rerun</t>
  </si>
  <si>
    <t>Reinjection. Use CO2. Do not use CH4.</t>
  </si>
  <si>
    <t>Interference. Do not use CO2. Use CH4.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</si>
</sst>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J6" workbookViewId="0">
      <selection activeCell="AQ22" sqref="AQ22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29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32</v>
      </c>
      <c r="BE8" s="8"/>
      <c r="BF8" s="5" t="s">
        <v>30</v>
      </c>
      <c r="BG8" s="5" t="s">
        <v>31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45945.582233796296</v>
      </c>
      <c r="D9" t="s">
        <v>33</v>
      </c>
      <c r="E9" t="s">
        <v>13</v>
      </c>
      <c r="F9">
        <v>0</v>
      </c>
      <c r="G9">
        <v>6.1189999999999998</v>
      </c>
      <c r="H9" s="3">
        <v>1961</v>
      </c>
      <c r="I9">
        <v>5.0000000000000001E-3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45945.582233796296</v>
      </c>
      <c r="R9" t="s">
        <v>33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45945.582233796296</v>
      </c>
      <c r="AF9" t="s">
        <v>33</v>
      </c>
      <c r="AG9" t="s">
        <v>13</v>
      </c>
      <c r="AH9">
        <v>0</v>
      </c>
      <c r="AI9">
        <v>12.358000000000001</v>
      </c>
      <c r="AJ9" s="3">
        <v>2114</v>
      </c>
      <c r="AK9">
        <v>0.36699999999999999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6">
        <f t="shared" ref="AT9:AT14" si="0">IF(H9&lt;10000,((H9^2*0.000000008493)+(H9*0.003482)+(-3.269)),(IF(H9&lt;200000,((H9^2*-0.000000000263)+(H9*0.002682)+(3.179)),(IF(H9&lt;8000000,((H9^2*-0.000000000005099)+(H9*0.002054)+(174.8)),((V9^2*-0.00000001014)+(V9*0.2415)+(1123)))))))</f>
        <v>3.5918620098530001</v>
      </c>
      <c r="AU9" s="17">
        <f t="shared" ref="AU9:AU14" si="1">IF(AJ9&lt;45000,((-0.00000004907*AJ9^2)+(0.2277*AJ9)+(-134)),((-0.00000001062*AJ9^2)+(0.2147*AJ9)+(590.6)))</f>
        <v>347.13850636628007</v>
      </c>
      <c r="AW9" s="6">
        <f t="shared" ref="AW9:AW14" si="2">IF(H9&lt;10000,((0.0000001453*H9^2)+(0.0008349*H9)+(-1.805)),(IF(H9&lt;700000,((-0.00000000008054*H9^2)+(0.002348*H9)+(-2.47)), ((-0.00000001938*V9^2)+(0.2471*V9)+(226.8)))))</f>
        <v>0.39099310130000009</v>
      </c>
      <c r="AX9" s="7">
        <f t="shared" ref="AX9:AX14" si="3">(-0.00000002552*AJ9^2)+(0.2067*AJ9)+(-103.7)</f>
        <v>333.14975122208</v>
      </c>
      <c r="AZ9" s="11">
        <f t="shared" ref="AZ9:AZ14" si="4">IF(H9&lt;10000,((H9^2*0.00000054)+(H9*-0.004765)+(12.72)),(IF(H9&lt;200000,((H9^2*-0.000000001577)+(H9*0.003043)+(-10.42)),(IF(H9&lt;8000000,((H9^2*-0.0000000000186)+(H9*0.00194)+(154.1)),((V9^2*-0.00000002)+(V9*0.2565)+(-1032)))))))</f>
        <v>5.452416340000001</v>
      </c>
      <c r="BA9" s="12">
        <f t="shared" ref="BA9:BA14" si="5">IF(AJ9&lt;45000,((-0.0000004561*AJ9^2)+(0.244*AJ9)+(-21.72)),((-0.0000000409*AJ9^2)+(0.2477*AJ9)+(-1777)))</f>
        <v>492.05769092440005</v>
      </c>
      <c r="BC9" s="13">
        <f t="shared" ref="BC9:BC14" si="6">IF(H9&lt;10000,((H9^2*0.00000005714)+(H9*0.002453)+(-3.811)),(IF(H9&lt;200000,((H9^2*-0.0000000002888)+(H9*0.002899)+(-4.321)),(IF(H9&lt;8000000,((H9^2*-0.0000000000062)+(H9*0.002143)+(157)),((V9^2*-0.000000031)+(V9*0.2771)+(-709.5)))))))</f>
        <v>1.2190660699400002</v>
      </c>
      <c r="BD9" s="14">
        <f t="shared" ref="BD9:BD14" si="7">IF(AJ9&lt;45000,((-0.0000000598*AJ9^2)+(0.205*AJ9)+(34.1)),((-0.00000002403*AJ9^2)+(0.2063*AJ9)+(-550.7)))</f>
        <v>467.20275403919999</v>
      </c>
      <c r="BF9" s="16">
        <f t="shared" ref="BF9:BF14" si="8">IF(H9&lt;10000,((H9^2*0.000000008493)+(H9*0.003482)+(-3.269)),(IF(H9&lt;200000,((H9^2*-0.000000000263)+(H9*0.002682)+(3.179)),(IF(H9&lt;8000000,((H9^2*-0.000000000005099)+(H9*0.002054)+(174.8)),((V9^2*-0.00000001014)+(V9*0.2415)+(1123)))))))</f>
        <v>3.5918620098530001</v>
      </c>
      <c r="BG9" s="17">
        <f t="shared" ref="BG9:BG14" si="9">IF(AJ9&lt;45000,((-0.00000004907*AJ9^2)+(0.2277*AJ9)+(-134)),((-0.00000001062*AJ9^2)+(0.2147*AJ9)+(590.6)))</f>
        <v>347.13850636628007</v>
      </c>
      <c r="BI9">
        <v>45</v>
      </c>
      <c r="BJ9" t="s">
        <v>35</v>
      </c>
      <c r="BK9" s="2">
        <v>45945.582233796296</v>
      </c>
      <c r="BL9" t="s">
        <v>33</v>
      </c>
      <c r="BM9" t="s">
        <v>13</v>
      </c>
      <c r="BN9">
        <v>0</v>
      </c>
      <c r="BO9">
        <v>2.726</v>
      </c>
      <c r="BP9" s="3">
        <v>5011669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45945.603437500002</v>
      </c>
      <c r="D10" t="s">
        <v>34</v>
      </c>
      <c r="E10" t="s">
        <v>13</v>
      </c>
      <c r="F10">
        <v>0</v>
      </c>
      <c r="G10">
        <v>6.0469999999999997</v>
      </c>
      <c r="H10" s="3">
        <v>759050</v>
      </c>
      <c r="I10">
        <v>1.714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45945.603437500002</v>
      </c>
      <c r="R10" t="s">
        <v>34</v>
      </c>
      <c r="S10" t="s">
        <v>13</v>
      </c>
      <c r="T10">
        <v>0</v>
      </c>
      <c r="U10">
        <v>5.9989999999999997</v>
      </c>
      <c r="V10" s="3">
        <v>5541</v>
      </c>
      <c r="W10">
        <v>1.4610000000000001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45945.603437500002</v>
      </c>
      <c r="AF10" t="s">
        <v>34</v>
      </c>
      <c r="AG10" t="s">
        <v>13</v>
      </c>
      <c r="AH10">
        <v>0</v>
      </c>
      <c r="AI10">
        <v>12.333</v>
      </c>
      <c r="AJ10" s="3">
        <v>7688</v>
      </c>
      <c r="AK10">
        <v>1.59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6">
        <f t="shared" si="0"/>
        <v>1730.9508759541523</v>
      </c>
      <c r="AU10" s="17">
        <f t="shared" si="1"/>
        <v>1613.6573007699201</v>
      </c>
      <c r="AW10" s="6">
        <f t="shared" si="2"/>
        <v>1595.3860820422199</v>
      </c>
      <c r="AX10" s="7">
        <f t="shared" si="3"/>
        <v>1483.9012316211199</v>
      </c>
      <c r="AZ10" s="11">
        <f t="shared" si="4"/>
        <v>1615.9404816135</v>
      </c>
      <c r="BA10" s="12">
        <f t="shared" si="5"/>
        <v>1827.1940526016001</v>
      </c>
      <c r="BC10" s="13">
        <f t="shared" si="6"/>
        <v>1780.0719772044999</v>
      </c>
      <c r="BD10" s="14">
        <f t="shared" si="7"/>
        <v>1606.6055004287998</v>
      </c>
      <c r="BF10" s="16">
        <f t="shared" si="8"/>
        <v>1730.9508759541523</v>
      </c>
      <c r="BG10" s="17">
        <f t="shared" si="9"/>
        <v>1613.6573007699201</v>
      </c>
      <c r="BI10">
        <v>46</v>
      </c>
      <c r="BJ10" t="s">
        <v>36</v>
      </c>
      <c r="BK10" s="2">
        <v>45945.603437500002</v>
      </c>
      <c r="BL10" t="s">
        <v>34</v>
      </c>
      <c r="BM10" t="s">
        <v>13</v>
      </c>
      <c r="BN10">
        <v>0</v>
      </c>
      <c r="BO10">
        <v>2.7210000000000001</v>
      </c>
      <c r="BP10" s="3">
        <v>5114414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45945.624641203707</v>
      </c>
      <c r="D11" t="s">
        <v>28</v>
      </c>
      <c r="E11" t="s">
        <v>13</v>
      </c>
      <c r="F11">
        <v>0</v>
      </c>
      <c r="G11">
        <v>6.0830000000000002</v>
      </c>
      <c r="H11" s="3">
        <v>2819</v>
      </c>
      <c r="I11">
        <v>7.0000000000000001E-3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45945.624641203707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45945.624641203707</v>
      </c>
      <c r="AF11" t="s">
        <v>28</v>
      </c>
      <c r="AG11" t="s">
        <v>13</v>
      </c>
      <c r="AH11">
        <v>0</v>
      </c>
      <c r="AI11">
        <v>12.331</v>
      </c>
      <c r="AJ11" s="3">
        <v>1279</v>
      </c>
      <c r="AK11">
        <v>0.184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6">
        <f t="shared" si="0"/>
        <v>6.6142498411729989</v>
      </c>
      <c r="AU11" s="17">
        <f t="shared" si="1"/>
        <v>157.14802928212998</v>
      </c>
      <c r="AW11" s="6">
        <f t="shared" si="2"/>
        <v>1.7032474733</v>
      </c>
      <c r="AX11" s="7">
        <f t="shared" si="3"/>
        <v>160.62755333768001</v>
      </c>
      <c r="AZ11" s="11">
        <f t="shared" si="4"/>
        <v>3.5787159400000004</v>
      </c>
      <c r="BA11" s="12">
        <f t="shared" si="5"/>
        <v>289.60989291989995</v>
      </c>
      <c r="BC11" s="13">
        <f t="shared" si="6"/>
        <v>3.5580849235399992</v>
      </c>
      <c r="BD11" s="14">
        <f t="shared" si="7"/>
        <v>296.1971767082</v>
      </c>
      <c r="BF11" s="16">
        <f t="shared" si="8"/>
        <v>6.6142498411729989</v>
      </c>
      <c r="BG11" s="17">
        <f t="shared" si="9"/>
        <v>157.14802928212998</v>
      </c>
      <c r="BI11">
        <v>47</v>
      </c>
      <c r="BJ11" t="s">
        <v>37</v>
      </c>
      <c r="BK11" s="2">
        <v>45945.624641203707</v>
      </c>
      <c r="BL11" t="s">
        <v>28</v>
      </c>
      <c r="BM11" t="s">
        <v>13</v>
      </c>
      <c r="BN11">
        <v>0</v>
      </c>
      <c r="BO11">
        <v>2.7210000000000001</v>
      </c>
      <c r="BP11" s="3">
        <v>5125683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45945.645879629628</v>
      </c>
      <c r="D12">
        <v>287</v>
      </c>
      <c r="E12" t="s">
        <v>13</v>
      </c>
      <c r="F12">
        <v>0</v>
      </c>
      <c r="G12">
        <v>6.0650000000000004</v>
      </c>
      <c r="H12" s="3">
        <v>5800</v>
      </c>
      <c r="I12">
        <v>1.2999999999999999E-2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45945.645879629628</v>
      </c>
      <c r="R12">
        <v>287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45945.645879629628</v>
      </c>
      <c r="AF12">
        <v>287</v>
      </c>
      <c r="AG12" t="s">
        <v>13</v>
      </c>
      <c r="AH12">
        <v>0</v>
      </c>
      <c r="AI12">
        <v>12.295</v>
      </c>
      <c r="AJ12" s="3">
        <v>12043</v>
      </c>
      <c r="AK12">
        <v>2.544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6">
        <f t="shared" si="0"/>
        <v>17.212304519999996</v>
      </c>
      <c r="AU12" s="17">
        <f t="shared" si="1"/>
        <v>2601.0742890295701</v>
      </c>
      <c r="AW12" s="6">
        <f t="shared" si="2"/>
        <v>7.9253120000000017</v>
      </c>
      <c r="AX12" s="7">
        <f t="shared" si="3"/>
        <v>2381.8868361735199</v>
      </c>
      <c r="AZ12" s="11">
        <f t="shared" si="4"/>
        <v>3.2486000000000015</v>
      </c>
      <c r="BA12" s="12">
        <f t="shared" si="5"/>
        <v>2850.6220614711001</v>
      </c>
      <c r="BC12" s="13">
        <f t="shared" si="6"/>
        <v>12.338589599999999</v>
      </c>
      <c r="BD12" s="14">
        <f t="shared" si="7"/>
        <v>2494.2419758298001</v>
      </c>
      <c r="BF12" s="16">
        <f t="shared" si="8"/>
        <v>17.212304519999996</v>
      </c>
      <c r="BG12" s="17">
        <f t="shared" si="9"/>
        <v>2601.0742890295701</v>
      </c>
      <c r="BI12">
        <v>48</v>
      </c>
      <c r="BJ12" t="s">
        <v>38</v>
      </c>
      <c r="BK12" s="2">
        <v>45945.645879629628</v>
      </c>
      <c r="BL12">
        <v>287</v>
      </c>
      <c r="BM12" t="s">
        <v>13</v>
      </c>
      <c r="BN12">
        <v>0</v>
      </c>
      <c r="BO12">
        <v>2.87</v>
      </c>
      <c r="BP12" s="3">
        <v>986367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45945.66710648148</v>
      </c>
      <c r="D13">
        <v>194</v>
      </c>
      <c r="E13" t="s">
        <v>13</v>
      </c>
      <c r="F13">
        <v>0</v>
      </c>
      <c r="G13">
        <v>6.0819999999999999</v>
      </c>
      <c r="H13" s="3">
        <v>2519</v>
      </c>
      <c r="I13">
        <v>6.0000000000000001E-3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45945.66710648148</v>
      </c>
      <c r="R13">
        <v>194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45945.66710648148</v>
      </c>
      <c r="AF13">
        <v>194</v>
      </c>
      <c r="AG13" t="s">
        <v>13</v>
      </c>
      <c r="AH13">
        <v>0</v>
      </c>
      <c r="AI13">
        <v>12.2</v>
      </c>
      <c r="AJ13" s="3">
        <v>87533</v>
      </c>
      <c r="AK13">
        <v>18.992000000000001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6">
        <f t="shared" si="0"/>
        <v>5.5560491509729992</v>
      </c>
      <c r="AU13" s="17">
        <f t="shared" si="1"/>
        <v>19302.564382934819</v>
      </c>
      <c r="AW13" s="6">
        <f t="shared" si="2"/>
        <v>1.2200940533000002</v>
      </c>
      <c r="AX13" s="7">
        <f t="shared" si="3"/>
        <v>17793.836194208721</v>
      </c>
      <c r="AZ13" s="11">
        <f t="shared" si="4"/>
        <v>4.1434599399999996</v>
      </c>
      <c r="BA13" s="12">
        <f t="shared" si="5"/>
        <v>19591.5472329599</v>
      </c>
      <c r="BC13" s="13">
        <f t="shared" si="6"/>
        <v>2.7306809275399999</v>
      </c>
      <c r="BD13" s="14">
        <f t="shared" si="7"/>
        <v>17323.23941308133</v>
      </c>
      <c r="BF13" s="16">
        <f t="shared" si="8"/>
        <v>5.5560491509729992</v>
      </c>
      <c r="BG13" s="17">
        <f t="shared" si="9"/>
        <v>19302.564382934819</v>
      </c>
      <c r="BI13">
        <v>49</v>
      </c>
      <c r="BJ13" t="s">
        <v>39</v>
      </c>
      <c r="BK13" s="2">
        <v>45945.66710648148</v>
      </c>
      <c r="BL13">
        <v>194</v>
      </c>
      <c r="BM13" t="s">
        <v>13</v>
      </c>
      <c r="BN13">
        <v>0</v>
      </c>
      <c r="BO13">
        <v>2.8759999999999999</v>
      </c>
      <c r="BP13" s="3">
        <v>867247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45945.688321759262</v>
      </c>
      <c r="D14">
        <v>105</v>
      </c>
      <c r="E14" t="s">
        <v>13</v>
      </c>
      <c r="F14">
        <v>0</v>
      </c>
      <c r="G14">
        <v>6.0650000000000004</v>
      </c>
      <c r="H14" s="3">
        <v>7575</v>
      </c>
      <c r="I14">
        <v>1.7000000000000001E-2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45945.688321759262</v>
      </c>
      <c r="R14">
        <v>105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45945.688321759262</v>
      </c>
      <c r="AF14">
        <v>105</v>
      </c>
      <c r="AG14" t="s">
        <v>13</v>
      </c>
      <c r="AH14">
        <v>0</v>
      </c>
      <c r="AI14">
        <v>12.288</v>
      </c>
      <c r="AJ14" s="3">
        <v>18816</v>
      </c>
      <c r="AK14">
        <v>4.0270000000000001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6">
        <f t="shared" si="0"/>
        <v>23.594483648124999</v>
      </c>
      <c r="AU14" s="17">
        <f t="shared" si="1"/>
        <v>4133.0303661260805</v>
      </c>
      <c r="AW14" s="6">
        <f t="shared" si="2"/>
        <v>12.856772312500002</v>
      </c>
      <c r="AX14" s="7">
        <f t="shared" si="3"/>
        <v>3776.5320518348799</v>
      </c>
      <c r="AZ14" s="11">
        <f t="shared" si="4"/>
        <v>7.6106624999999983</v>
      </c>
      <c r="BA14" s="12">
        <f t="shared" si="5"/>
        <v>4407.9055094783998</v>
      </c>
      <c r="BC14" s="13">
        <f t="shared" si="6"/>
        <v>18.049203912499998</v>
      </c>
      <c r="BD14" s="14">
        <f t="shared" si="7"/>
        <v>3870.2082970111996</v>
      </c>
      <c r="BF14" s="16">
        <f t="shared" si="8"/>
        <v>23.594483648124999</v>
      </c>
      <c r="BG14" s="17">
        <f t="shared" si="9"/>
        <v>4133.0303661260805</v>
      </c>
      <c r="BI14">
        <v>50</v>
      </c>
      <c r="BJ14" t="s">
        <v>40</v>
      </c>
      <c r="BK14" s="2">
        <v>45945.688321759262</v>
      </c>
      <c r="BL14">
        <v>105</v>
      </c>
      <c r="BM14" t="s">
        <v>13</v>
      </c>
      <c r="BN14">
        <v>0</v>
      </c>
      <c r="BO14">
        <v>2.8769999999999998</v>
      </c>
      <c r="BP14" s="3">
        <v>852242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45945.709537037037</v>
      </c>
      <c r="D15">
        <v>129</v>
      </c>
      <c r="E15" t="s">
        <v>13</v>
      </c>
      <c r="F15">
        <v>0</v>
      </c>
      <c r="G15">
        <v>6.0570000000000004</v>
      </c>
      <c r="H15" s="3">
        <v>12483</v>
      </c>
      <c r="I15">
        <v>2.9000000000000001E-2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45945.709537037037</v>
      </c>
      <c r="R15">
        <v>129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45945.709537037037</v>
      </c>
      <c r="AF15">
        <v>129</v>
      </c>
      <c r="AG15" t="s">
        <v>13</v>
      </c>
      <c r="AH15">
        <v>0</v>
      </c>
      <c r="AI15">
        <v>12.305</v>
      </c>
      <c r="AJ15" s="3">
        <v>4818</v>
      </c>
      <c r="AK15">
        <v>0.96099999999999997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6">
        <f t="shared" ref="AT15:AT26" si="10">IF(H15&lt;10000,((H15^2*0.000000008493)+(H15*0.003482)+(-3.269)),(IF(H15&lt;200000,((H15^2*-0.000000000263)+(H15*0.002682)+(3.179)),(IF(H15&lt;8000000,((H15^2*-0.000000000005099)+(H15*0.002054)+(174.8)),((V15^2*-0.00000001014)+(V15*0.2415)+(1123)))))))</f>
        <v>36.617423948993</v>
      </c>
      <c r="AU15" s="17">
        <f t="shared" ref="AU15:AU26" si="11">IF(AJ15&lt;45000,((-0.00000004907*AJ15^2)+(0.2277*AJ15)+(-134)),((-0.00000001062*AJ15^2)+(0.2147*AJ15)+(590.6)))</f>
        <v>961.91953200531998</v>
      </c>
      <c r="AW15" s="6">
        <f t="shared" ref="AW15:AW26" si="12">IF(H15&lt;10000,((0.0000001453*H15^2)+(0.0008349*H15)+(-1.805)),(IF(H15&lt;700000,((-0.00000000008054*H15^2)+(0.002348*H15)+(-2.47)), ((-0.00000001938*V15^2)+(0.2471*V15)+(226.8)))))</f>
        <v>26.827533831223938</v>
      </c>
      <c r="AX15" s="7">
        <f t="shared" ref="AX15:AX26" si="13">(-0.00000002552*AJ15^2)+(0.2067*AJ15)+(-103.7)</f>
        <v>891.58820107551992</v>
      </c>
      <c r="AZ15" s="11">
        <f t="shared" ref="AZ15:AZ26" si="14">IF(H15&lt;10000,((H15^2*0.00000054)+(H15*-0.004765)+(12.72)),(IF(H15&lt;200000,((H15^2*-0.000000001577)+(H15*0.003043)+(-10.42)),(IF(H15&lt;8000000,((H15^2*-0.0000000000186)+(H15*0.00194)+(154.1)),((V15^2*-0.00000002)+(V15*0.2565)+(-1032)))))))</f>
        <v>27.320032519247</v>
      </c>
      <c r="BA15" s="12">
        <f t="shared" ref="BA15:BA26" si="15">IF(AJ15&lt;45000,((-0.0000004561*AJ15^2)+(0.244*AJ15)+(-21.72)),((-0.0000000409*AJ15^2)+(0.2477*AJ15)+(-1777)))</f>
        <v>1143.2844941435999</v>
      </c>
      <c r="BC15" s="13">
        <f t="shared" ref="BC15:BC26" si="16">IF(H15&lt;10000,((H15^2*0.00000005714)+(H15*0.002453)+(-3.811)),(IF(H15&lt;200000,((H15^2*-0.0000000002888)+(H15*0.002899)+(-4.321)),(IF(H15&lt;8000000,((H15^2*-0.0000000000062)+(H15*0.002143)+(157)),((V15^2*-0.000000031)+(V15*0.2771)+(-709.5)))))))</f>
        <v>31.822214656536801</v>
      </c>
      <c r="BD15" s="14">
        <f t="shared" ref="BD15:BD26" si="17">IF(AJ15&lt;45000,((-0.0000000598*AJ15^2)+(0.205*AJ15)+(34.1)),((-0.00000002403*AJ15^2)+(0.2063*AJ15)+(-550.7)))</f>
        <v>1020.4018551848</v>
      </c>
      <c r="BF15" s="16">
        <f t="shared" ref="BF15:BF26" si="18">IF(H15&lt;10000,((H15^2*0.000000008493)+(H15*0.003482)+(-3.269)),(IF(H15&lt;200000,((H15^2*-0.000000000263)+(H15*0.002682)+(3.179)),(IF(H15&lt;8000000,((H15^2*-0.000000000005099)+(H15*0.002054)+(174.8)),((V15^2*-0.00000001014)+(V15*0.2415)+(1123)))))))</f>
        <v>36.617423948993</v>
      </c>
      <c r="BG15" s="17">
        <f t="shared" ref="BG15:BG26" si="19">IF(AJ15&lt;45000,((-0.00000004907*AJ15^2)+(0.2277*AJ15)+(-134)),((-0.00000001062*AJ15^2)+(0.2147*AJ15)+(590.6)))</f>
        <v>961.91953200531998</v>
      </c>
      <c r="BI15">
        <v>51</v>
      </c>
      <c r="BJ15" t="s">
        <v>41</v>
      </c>
      <c r="BK15" s="2">
        <v>45945.709537037037</v>
      </c>
      <c r="BL15">
        <v>129</v>
      </c>
      <c r="BM15" t="s">
        <v>13</v>
      </c>
      <c r="BN15">
        <v>0</v>
      </c>
      <c r="BO15">
        <v>2.8780000000000001</v>
      </c>
      <c r="BP15" s="3">
        <v>849128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45945.730752314812</v>
      </c>
      <c r="D16">
        <v>401</v>
      </c>
      <c r="E16" t="s">
        <v>13</v>
      </c>
      <c r="F16">
        <v>0</v>
      </c>
      <c r="G16">
        <v>6.0540000000000003</v>
      </c>
      <c r="H16" s="3">
        <v>12619</v>
      </c>
      <c r="I16">
        <v>2.9000000000000001E-2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45945.730752314812</v>
      </c>
      <c r="R16">
        <v>401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45945.730752314812</v>
      </c>
      <c r="AF16">
        <v>401</v>
      </c>
      <c r="AG16" t="s">
        <v>13</v>
      </c>
      <c r="AH16">
        <v>0</v>
      </c>
      <c r="AI16">
        <v>12.305</v>
      </c>
      <c r="AJ16" s="3">
        <v>4963</v>
      </c>
      <c r="AK16">
        <v>0.99199999999999999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6">
        <f t="shared" si="10"/>
        <v>36.981278100657001</v>
      </c>
      <c r="AU16" s="17">
        <f t="shared" si="11"/>
        <v>994.86643872316995</v>
      </c>
      <c r="AW16" s="6">
        <f t="shared" si="12"/>
        <v>27.146586877973061</v>
      </c>
      <c r="AX16" s="7">
        <f t="shared" si="13"/>
        <v>921.52350746312004</v>
      </c>
      <c r="AZ16" s="11">
        <f t="shared" si="14"/>
        <v>27.728496843102995</v>
      </c>
      <c r="BA16" s="12">
        <f t="shared" si="15"/>
        <v>1178.0176325990999</v>
      </c>
      <c r="BC16" s="13">
        <f t="shared" si="16"/>
        <v>32.215492730303204</v>
      </c>
      <c r="BD16" s="14">
        <f t="shared" si="17"/>
        <v>1050.0420441337999</v>
      </c>
      <c r="BF16" s="16">
        <f t="shared" si="18"/>
        <v>36.981278100657001</v>
      </c>
      <c r="BG16" s="17">
        <f t="shared" si="19"/>
        <v>994.86643872316995</v>
      </c>
      <c r="BI16">
        <v>52</v>
      </c>
      <c r="BJ16" t="s">
        <v>42</v>
      </c>
      <c r="BK16" s="2">
        <v>45945.730752314812</v>
      </c>
      <c r="BL16">
        <v>401</v>
      </c>
      <c r="BM16" t="s">
        <v>13</v>
      </c>
      <c r="BN16">
        <v>0</v>
      </c>
      <c r="BO16">
        <v>2.88</v>
      </c>
      <c r="BP16" s="3">
        <v>809470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45945.751967592594</v>
      </c>
      <c r="D17">
        <v>307</v>
      </c>
      <c r="E17" t="s">
        <v>13</v>
      </c>
      <c r="F17">
        <v>0</v>
      </c>
      <c r="G17">
        <v>6.0129999999999999</v>
      </c>
      <c r="H17" s="3">
        <v>13883925</v>
      </c>
      <c r="I17">
        <v>32.417999999999999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45945.751967592594</v>
      </c>
      <c r="R17">
        <v>307</v>
      </c>
      <c r="S17" t="s">
        <v>13</v>
      </c>
      <c r="T17">
        <v>0</v>
      </c>
      <c r="U17">
        <v>5.9660000000000002</v>
      </c>
      <c r="V17" s="3">
        <v>101026</v>
      </c>
      <c r="W17">
        <v>24.933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45945.751967592594</v>
      </c>
      <c r="AF17">
        <v>307</v>
      </c>
      <c r="AG17" t="s">
        <v>13</v>
      </c>
      <c r="AH17">
        <v>0</v>
      </c>
      <c r="AI17">
        <v>12.2</v>
      </c>
      <c r="AJ17" s="3">
        <v>108119</v>
      </c>
      <c r="AK17">
        <v>23.446000000000002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10"/>
        <v>25417.287597865357</v>
      </c>
      <c r="AU17" s="17">
        <f t="shared" si="11"/>
        <v>23679.60449313018</v>
      </c>
      <c r="AW17" s="6">
        <f t="shared" si="12"/>
        <v>24992.527423139116</v>
      </c>
      <c r="AX17" s="7">
        <f t="shared" si="13"/>
        <v>21946.17569253128</v>
      </c>
      <c r="AZ17" s="11">
        <f t="shared" si="14"/>
        <v>24677.04394648</v>
      </c>
      <c r="BA17" s="12">
        <f t="shared" si="15"/>
        <v>24525.966827215099</v>
      </c>
      <c r="BC17" s="13">
        <f t="shared" si="16"/>
        <v>26968.410767044003</v>
      </c>
      <c r="BD17" s="14">
        <f t="shared" si="17"/>
        <v>21473.345772591168</v>
      </c>
      <c r="BF17" s="16">
        <f t="shared" si="18"/>
        <v>25417.287597865357</v>
      </c>
      <c r="BG17" s="17">
        <f t="shared" si="19"/>
        <v>23679.60449313018</v>
      </c>
      <c r="BI17">
        <v>53</v>
      </c>
      <c r="BJ17" t="s">
        <v>43</v>
      </c>
      <c r="BK17" s="2">
        <v>45945.751967592594</v>
      </c>
      <c r="BL17">
        <v>307</v>
      </c>
      <c r="BM17" t="s">
        <v>13</v>
      </c>
      <c r="BN17">
        <v>0</v>
      </c>
      <c r="BO17">
        <v>2.8809999999999998</v>
      </c>
      <c r="BP17" s="3">
        <v>726595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45945.7731712963</v>
      </c>
      <c r="D18">
        <v>338</v>
      </c>
      <c r="E18" t="s">
        <v>13</v>
      </c>
      <c r="F18">
        <v>0</v>
      </c>
      <c r="G18">
        <v>6.0609999999999999</v>
      </c>
      <c r="H18" s="3">
        <v>13113</v>
      </c>
      <c r="I18">
        <v>0.03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45945.7731712963</v>
      </c>
      <c r="R18">
        <v>338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45945.7731712963</v>
      </c>
      <c r="AF18">
        <v>338</v>
      </c>
      <c r="AG18" t="s">
        <v>13</v>
      </c>
      <c r="AH18">
        <v>0</v>
      </c>
      <c r="AI18" t="s">
        <v>14</v>
      </c>
      <c r="AJ18" s="3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Q18">
        <v>2</v>
      </c>
      <c r="AR18" t="s">
        <v>55</v>
      </c>
      <c r="AS18" s="10">
        <v>54</v>
      </c>
      <c r="AT18" s="16">
        <f t="shared" si="10"/>
        <v>38.302842947753</v>
      </c>
      <c r="AU18" s="17" t="e">
        <f t="shared" si="11"/>
        <v>#VALUE!</v>
      </c>
      <c r="AW18" s="6">
        <f t="shared" si="12"/>
        <v>28.305475085064739</v>
      </c>
      <c r="AX18" s="7" t="e">
        <f t="shared" si="13"/>
        <v>#VALUE!</v>
      </c>
      <c r="AZ18" s="11">
        <f t="shared" si="14"/>
        <v>29.211692637287001</v>
      </c>
      <c r="BA18" s="12" t="e">
        <f t="shared" si="15"/>
        <v>#VALUE!</v>
      </c>
      <c r="BC18" s="13">
        <f t="shared" si="16"/>
        <v>33.643927617912802</v>
      </c>
      <c r="BD18" s="14" t="e">
        <f t="shared" si="17"/>
        <v>#VALUE!</v>
      </c>
      <c r="BF18" s="16">
        <f t="shared" si="18"/>
        <v>38.302842947753</v>
      </c>
      <c r="BG18" s="17" t="e">
        <f t="shared" si="19"/>
        <v>#VALUE!</v>
      </c>
      <c r="BI18">
        <v>54</v>
      </c>
      <c r="BJ18" t="s">
        <v>44</v>
      </c>
      <c r="BK18" s="2">
        <v>45945.7731712963</v>
      </c>
      <c r="BL18">
        <v>338</v>
      </c>
      <c r="BM18" t="s">
        <v>13</v>
      </c>
      <c r="BN18">
        <v>0</v>
      </c>
      <c r="BO18">
        <v>2.8879999999999999</v>
      </c>
      <c r="BP18" s="3">
        <v>780813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45945.794363425928</v>
      </c>
      <c r="D19">
        <v>238</v>
      </c>
      <c r="E19" t="s">
        <v>13</v>
      </c>
      <c r="F19">
        <v>0</v>
      </c>
      <c r="G19">
        <v>6.056</v>
      </c>
      <c r="H19" s="3">
        <v>7507</v>
      </c>
      <c r="I19">
        <v>1.7000000000000001E-2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45945.794363425928</v>
      </c>
      <c r="R19">
        <v>238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45945.794363425928</v>
      </c>
      <c r="AF19">
        <v>238</v>
      </c>
      <c r="AG19" t="s">
        <v>13</v>
      </c>
      <c r="AH19">
        <v>0</v>
      </c>
      <c r="AI19">
        <v>12.2</v>
      </c>
      <c r="AJ19" s="3">
        <v>86464</v>
      </c>
      <c r="AK19">
        <v>18.760000000000002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10">
        <v>55</v>
      </c>
      <c r="AT19" s="16">
        <f t="shared" si="10"/>
        <v>23.348997431157002</v>
      </c>
      <c r="AU19" s="17">
        <f t="shared" si="11"/>
        <v>19075.025432596482</v>
      </c>
      <c r="AW19" s="6">
        <f t="shared" si="12"/>
        <v>12.650982919700002</v>
      </c>
      <c r="AX19" s="7">
        <f t="shared" si="13"/>
        <v>17577.620685486076</v>
      </c>
      <c r="AZ19" s="11">
        <f t="shared" si="14"/>
        <v>7.3808714599999963</v>
      </c>
      <c r="BA19" s="12">
        <f t="shared" si="15"/>
        <v>19334.363447193598</v>
      </c>
      <c r="BC19" s="13">
        <f t="shared" si="16"/>
        <v>17.823798499859997</v>
      </c>
      <c r="BD19" s="14">
        <f t="shared" si="17"/>
        <v>17107.174360197117</v>
      </c>
      <c r="BF19" s="16">
        <f t="shared" si="18"/>
        <v>23.348997431157002</v>
      </c>
      <c r="BG19" s="17">
        <f t="shared" si="19"/>
        <v>19075.025432596482</v>
      </c>
      <c r="BI19">
        <v>55</v>
      </c>
      <c r="BJ19" t="s">
        <v>45</v>
      </c>
      <c r="BK19" s="2">
        <v>45945.794363425928</v>
      </c>
      <c r="BL19">
        <v>238</v>
      </c>
      <c r="BM19" t="s">
        <v>13</v>
      </c>
      <c r="BN19">
        <v>0</v>
      </c>
      <c r="BO19">
        <v>2.879</v>
      </c>
      <c r="BP19" s="3">
        <v>808484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45945.815567129626</v>
      </c>
      <c r="D20">
        <v>311</v>
      </c>
      <c r="E20" t="s">
        <v>13</v>
      </c>
      <c r="F20">
        <v>0</v>
      </c>
      <c r="G20">
        <v>6.0129999999999999</v>
      </c>
      <c r="H20" s="3">
        <v>14196382</v>
      </c>
      <c r="I20">
        <v>33.174999999999997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45945.815567129626</v>
      </c>
      <c r="R20">
        <v>311</v>
      </c>
      <c r="S20" t="s">
        <v>13</v>
      </c>
      <c r="T20">
        <v>0</v>
      </c>
      <c r="U20">
        <v>5.9669999999999996</v>
      </c>
      <c r="V20" s="3">
        <v>101708</v>
      </c>
      <c r="W20">
        <v>25.1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45945.815567129626</v>
      </c>
      <c r="AF20">
        <v>311</v>
      </c>
      <c r="AG20" t="s">
        <v>13</v>
      </c>
      <c r="AH20">
        <v>0</v>
      </c>
      <c r="AI20">
        <v>12.2</v>
      </c>
      <c r="AJ20" s="3">
        <v>76250</v>
      </c>
      <c r="AK20">
        <v>16.545000000000002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10">
        <v>56</v>
      </c>
      <c r="AT20" s="16">
        <f t="shared" si="10"/>
        <v>25580.588594943041</v>
      </c>
      <c r="AU20" s="17">
        <f t="shared" si="11"/>
        <v>16899.729656249998</v>
      </c>
      <c r="AW20" s="6">
        <f t="shared" si="12"/>
        <v>25158.370055423678</v>
      </c>
      <c r="AX20" s="7">
        <f t="shared" si="13"/>
        <v>15508.800125</v>
      </c>
      <c r="AZ20" s="11">
        <f t="shared" si="14"/>
        <v>24849.211654719998</v>
      </c>
      <c r="BA20" s="12">
        <f t="shared" si="15"/>
        <v>16872.329843750002</v>
      </c>
      <c r="BC20" s="13">
        <f t="shared" si="16"/>
        <v>27153.106764816002</v>
      </c>
      <c r="BD20" s="14">
        <f t="shared" si="17"/>
        <v>15039.963078125</v>
      </c>
      <c r="BF20" s="16">
        <f t="shared" si="18"/>
        <v>25580.588594943041</v>
      </c>
      <c r="BG20" s="17">
        <f t="shared" si="19"/>
        <v>16899.729656249998</v>
      </c>
      <c r="BI20">
        <v>56</v>
      </c>
      <c r="BJ20" t="s">
        <v>46</v>
      </c>
      <c r="BK20" s="2">
        <v>45945.815567129626</v>
      </c>
      <c r="BL20">
        <v>311</v>
      </c>
      <c r="BM20" t="s">
        <v>13</v>
      </c>
      <c r="BN20">
        <v>0</v>
      </c>
      <c r="BO20">
        <v>2.867</v>
      </c>
      <c r="BP20" s="3">
        <v>976701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45945.836805555555</v>
      </c>
      <c r="D21">
        <v>76</v>
      </c>
      <c r="E21" t="s">
        <v>13</v>
      </c>
      <c r="F21">
        <v>0</v>
      </c>
      <c r="G21">
        <v>6.0549999999999997</v>
      </c>
      <c r="H21" s="3">
        <v>14113</v>
      </c>
      <c r="I21">
        <v>3.2000000000000001E-2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45945.836805555555</v>
      </c>
      <c r="R21">
        <v>76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45945.836805555555</v>
      </c>
      <c r="AF21">
        <v>76</v>
      </c>
      <c r="AG21" t="s">
        <v>13</v>
      </c>
      <c r="AH21">
        <v>0</v>
      </c>
      <c r="AI21" t="s">
        <v>14</v>
      </c>
      <c r="AJ21" s="3" t="s">
        <v>14</v>
      </c>
      <c r="AK21" t="s">
        <v>14</v>
      </c>
      <c r="AL21" t="s">
        <v>14</v>
      </c>
      <c r="AM21" t="s">
        <v>14</v>
      </c>
      <c r="AN21" t="s">
        <v>14</v>
      </c>
      <c r="AO21" t="s">
        <v>14</v>
      </c>
      <c r="AQ21">
        <v>2</v>
      </c>
      <c r="AR21" t="s">
        <v>55</v>
      </c>
      <c r="AS21" s="10">
        <v>57</v>
      </c>
      <c r="AT21" s="16">
        <f t="shared" si="10"/>
        <v>40.977682509752995</v>
      </c>
      <c r="AU21" s="17" t="e">
        <f t="shared" si="11"/>
        <v>#VALUE!</v>
      </c>
      <c r="AW21" s="6">
        <f t="shared" si="12"/>
        <v>30.651282303024743</v>
      </c>
      <c r="AX21" s="7" t="e">
        <f t="shared" si="13"/>
        <v>#VALUE!</v>
      </c>
      <c r="AZ21" s="11">
        <f t="shared" si="14"/>
        <v>32.211757235286996</v>
      </c>
      <c r="BA21" s="12" t="e">
        <f t="shared" si="15"/>
        <v>#VALUE!</v>
      </c>
      <c r="BC21" s="13">
        <f t="shared" si="16"/>
        <v>36.535064749112799</v>
      </c>
      <c r="BD21" s="14" t="e">
        <f t="shared" si="17"/>
        <v>#VALUE!</v>
      </c>
      <c r="BF21" s="16">
        <f t="shared" si="18"/>
        <v>40.977682509752995</v>
      </c>
      <c r="BG21" s="17" t="e">
        <f t="shared" si="19"/>
        <v>#VALUE!</v>
      </c>
      <c r="BI21">
        <v>57</v>
      </c>
      <c r="BJ21" t="s">
        <v>47</v>
      </c>
      <c r="BK21" s="2">
        <v>45945.836805555555</v>
      </c>
      <c r="BL21">
        <v>76</v>
      </c>
      <c r="BM21" t="s">
        <v>13</v>
      </c>
      <c r="BN21">
        <v>0</v>
      </c>
      <c r="BO21">
        <v>2.883</v>
      </c>
      <c r="BP21" s="3">
        <v>752251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45945.858043981483</v>
      </c>
      <c r="D22">
        <v>120</v>
      </c>
      <c r="E22" t="s">
        <v>13</v>
      </c>
      <c r="F22">
        <v>0</v>
      </c>
      <c r="G22">
        <v>6.0679999999999996</v>
      </c>
      <c r="H22" s="3">
        <v>4621</v>
      </c>
      <c r="I22">
        <v>1.0999999999999999E-2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45945.858043981483</v>
      </c>
      <c r="R22">
        <v>120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45945.858043981483</v>
      </c>
      <c r="AF22">
        <v>120</v>
      </c>
      <c r="AG22" t="s">
        <v>13</v>
      </c>
      <c r="AH22">
        <v>0</v>
      </c>
      <c r="AI22">
        <v>12.222</v>
      </c>
      <c r="AJ22" s="3">
        <v>11808</v>
      </c>
      <c r="AK22">
        <v>2.4929999999999999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6">
        <f t="shared" si="10"/>
        <v>13.002678473013001</v>
      </c>
      <c r="AU22" s="17">
        <f t="shared" si="11"/>
        <v>2547.8398256435203</v>
      </c>
      <c r="AW22" s="6">
        <f t="shared" si="12"/>
        <v>5.1557569373000005</v>
      </c>
      <c r="AX22" s="7">
        <f t="shared" si="13"/>
        <v>2333.4553753907203</v>
      </c>
      <c r="AZ22" s="11">
        <f t="shared" si="14"/>
        <v>2.2319011399999997</v>
      </c>
      <c r="BA22" s="12">
        <f t="shared" si="15"/>
        <v>2795.8384951296002</v>
      </c>
      <c r="BC22" s="13">
        <f t="shared" si="16"/>
        <v>8.7444600467399987</v>
      </c>
      <c r="BD22" s="14">
        <f t="shared" si="17"/>
        <v>2446.4021539327996</v>
      </c>
      <c r="BF22" s="16">
        <f t="shared" si="18"/>
        <v>13.002678473013001</v>
      </c>
      <c r="BG22" s="17">
        <f t="shared" si="19"/>
        <v>2547.8398256435203</v>
      </c>
      <c r="BI22">
        <v>58</v>
      </c>
      <c r="BJ22" t="s">
        <v>48</v>
      </c>
      <c r="BK22" s="2">
        <v>45945.858043981483</v>
      </c>
      <c r="BL22">
        <v>120</v>
      </c>
      <c r="BM22" t="s">
        <v>13</v>
      </c>
      <c r="BN22">
        <v>0</v>
      </c>
      <c r="BO22">
        <v>2.8879999999999999</v>
      </c>
      <c r="BP22" s="3">
        <v>761023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45945.879270833335</v>
      </c>
      <c r="D23">
        <v>225</v>
      </c>
      <c r="E23" t="s">
        <v>13</v>
      </c>
      <c r="F23">
        <v>0</v>
      </c>
      <c r="G23">
        <v>6.0590000000000002</v>
      </c>
      <c r="H23" s="3">
        <v>13655</v>
      </c>
      <c r="I23">
        <v>3.1E-2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45945.879270833335</v>
      </c>
      <c r="R23">
        <v>225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45945.879270833335</v>
      </c>
      <c r="AF23">
        <v>225</v>
      </c>
      <c r="AG23" t="s">
        <v>13</v>
      </c>
      <c r="AH23">
        <v>0</v>
      </c>
      <c r="AI23">
        <v>12.284000000000001</v>
      </c>
      <c r="AJ23" s="3">
        <v>4658</v>
      </c>
      <c r="AK23">
        <v>0.92500000000000004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6">
        <f t="shared" si="10"/>
        <v>39.752671276424998</v>
      </c>
      <c r="AU23" s="17">
        <f t="shared" si="11"/>
        <v>925.5619299765201</v>
      </c>
      <c r="AW23" s="6">
        <f t="shared" si="12"/>
        <v>29.5769225901265</v>
      </c>
      <c r="AX23" s="7">
        <f t="shared" si="13"/>
        <v>858.55489347871992</v>
      </c>
      <c r="AZ23" s="11">
        <f t="shared" si="14"/>
        <v>30.838119117574998</v>
      </c>
      <c r="BA23" s="12">
        <f t="shared" si="15"/>
        <v>1104.9360147195998</v>
      </c>
      <c r="BC23" s="13">
        <f t="shared" si="16"/>
        <v>35.210995633579998</v>
      </c>
      <c r="BD23" s="14">
        <f t="shared" si="17"/>
        <v>987.69252155280003</v>
      </c>
      <c r="BF23" s="16">
        <f t="shared" si="18"/>
        <v>39.752671276424998</v>
      </c>
      <c r="BG23" s="17">
        <f t="shared" si="19"/>
        <v>925.5619299765201</v>
      </c>
      <c r="BI23">
        <v>59</v>
      </c>
      <c r="BJ23" t="s">
        <v>49</v>
      </c>
      <c r="BK23" s="2">
        <v>45945.879270833335</v>
      </c>
      <c r="BL23">
        <v>225</v>
      </c>
      <c r="BM23" t="s">
        <v>13</v>
      </c>
      <c r="BN23">
        <v>0</v>
      </c>
      <c r="BO23">
        <v>2.88</v>
      </c>
      <c r="BP23" s="3">
        <v>801914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45945.900497685187</v>
      </c>
      <c r="D24">
        <v>273</v>
      </c>
      <c r="E24" t="s">
        <v>13</v>
      </c>
      <c r="F24">
        <v>0</v>
      </c>
      <c r="G24">
        <v>6.0830000000000002</v>
      </c>
      <c r="H24" s="3">
        <v>3054</v>
      </c>
      <c r="I24">
        <v>7.0000000000000001E-3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45945.900497685187</v>
      </c>
      <c r="R24">
        <v>273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45945.900497685187</v>
      </c>
      <c r="AF24">
        <v>273</v>
      </c>
      <c r="AG24" t="s">
        <v>13</v>
      </c>
      <c r="AH24">
        <v>0</v>
      </c>
      <c r="AI24">
        <v>12.194000000000001</v>
      </c>
      <c r="AJ24" s="3">
        <v>76622</v>
      </c>
      <c r="AK24">
        <v>16.626000000000001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10">
        <v>60</v>
      </c>
      <c r="AT24" s="16">
        <f t="shared" si="10"/>
        <v>7.4442414975879991</v>
      </c>
      <c r="AU24" s="17">
        <f t="shared" si="11"/>
        <v>16978.994114011919</v>
      </c>
      <c r="AW24" s="6">
        <f t="shared" si="12"/>
        <v>2.0999854948000003</v>
      </c>
      <c r="AX24" s="7">
        <f t="shared" si="13"/>
        <v>15584.241243840319</v>
      </c>
      <c r="AZ24" s="11">
        <f t="shared" si="14"/>
        <v>3.2042246400000014</v>
      </c>
      <c r="BA24" s="12">
        <f t="shared" si="15"/>
        <v>16962.148326844403</v>
      </c>
      <c r="BC24" s="13">
        <f t="shared" si="16"/>
        <v>4.2134019802399987</v>
      </c>
      <c r="BD24" s="14">
        <f t="shared" si="17"/>
        <v>15115.340130857481</v>
      </c>
      <c r="BF24" s="16">
        <f t="shared" si="18"/>
        <v>7.4442414975879991</v>
      </c>
      <c r="BG24" s="17">
        <f t="shared" si="19"/>
        <v>16978.994114011919</v>
      </c>
      <c r="BI24">
        <v>60</v>
      </c>
      <c r="BJ24" t="s">
        <v>50</v>
      </c>
      <c r="BK24" s="2">
        <v>45945.900497685187</v>
      </c>
      <c r="BL24">
        <v>273</v>
      </c>
      <c r="BM24" t="s">
        <v>13</v>
      </c>
      <c r="BN24">
        <v>0</v>
      </c>
      <c r="BO24">
        <v>2.8740000000000001</v>
      </c>
      <c r="BP24" s="3">
        <v>896494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45945.921724537038</v>
      </c>
      <c r="D25">
        <v>74</v>
      </c>
      <c r="E25" t="s">
        <v>13</v>
      </c>
      <c r="F25">
        <v>0</v>
      </c>
      <c r="G25">
        <v>6.0640000000000001</v>
      </c>
      <c r="H25" s="3">
        <v>12411</v>
      </c>
      <c r="I25">
        <v>2.8000000000000001E-2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45945.921724537038</v>
      </c>
      <c r="R25">
        <v>74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45945.921724537038</v>
      </c>
      <c r="AF25">
        <v>74</v>
      </c>
      <c r="AG25" t="s">
        <v>13</v>
      </c>
      <c r="AH25">
        <v>0</v>
      </c>
      <c r="AI25">
        <v>12.273999999999999</v>
      </c>
      <c r="AJ25" s="3">
        <v>4286</v>
      </c>
      <c r="AK25">
        <v>0.84399999999999997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10">
        <v>61</v>
      </c>
      <c r="AT25" s="16">
        <f t="shared" si="10"/>
        <v>36.424791341777002</v>
      </c>
      <c r="AU25" s="17">
        <f t="shared" si="11"/>
        <v>841.02079411028012</v>
      </c>
      <c r="AW25" s="6">
        <f t="shared" si="12"/>
        <v>26.658622188542658</v>
      </c>
      <c r="AX25" s="7">
        <f t="shared" si="13"/>
        <v>781.74740280608</v>
      </c>
      <c r="AZ25" s="11">
        <f t="shared" si="14"/>
        <v>27.103763083583004</v>
      </c>
      <c r="BA25" s="12">
        <f t="shared" si="15"/>
        <v>1015.6855360443999</v>
      </c>
      <c r="BC25" s="13">
        <f t="shared" si="16"/>
        <v>31.614004292415203</v>
      </c>
      <c r="BD25" s="14">
        <f t="shared" si="17"/>
        <v>911.63148619920003</v>
      </c>
      <c r="BF25" s="16">
        <f t="shared" si="18"/>
        <v>36.424791341777002</v>
      </c>
      <c r="BG25" s="17">
        <f t="shared" si="19"/>
        <v>841.02079411028012</v>
      </c>
      <c r="BI25">
        <v>61</v>
      </c>
      <c r="BJ25" t="s">
        <v>51</v>
      </c>
      <c r="BK25" s="2">
        <v>45945.921724537038</v>
      </c>
      <c r="BL25">
        <v>74</v>
      </c>
      <c r="BM25" t="s">
        <v>13</v>
      </c>
      <c r="BN25">
        <v>0</v>
      </c>
      <c r="BO25">
        <v>2.89</v>
      </c>
      <c r="BP25" s="3">
        <v>763894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45946.450196759259</v>
      </c>
      <c r="D26" t="s">
        <v>53</v>
      </c>
      <c r="E26" t="s">
        <v>13</v>
      </c>
      <c r="F26">
        <v>0</v>
      </c>
      <c r="G26">
        <v>6.0759999999999996</v>
      </c>
      <c r="H26" s="3">
        <v>14120</v>
      </c>
      <c r="I26">
        <v>3.2000000000000001E-2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45946.450196759259</v>
      </c>
      <c r="R26" t="s">
        <v>53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45946.450196759259</v>
      </c>
      <c r="AF26" t="s">
        <v>53</v>
      </c>
      <c r="AG26" t="s">
        <v>13</v>
      </c>
      <c r="AH26">
        <v>0</v>
      </c>
      <c r="AI26">
        <v>12.332000000000001</v>
      </c>
      <c r="AJ26" s="3">
        <v>5506</v>
      </c>
      <c r="AK26">
        <v>1.111</v>
      </c>
      <c r="AL26" t="s">
        <v>14</v>
      </c>
      <c r="AM26" t="s">
        <v>14</v>
      </c>
      <c r="AN26" t="s">
        <v>14</v>
      </c>
      <c r="AO26" t="s">
        <v>14</v>
      </c>
      <c r="AQ26">
        <v>2</v>
      </c>
      <c r="AR26" t="s">
        <v>54</v>
      </c>
      <c r="AS26" s="10">
        <v>62</v>
      </c>
      <c r="AT26" s="16">
        <f t="shared" si="10"/>
        <v>40.9964045328</v>
      </c>
      <c r="AU26" s="17">
        <f t="shared" si="11"/>
        <v>1118.2285921134801</v>
      </c>
      <c r="AW26" s="6">
        <f t="shared" si="12"/>
        <v>30.667702385824001</v>
      </c>
      <c r="AX26" s="7">
        <f t="shared" si="13"/>
        <v>1033.6165347612798</v>
      </c>
      <c r="AZ26" s="11">
        <f t="shared" si="14"/>
        <v>32.232746571199996</v>
      </c>
      <c r="BA26" s="12">
        <f t="shared" si="15"/>
        <v>1307.9168559804</v>
      </c>
      <c r="BC26" s="13">
        <f t="shared" si="16"/>
        <v>36.555300673280001</v>
      </c>
      <c r="BD26" s="14">
        <f t="shared" si="17"/>
        <v>1161.0171010472</v>
      </c>
      <c r="BF26" s="16">
        <f t="shared" si="18"/>
        <v>40.9964045328</v>
      </c>
      <c r="BG26" s="17">
        <f t="shared" si="19"/>
        <v>1118.2285921134801</v>
      </c>
      <c r="BI26">
        <v>62</v>
      </c>
      <c r="BJ26" t="s">
        <v>52</v>
      </c>
      <c r="BK26" s="2">
        <v>45946.450196759259</v>
      </c>
      <c r="BL26" t="s">
        <v>53</v>
      </c>
      <c r="BM26" t="s">
        <v>13</v>
      </c>
      <c r="BN26">
        <v>0</v>
      </c>
      <c r="BO26">
        <v>2.847</v>
      </c>
      <c r="BP26" s="3">
        <v>1570762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C27" s="2"/>
      <c r="H27" s="3"/>
      <c r="Q27" s="2"/>
      <c r="AE27" s="2"/>
      <c r="AJ27" s="3"/>
      <c r="AS27" s="10"/>
      <c r="AT27" s="16"/>
      <c r="AU27" s="17"/>
      <c r="AW27" s="6"/>
      <c r="AX27" s="7"/>
      <c r="AZ27" s="11"/>
      <c r="BA27" s="12"/>
      <c r="BC27" s="13"/>
      <c r="BD27" s="14"/>
      <c r="BF27" s="16"/>
      <c r="BG27" s="17"/>
      <c r="BK27" s="2"/>
      <c r="BP27" s="3"/>
    </row>
    <row r="28" spans="1:73" x14ac:dyDescent="0.35">
      <c r="C28" s="2"/>
      <c r="H28" s="3"/>
      <c r="Q28" s="2"/>
      <c r="AE28" s="2"/>
      <c r="AJ28" s="3"/>
      <c r="AS28" s="10"/>
      <c r="AT28" s="16"/>
      <c r="AU28" s="17"/>
      <c r="AW28" s="6"/>
      <c r="AX28" s="7"/>
      <c r="AZ28" s="11"/>
      <c r="BA28" s="12"/>
      <c r="BC28" s="13"/>
      <c r="BD28" s="14"/>
      <c r="BF28" s="16"/>
      <c r="BG28" s="17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5"/>
      <c r="AS29" s="10"/>
      <c r="AT29" s="16"/>
      <c r="AU29" s="17"/>
      <c r="AW29" s="6"/>
      <c r="AX29" s="7"/>
      <c r="AZ29" s="11"/>
      <c r="BA29" s="12"/>
      <c r="BC29" s="13"/>
      <c r="BD29" s="14"/>
      <c r="BF29" s="16"/>
      <c r="BG29" s="17"/>
      <c r="BK29" s="2"/>
      <c r="BP29" s="3"/>
    </row>
    <row r="30" spans="1:73" x14ac:dyDescent="0.35">
      <c r="C30" s="2"/>
      <c r="H30" s="3"/>
      <c r="Q30" s="2"/>
      <c r="AE30" s="2"/>
      <c r="AJ30" s="3"/>
      <c r="AS30" s="10"/>
      <c r="AT30" s="16"/>
      <c r="AU30" s="17"/>
      <c r="AW30" s="6"/>
      <c r="AX30" s="7"/>
      <c r="AZ30" s="11"/>
      <c r="BA30" s="12"/>
      <c r="BC30" s="13"/>
      <c r="BD30" s="14"/>
      <c r="BF30" s="16"/>
      <c r="BG30" s="17"/>
      <c r="BK30" s="2"/>
      <c r="BP30" s="3"/>
    </row>
    <row r="31" spans="1:73" x14ac:dyDescent="0.35">
      <c r="C31" s="2"/>
      <c r="H31" s="3"/>
      <c r="Q31" s="2"/>
      <c r="AE31" s="2"/>
      <c r="AJ31" s="3"/>
      <c r="AS31" s="10"/>
      <c r="AT31" s="16"/>
      <c r="AU31" s="17"/>
      <c r="AW31" s="6"/>
      <c r="AX31" s="7"/>
      <c r="AZ31" s="11"/>
      <c r="BA31" s="12"/>
      <c r="BC31" s="13"/>
      <c r="BD31" s="14"/>
      <c r="BF31" s="16"/>
      <c r="BG31" s="17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10"/>
      <c r="AT32" s="16"/>
      <c r="AU32" s="17"/>
      <c r="AW32" s="6"/>
      <c r="AX32" s="7"/>
      <c r="AZ32" s="11"/>
      <c r="BA32" s="12"/>
      <c r="BC32" s="13"/>
      <c r="BD32" s="14"/>
      <c r="BF32" s="16"/>
      <c r="BG32" s="17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10"/>
      <c r="AT33" s="16"/>
      <c r="AU33" s="17"/>
      <c r="AW33" s="6"/>
      <c r="AX33" s="7"/>
      <c r="AZ33" s="11"/>
      <c r="BA33" s="12"/>
      <c r="BC33" s="13"/>
      <c r="BD33" s="14"/>
      <c r="BF33" s="16"/>
      <c r="BG33" s="17"/>
      <c r="BK33" s="2"/>
      <c r="BP33" s="3"/>
    </row>
    <row r="34" spans="3:68" x14ac:dyDescent="0.35">
      <c r="C34" s="2"/>
      <c r="H34" s="3"/>
      <c r="Q34" s="2"/>
      <c r="AE34" s="2"/>
      <c r="AJ34" s="3"/>
      <c r="AS34" s="10"/>
      <c r="AT34" s="16"/>
      <c r="AU34" s="17"/>
      <c r="AW34" s="6"/>
      <c r="AX34" s="7"/>
      <c r="AZ34" s="11"/>
      <c r="BA34" s="12"/>
      <c r="BC34" s="13"/>
      <c r="BD34" s="14"/>
      <c r="BF34" s="16"/>
      <c r="BG34" s="17"/>
      <c r="BK34" s="2"/>
      <c r="BP34" s="3"/>
    </row>
    <row r="35" spans="3:68" x14ac:dyDescent="0.35">
      <c r="C35" s="2"/>
      <c r="H35" s="3"/>
      <c r="Q35" s="2"/>
      <c r="AE35" s="2"/>
      <c r="AS35" s="10"/>
      <c r="AT35" s="16"/>
      <c r="AU35" s="17"/>
      <c r="AW35" s="6"/>
      <c r="AX35" s="7"/>
      <c r="AZ35" s="11"/>
      <c r="BA35" s="12"/>
      <c r="BC35" s="13"/>
      <c r="BD35" s="14"/>
      <c r="BF35" s="16"/>
      <c r="BG35" s="17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10"/>
      <c r="AT36" s="16"/>
      <c r="AU36" s="17"/>
      <c r="AW36" s="6"/>
      <c r="AX36" s="7"/>
      <c r="AZ36" s="11"/>
      <c r="BA36" s="12"/>
      <c r="BC36" s="13"/>
      <c r="BD36" s="14"/>
      <c r="BF36" s="16"/>
      <c r="BG36" s="17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10"/>
      <c r="AT37" s="16"/>
      <c r="AU37" s="17"/>
      <c r="AW37" s="6"/>
      <c r="AX37" s="7"/>
      <c r="AZ37" s="11"/>
      <c r="BA37" s="12"/>
      <c r="BC37" s="13"/>
      <c r="BD37" s="14"/>
      <c r="BF37" s="16"/>
      <c r="BG37" s="17"/>
      <c r="BK37" s="2"/>
      <c r="BP37" s="3"/>
    </row>
    <row r="38" spans="3:68" x14ac:dyDescent="0.35">
      <c r="C38" s="2"/>
      <c r="H38" s="3"/>
      <c r="Q38" s="2"/>
      <c r="AE38" s="2"/>
      <c r="AJ38" s="3"/>
      <c r="AS38" s="10"/>
      <c r="AT38" s="16"/>
      <c r="AU38" s="17"/>
      <c r="AW38" s="6"/>
      <c r="AX38" s="7"/>
      <c r="AZ38" s="11"/>
      <c r="BA38" s="12"/>
      <c r="BC38" s="13"/>
      <c r="BD38" s="14"/>
      <c r="BF38" s="16"/>
      <c r="BG38" s="17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10"/>
      <c r="AT39" s="16"/>
      <c r="AU39" s="17"/>
      <c r="AW39" s="6"/>
      <c r="AX39" s="7"/>
      <c r="AZ39" s="11"/>
      <c r="BA39" s="12"/>
      <c r="BC39" s="13"/>
      <c r="BD39" s="14"/>
      <c r="BF39" s="16"/>
      <c r="BG39" s="17"/>
      <c r="BK39" s="2"/>
      <c r="BP39" s="3"/>
    </row>
    <row r="40" spans="3:68" x14ac:dyDescent="0.35">
      <c r="C40" s="2"/>
      <c r="H40" s="3"/>
      <c r="Q40" s="2"/>
      <c r="AE40" s="2"/>
      <c r="AJ40" s="3"/>
      <c r="AS40" s="10"/>
      <c r="AT40" s="16"/>
      <c r="AU40" s="17"/>
      <c r="AW40" s="6"/>
      <c r="AX40" s="7"/>
      <c r="AZ40" s="11"/>
      <c r="BA40" s="12"/>
      <c r="BC40" s="13"/>
      <c r="BD40" s="14"/>
      <c r="BF40" s="16"/>
      <c r="BG40" s="17"/>
      <c r="BK40" s="2"/>
      <c r="BP40" s="3"/>
    </row>
    <row r="41" spans="3:68" x14ac:dyDescent="0.35">
      <c r="C41" s="2"/>
      <c r="H41" s="3"/>
      <c r="Q41" s="2"/>
      <c r="AE41" s="2"/>
      <c r="AJ41" s="3"/>
      <c r="AS41" s="10"/>
      <c r="AT41" s="16"/>
      <c r="AU41" s="17"/>
      <c r="AW41" s="6"/>
      <c r="AX41" s="7"/>
      <c r="AZ41" s="11"/>
      <c r="BA41" s="12"/>
      <c r="BC41" s="13"/>
      <c r="BD41" s="14"/>
      <c r="BF41" s="16"/>
      <c r="BG41" s="17"/>
      <c r="BK41" s="2"/>
      <c r="BP41" s="3"/>
    </row>
    <row r="42" spans="3:68" x14ac:dyDescent="0.35">
      <c r="C42" s="2"/>
      <c r="H42" s="3"/>
      <c r="Q42" s="2"/>
      <c r="AE42" s="2"/>
      <c r="AS42" s="10"/>
      <c r="AT42" s="16"/>
      <c r="AU42" s="17"/>
      <c r="AW42" s="6"/>
      <c r="AX42" s="7"/>
      <c r="AZ42" s="11"/>
      <c r="BA42" s="12"/>
      <c r="BC42" s="13"/>
      <c r="BD42" s="14"/>
      <c r="BF42" s="16"/>
      <c r="BG42" s="17"/>
      <c r="BK42" s="2"/>
      <c r="BP42" s="3"/>
    </row>
    <row r="43" spans="3:68" x14ac:dyDescent="0.35">
      <c r="C43" s="2"/>
      <c r="H43" s="3"/>
      <c r="Q43" s="2"/>
      <c r="AE43" s="2"/>
      <c r="AS43" s="10"/>
      <c r="AT43" s="16"/>
      <c r="AU43" s="17"/>
      <c r="AW43" s="6"/>
      <c r="AX43" s="7"/>
      <c r="AZ43" s="11"/>
      <c r="BA43" s="12"/>
      <c r="BC43" s="13"/>
      <c r="BD43" s="14"/>
      <c r="BF43" s="16"/>
      <c r="BG43" s="17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2025-10-20T17:34:32Z</dcterms:modified>
</cp:coreProperties>
</file>